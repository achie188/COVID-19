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22BC6B41-1612-4371-B6DE-D9D21D067673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Country_Data" sheetId="14" r:id="rId7"/>
    <sheet name="CumulativeConfirmed" sheetId="3" state="hidden" r:id="rId8"/>
    <sheet name="CumulativeActive" sheetId="22" state="hidden" r:id="rId9"/>
    <sheet name="CumulativeRecovered" sheetId="18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Country_Rates!$C$3:$K$3</definedName>
    <definedName name="_xlnm._FilterDatabase" localSheetId="7" hidden="1">CumulativeConfirmed!$A$1:$BA$1</definedName>
    <definedName name="_xlnm._FilterDatabase" localSheetId="4" hidden="1">Days_Since_100!$B$1:$CU$1</definedName>
    <definedName name="_xlnm._FilterDatabase" localSheetId="0" hidden="1">Projections!$W$3:$AC$5</definedName>
    <definedName name="_xlnm._FilterDatabase" localSheetId="3" hidden="1">Country_Rates!$C$3:$K$3</definedName>
    <definedName name="country">Projections!$C$7</definedName>
    <definedName name="image_jpg">Projections!$A$1:$U$53</definedName>
    <definedName name="xMax">Country_Comparison!$S$8</definedName>
    <definedName name="xMax2">Projections_Data!$C$30</definedName>
    <definedName name="xMax3">Projections_Data!$D$30</definedName>
    <definedName name="xMin">Country_Comparison!$S$7</definedName>
    <definedName name="xMin2">Projections_Data!$C$29</definedName>
    <definedName name="xMin3">Projections_Data!$D$29</definedName>
    <definedName name="yMax">Country_Comparison!$S$5</definedName>
    <definedName name="yMax2">Projections_Data!$C$27</definedName>
    <definedName name="yMax3">Projections_Data!$D$27</definedName>
    <definedName name="yMin">Country_Comparison!$S$4</definedName>
    <definedName name="yMin2">Projections_Data!$C$26</definedName>
    <definedName name="yMin3">Projections_Data!$D$26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5" l="1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B55" i="21" a="1"/>
  <c r="B55" i="21" s="1"/>
  <c r="C55" i="21"/>
  <c r="D55" i="21"/>
  <c r="C56" i="21"/>
  <c r="B56" i="21" s="1" a="1"/>
  <c r="B56" i="21" s="1"/>
  <c r="D56" i="21"/>
  <c r="C57" i="21"/>
  <c r="B57" i="21" s="1" a="1"/>
  <c r="B57" i="21" s="1"/>
  <c r="D57" i="21"/>
  <c r="B58" i="21" a="1"/>
  <c r="B58" i="21" s="1"/>
  <c r="C58" i="21"/>
  <c r="D58" i="21"/>
  <c r="C59" i="21"/>
  <c r="B59" i="21" s="1" a="1"/>
  <c r="B59" i="21" s="1"/>
  <c r="D59" i="21"/>
  <c r="B60" i="21" a="1"/>
  <c r="B60" i="21" s="1"/>
  <c r="C60" i="21"/>
  <c r="D60" i="21"/>
  <c r="B61" i="21" a="1"/>
  <c r="B61" i="21" s="1"/>
  <c r="C61" i="21"/>
  <c r="D61" i="21"/>
  <c r="C62" i="21"/>
  <c r="B62" i="21" s="1" a="1"/>
  <c r="B62" i="21" s="1"/>
  <c r="D62" i="21"/>
  <c r="B63" i="21" a="1"/>
  <c r="B63" i="21" s="1"/>
  <c r="C63" i="21"/>
  <c r="D63" i="21"/>
  <c r="C64" i="21"/>
  <c r="B64" i="21" s="1" a="1"/>
  <c r="B64" i="21" s="1"/>
  <c r="D64" i="21"/>
  <c r="C65" i="21"/>
  <c r="B65" i="21" s="1" a="1"/>
  <c r="B65" i="21" s="1"/>
  <c r="D65" i="21"/>
  <c r="B66" i="21" a="1"/>
  <c r="B66" i="21" s="1"/>
  <c r="C66" i="21"/>
  <c r="D66" i="21"/>
  <c r="C67" i="21"/>
  <c r="B67" i="21" s="1" a="1"/>
  <c r="B67" i="21" s="1"/>
  <c r="D67" i="21"/>
  <c r="B68" i="21" a="1"/>
  <c r="B68" i="21" s="1"/>
  <c r="C68" i="21"/>
  <c r="D68" i="21"/>
  <c r="B69" i="21" a="1"/>
  <c r="B69" i="21" s="1"/>
  <c r="C69" i="21"/>
  <c r="D69" i="21"/>
  <c r="C70" i="21"/>
  <c r="B70" i="21" s="1" a="1"/>
  <c r="B70" i="21" s="1"/>
  <c r="D70" i="21"/>
  <c r="B71" i="21" a="1"/>
  <c r="B71" i="21" s="1"/>
  <c r="C71" i="21"/>
  <c r="D71" i="21"/>
  <c r="C72" i="21"/>
  <c r="B72" i="21" s="1" a="1"/>
  <c r="B72" i="21" s="1"/>
  <c r="D72" i="21"/>
  <c r="C73" i="21"/>
  <c r="B73" i="21" s="1" a="1"/>
  <c r="B73" i="21" s="1"/>
  <c r="D73" i="21"/>
  <c r="B74" i="21" a="1"/>
  <c r="B74" i="21" s="1"/>
  <c r="C74" i="21"/>
  <c r="D74" i="21"/>
  <c r="C75" i="21"/>
  <c r="B75" i="21" s="1" a="1"/>
  <c r="B75" i="21" s="1"/>
  <c r="D75" i="21"/>
  <c r="E75" i="21"/>
  <c r="F75" i="21"/>
  <c r="G75" i="21"/>
  <c r="B76" i="21" a="1"/>
  <c r="B76" i="21" s="1"/>
  <c r="C76" i="21"/>
  <c r="D76" i="21"/>
  <c r="E76" i="21"/>
  <c r="F76" i="21"/>
  <c r="G76" i="21"/>
  <c r="B77" i="21" a="1"/>
  <c r="B77" i="21" s="1"/>
  <c r="C77" i="21"/>
  <c r="D77" i="21"/>
  <c r="E77" i="21"/>
  <c r="F77" i="21"/>
  <c r="G77" i="21"/>
  <c r="C78" i="21"/>
  <c r="B78" i="21" s="1" a="1"/>
  <c r="B78" i="21" s="1"/>
  <c r="D78" i="21"/>
  <c r="E78" i="21"/>
  <c r="F78" i="21"/>
  <c r="G78" i="21"/>
  <c r="B79" i="21" a="1"/>
  <c r="B79" i="21" s="1"/>
  <c r="C79" i="21"/>
  <c r="D79" i="21"/>
  <c r="E79" i="21"/>
  <c r="F79" i="21"/>
  <c r="G79" i="21"/>
  <c r="C80" i="21"/>
  <c r="B80" i="21" s="1" a="1"/>
  <c r="B80" i="21" s="1"/>
  <c r="D80" i="21"/>
  <c r="E80" i="21"/>
  <c r="F80" i="21"/>
  <c r="G80" i="21"/>
  <c r="C81" i="21"/>
  <c r="B81" i="21" s="1" a="1"/>
  <c r="B81" i="21" s="1"/>
  <c r="D81" i="21"/>
  <c r="E81" i="21"/>
  <c r="F81" i="21"/>
  <c r="G81" i="21"/>
  <c r="B82" i="21" a="1"/>
  <c r="B82" i="21" s="1"/>
  <c r="C82" i="21"/>
  <c r="D82" i="21"/>
  <c r="E82" i="21"/>
  <c r="F82" i="21"/>
  <c r="G82" i="21"/>
  <c r="C83" i="21"/>
  <c r="B83" i="21" s="1" a="1"/>
  <c r="B83" i="21" s="1"/>
  <c r="D83" i="21"/>
  <c r="E83" i="21"/>
  <c r="F83" i="21"/>
  <c r="G83" i="21"/>
  <c r="B84" i="21" a="1"/>
  <c r="B84" i="21" s="1"/>
  <c r="C84" i="21"/>
  <c r="D84" i="21"/>
  <c r="E84" i="21"/>
  <c r="F84" i="21"/>
  <c r="G84" i="21"/>
  <c r="B85" i="21" a="1"/>
  <c r="B85" i="21" s="1"/>
  <c r="C85" i="21"/>
  <c r="D85" i="21"/>
  <c r="E85" i="21"/>
  <c r="F85" i="21"/>
  <c r="G85" i="21"/>
  <c r="C86" i="21"/>
  <c r="B86" i="21" s="1" a="1"/>
  <c r="B86" i="21" s="1"/>
  <c r="D86" i="21"/>
  <c r="E86" i="21"/>
  <c r="F86" i="21"/>
  <c r="G86" i="21"/>
  <c r="B87" i="21" a="1"/>
  <c r="B87" i="21" s="1"/>
  <c r="C87" i="21"/>
  <c r="D87" i="21"/>
  <c r="E87" i="21"/>
  <c r="F87" i="21"/>
  <c r="G87" i="21"/>
  <c r="C88" i="21"/>
  <c r="B88" i="21" s="1" a="1"/>
  <c r="B88" i="21" s="1"/>
  <c r="D88" i="21"/>
  <c r="E88" i="21"/>
  <c r="F88" i="21"/>
  <c r="G88" i="21"/>
  <c r="C89" i="21"/>
  <c r="B89" i="21" s="1" a="1"/>
  <c r="B89" i="21" s="1"/>
  <c r="D89" i="21"/>
  <c r="E89" i="21"/>
  <c r="F89" i="21"/>
  <c r="G89" i="21"/>
  <c r="B90" i="21" a="1"/>
  <c r="B90" i="21" s="1"/>
  <c r="C90" i="21"/>
  <c r="D90" i="21"/>
  <c r="E90" i="21"/>
  <c r="F90" i="21"/>
  <c r="G90" i="21"/>
  <c r="B91" i="21" a="1"/>
  <c r="B91" i="21"/>
  <c r="C91" i="21"/>
  <c r="D91" i="21"/>
  <c r="E91" i="21"/>
  <c r="F91" i="21"/>
  <c r="G91" i="21"/>
  <c r="B92" i="21" a="1"/>
  <c r="B92" i="21"/>
  <c r="C92" i="21"/>
  <c r="D92" i="21"/>
  <c r="E92" i="21"/>
  <c r="F92" i="21"/>
  <c r="G92" i="21"/>
  <c r="B93" i="21" a="1"/>
  <c r="B93" i="21"/>
  <c r="C93" i="21"/>
  <c r="D93" i="21"/>
  <c r="E93" i="21"/>
  <c r="F93" i="21"/>
  <c r="G93" i="21"/>
  <c r="B94" i="21" a="1"/>
  <c r="B94" i="21"/>
  <c r="C94" i="21"/>
  <c r="D94" i="21"/>
  <c r="E94" i="21"/>
  <c r="F94" i="21"/>
  <c r="G94" i="21"/>
  <c r="B95" i="21" a="1"/>
  <c r="B95" i="21"/>
  <c r="C95" i="21"/>
  <c r="D95" i="21"/>
  <c r="E95" i="21"/>
  <c r="F95" i="21"/>
  <c r="G95" i="21"/>
  <c r="B96" i="21" a="1"/>
  <c r="B96" i="21"/>
  <c r="C96" i="21"/>
  <c r="D96" i="21"/>
  <c r="E96" i="21"/>
  <c r="F96" i="21"/>
  <c r="G96" i="21"/>
  <c r="B97" i="21" a="1"/>
  <c r="B97" i="21"/>
  <c r="C97" i="21"/>
  <c r="D97" i="21"/>
  <c r="E97" i="21"/>
  <c r="F97" i="21"/>
  <c r="G97" i="21"/>
  <c r="B98" i="21" a="1"/>
  <c r="B98" i="21"/>
  <c r="C98" i="21"/>
  <c r="D98" i="21"/>
  <c r="E98" i="21"/>
  <c r="F98" i="21"/>
  <c r="G98" i="21"/>
  <c r="B99" i="21" a="1"/>
  <c r="B99" i="21"/>
  <c r="C99" i="21"/>
  <c r="D99" i="21"/>
  <c r="E99" i="21"/>
  <c r="F99" i="21"/>
  <c r="G99" i="21"/>
  <c r="B100" i="21" a="1"/>
  <c r="B100" i="21"/>
  <c r="C100" i="21"/>
  <c r="D100" i="21"/>
  <c r="E100" i="21"/>
  <c r="F100" i="21"/>
  <c r="G100" i="21"/>
  <c r="B101" i="21" a="1"/>
  <c r="B101" i="21"/>
  <c r="C101" i="21"/>
  <c r="D101" i="21"/>
  <c r="E101" i="21"/>
  <c r="F101" i="21"/>
  <c r="G101" i="21"/>
  <c r="B102" i="21" a="1"/>
  <c r="B102" i="21"/>
  <c r="C102" i="21"/>
  <c r="D102" i="21"/>
  <c r="E102" i="21"/>
  <c r="F102" i="21"/>
  <c r="G102" i="21"/>
  <c r="B103" i="21" a="1"/>
  <c r="B103" i="21"/>
  <c r="C103" i="21"/>
  <c r="D103" i="21"/>
  <c r="E103" i="21"/>
  <c r="F103" i="21"/>
  <c r="G103" i="21"/>
  <c r="B104" i="21" a="1"/>
  <c r="B104" i="21"/>
  <c r="C104" i="21"/>
  <c r="D104" i="21"/>
  <c r="E104" i="21"/>
  <c r="F104" i="21"/>
  <c r="G104" i="21"/>
  <c r="B105" i="21" a="1"/>
  <c r="B105" i="21"/>
  <c r="C105" i="21"/>
  <c r="D105" i="21"/>
  <c r="E105" i="21"/>
  <c r="F105" i="21"/>
  <c r="G105" i="21"/>
  <c r="B106" i="21" a="1"/>
  <c r="B106" i="21"/>
  <c r="C106" i="21"/>
  <c r="D106" i="21"/>
  <c r="E106" i="21"/>
  <c r="F106" i="21"/>
  <c r="G106" i="21"/>
  <c r="B107" i="21" a="1"/>
  <c r="B107" i="21"/>
  <c r="C107" i="21"/>
  <c r="D107" i="21"/>
  <c r="E107" i="21"/>
  <c r="F107" i="21"/>
  <c r="G107" i="21"/>
  <c r="B108" i="21" a="1"/>
  <c r="B108" i="21"/>
  <c r="C108" i="21"/>
  <c r="D108" i="21"/>
  <c r="E108" i="21"/>
  <c r="F108" i="21"/>
  <c r="G108" i="21"/>
  <c r="B109" i="21" a="1"/>
  <c r="B109" i="21"/>
  <c r="C109" i="21"/>
  <c r="D109" i="21"/>
  <c r="E109" i="21"/>
  <c r="F109" i="21"/>
  <c r="G109" i="21"/>
  <c r="B110" i="21" a="1"/>
  <c r="B110" i="21"/>
  <c r="C110" i="21"/>
  <c r="D110" i="21"/>
  <c r="E110" i="21"/>
  <c r="F110" i="21"/>
  <c r="G110" i="21"/>
  <c r="B111" i="21" a="1"/>
  <c r="B111" i="21"/>
  <c r="C111" i="21"/>
  <c r="D111" i="21"/>
  <c r="E111" i="21"/>
  <c r="F111" i="21"/>
  <c r="G111" i="21"/>
  <c r="B112" i="21" a="1"/>
  <c r="B112" i="21"/>
  <c r="C112" i="21"/>
  <c r="D112" i="21"/>
  <c r="E112" i="21"/>
  <c r="F112" i="21"/>
  <c r="G112" i="21"/>
  <c r="B113" i="21" a="1"/>
  <c r="B113" i="21"/>
  <c r="C113" i="21"/>
  <c r="D113" i="21"/>
  <c r="E113" i="21"/>
  <c r="F113" i="21"/>
  <c r="G113" i="21"/>
  <c r="B114" i="21" a="1"/>
  <c r="B114" i="21"/>
  <c r="C114" i="21"/>
  <c r="D114" i="21"/>
  <c r="E114" i="21"/>
  <c r="F114" i="21"/>
  <c r="G114" i="21"/>
  <c r="B115" i="21" a="1"/>
  <c r="B115" i="21"/>
  <c r="C115" i="21"/>
  <c r="D115" i="21"/>
  <c r="E115" i="21"/>
  <c r="F115" i="21"/>
  <c r="G115" i="21"/>
  <c r="B116" i="21" a="1"/>
  <c r="B116" i="21"/>
  <c r="C116" i="21"/>
  <c r="D116" i="21"/>
  <c r="E116" i="21"/>
  <c r="F116" i="21"/>
  <c r="G116" i="21"/>
  <c r="B117" i="21" a="1"/>
  <c r="B117" i="21"/>
  <c r="C117" i="21"/>
  <c r="D117" i="21"/>
  <c r="E117" i="21"/>
  <c r="F117" i="21"/>
  <c r="G117" i="21"/>
  <c r="B118" i="21" a="1"/>
  <c r="B118" i="21"/>
  <c r="C118" i="21"/>
  <c r="D118" i="21"/>
  <c r="E118" i="21"/>
  <c r="F118" i="21"/>
  <c r="G118" i="21"/>
  <c r="B119" i="21" a="1"/>
  <c r="B119" i="21"/>
  <c r="C119" i="21"/>
  <c r="D119" i="21"/>
  <c r="E119" i="21"/>
  <c r="F119" i="21"/>
  <c r="G119" i="21"/>
  <c r="B120" i="21" a="1"/>
  <c r="B120" i="21"/>
  <c r="C120" i="21"/>
  <c r="D120" i="21"/>
  <c r="E120" i="21"/>
  <c r="F120" i="21"/>
  <c r="G120" i="21"/>
  <c r="B121" i="21" a="1"/>
  <c r="B121" i="21"/>
  <c r="C121" i="21"/>
  <c r="D121" i="21"/>
  <c r="E121" i="21"/>
  <c r="F121" i="21"/>
  <c r="G121" i="21"/>
  <c r="B122" i="21" a="1"/>
  <c r="B122" i="21"/>
  <c r="C122" i="21"/>
  <c r="D122" i="21"/>
  <c r="E122" i="21"/>
  <c r="F122" i="21"/>
  <c r="G122" i="21"/>
  <c r="B123" i="21" a="1"/>
  <c r="B123" i="21"/>
  <c r="C123" i="21"/>
  <c r="D123" i="21"/>
  <c r="E123" i="21"/>
  <c r="F123" i="21"/>
  <c r="G123" i="21"/>
  <c r="B124" i="21" a="1"/>
  <c r="B124" i="21"/>
  <c r="C124" i="21"/>
  <c r="D124" i="21"/>
  <c r="E124" i="21"/>
  <c r="F124" i="21"/>
  <c r="G124" i="21"/>
  <c r="B125" i="21" a="1"/>
  <c r="B125" i="21"/>
  <c r="C125" i="21"/>
  <c r="D125" i="21"/>
  <c r="E125" i="21"/>
  <c r="F125" i="21"/>
  <c r="G125" i="21"/>
  <c r="B126" i="21" a="1"/>
  <c r="B126" i="21"/>
  <c r="C126" i="21"/>
  <c r="D126" i="21"/>
  <c r="E126" i="21"/>
  <c r="F126" i="21"/>
  <c r="G126" i="21"/>
  <c r="B127" i="21" a="1"/>
  <c r="B127" i="21" s="1"/>
  <c r="C127" i="21"/>
  <c r="D127" i="21"/>
  <c r="E127" i="21"/>
  <c r="F127" i="21"/>
  <c r="G127" i="21"/>
  <c r="B128" i="21" a="1"/>
  <c r="B128" i="21"/>
  <c r="C128" i="21"/>
  <c r="D128" i="21"/>
  <c r="E128" i="21"/>
  <c r="F128" i="21"/>
  <c r="G128" i="21"/>
  <c r="B129" i="21" a="1"/>
  <c r="B129" i="21" s="1"/>
  <c r="C129" i="21"/>
  <c r="D129" i="21"/>
  <c r="E129" i="21"/>
  <c r="F129" i="21"/>
  <c r="G129" i="21"/>
  <c r="B130" i="21" a="1"/>
  <c r="B130" i="21" s="1"/>
  <c r="C130" i="21"/>
  <c r="D130" i="21"/>
  <c r="E130" i="21"/>
  <c r="F130" i="21"/>
  <c r="G130" i="21"/>
  <c r="B131" i="21" a="1"/>
  <c r="B131" i="21" s="1"/>
  <c r="C131" i="21"/>
  <c r="D131" i="21"/>
  <c r="E131" i="21"/>
  <c r="F131" i="21"/>
  <c r="G131" i="21"/>
  <c r="B132" i="21" a="1"/>
  <c r="B132" i="21"/>
  <c r="C132" i="21"/>
  <c r="D132" i="21"/>
  <c r="E132" i="21"/>
  <c r="F132" i="21"/>
  <c r="G132" i="21"/>
  <c r="B133" i="21" a="1"/>
  <c r="B133" i="21" s="1"/>
  <c r="C133" i="21"/>
  <c r="D133" i="21"/>
  <c r="E133" i="21"/>
  <c r="F133" i="21"/>
  <c r="G133" i="21"/>
  <c r="B134" i="21" a="1"/>
  <c r="B134" i="21"/>
  <c r="C134" i="21"/>
  <c r="D134" i="21"/>
  <c r="E134" i="21"/>
  <c r="F134" i="21"/>
  <c r="G134" i="21"/>
  <c r="B135" i="21" a="1"/>
  <c r="B135" i="21" s="1"/>
  <c r="C135" i="21"/>
  <c r="D135" i="21"/>
  <c r="E135" i="21"/>
  <c r="F135" i="21"/>
  <c r="G135" i="21"/>
  <c r="B136" i="21" a="1"/>
  <c r="B136" i="21"/>
  <c r="C136" i="21"/>
  <c r="D136" i="21"/>
  <c r="E136" i="21"/>
  <c r="F136" i="21"/>
  <c r="G136" i="21"/>
  <c r="B137" i="21" a="1"/>
  <c r="B137" i="21" s="1"/>
  <c r="C137" i="2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 s="1"/>
  <c r="C139" i="21"/>
  <c r="D139" i="21"/>
  <c r="E139" i="21"/>
  <c r="F139" i="21"/>
  <c r="G139" i="21"/>
  <c r="B140" i="21" a="1"/>
  <c r="B140" i="21"/>
  <c r="C140" i="21"/>
  <c r="D140" i="21"/>
  <c r="E140" i="21"/>
  <c r="F140" i="21"/>
  <c r="G140" i="21"/>
  <c r="B141" i="21" a="1"/>
  <c r="B141" i="21" s="1"/>
  <c r="C141" i="21"/>
  <c r="D141" i="21"/>
  <c r="E141" i="21"/>
  <c r="F141" i="21"/>
  <c r="G141" i="21"/>
  <c r="B142" i="21" a="1"/>
  <c r="B142" i="21"/>
  <c r="C142" i="21"/>
  <c r="D142" i="21"/>
  <c r="E142" i="21"/>
  <c r="F142" i="21"/>
  <c r="G142" i="21"/>
  <c r="B143" i="21" a="1"/>
  <c r="B143" i="21" s="1"/>
  <c r="C143" i="21"/>
  <c r="D143" i="21"/>
  <c r="E143" i="21"/>
  <c r="F143" i="21"/>
  <c r="G143" i="21"/>
  <c r="C144" i="21"/>
  <c r="B144" i="21" s="1" a="1"/>
  <c r="B144" i="21" s="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C146" i="21"/>
  <c r="B146" i="21" s="1" a="1"/>
  <c r="B146" i="21" s="1"/>
  <c r="D146" i="21"/>
  <c r="E146" i="21"/>
  <c r="F146" i="21"/>
  <c r="G146" i="21"/>
  <c r="C147" i="21"/>
  <c r="B147" i="21" s="1" a="1"/>
  <c r="B147" i="21" s="1"/>
  <c r="D147" i="21"/>
  <c r="E147" i="21"/>
  <c r="F147" i="21"/>
  <c r="G147" i="21"/>
  <c r="C148" i="21"/>
  <c r="B148" i="21" s="1" a="1"/>
  <c r="B148" i="21" s="1"/>
  <c r="D148" i="21"/>
  <c r="E148" i="21"/>
  <c r="F148" i="21"/>
  <c r="G148" i="21"/>
  <c r="C149" i="21"/>
  <c r="B149" i="21" s="1" a="1"/>
  <c r="B149" i="21" s="1"/>
  <c r="D149" i="21"/>
  <c r="E149" i="21"/>
  <c r="F149" i="21"/>
  <c r="G149" i="21"/>
  <c r="C150" i="21"/>
  <c r="B150" i="21" s="1" a="1"/>
  <c r="B150" i="21" s="1"/>
  <c r="D150" i="21"/>
  <c r="E150" i="21"/>
  <c r="F150" i="21"/>
  <c r="G150" i="21"/>
  <c r="C151" i="21"/>
  <c r="B151" i="21" s="1" a="1"/>
  <c r="B151" i="21" s="1"/>
  <c r="D151" i="21"/>
  <c r="E151" i="21"/>
  <c r="F151" i="21"/>
  <c r="G151" i="21"/>
  <c r="C152" i="21"/>
  <c r="B152" i="21" s="1" a="1"/>
  <c r="B152" i="21" s="1"/>
  <c r="D152" i="21"/>
  <c r="E152" i="21"/>
  <c r="F152" i="21"/>
  <c r="G152" i="21"/>
  <c r="C153" i="21"/>
  <c r="B153" i="21" s="1" a="1"/>
  <c r="B153" i="21" s="1"/>
  <c r="D153" i="21"/>
  <c r="E153" i="21"/>
  <c r="F153" i="21"/>
  <c r="G153" i="21"/>
  <c r="C154" i="21"/>
  <c r="B154" i="21" s="1" a="1"/>
  <c r="B154" i="21" s="1"/>
  <c r="D154" i="21"/>
  <c r="E154" i="21"/>
  <c r="F154" i="21"/>
  <c r="G154" i="21"/>
  <c r="C155" i="21"/>
  <c r="B155" i="21" s="1" a="1"/>
  <c r="B155" i="21" s="1"/>
  <c r="D155" i="21"/>
  <c r="E155" i="21"/>
  <c r="F155" i="21"/>
  <c r="G155" i="21"/>
  <c r="C156" i="21"/>
  <c r="B156" i="21" s="1" a="1"/>
  <c r="B156" i="21" s="1"/>
  <c r="D156" i="21"/>
  <c r="E156" i="21"/>
  <c r="F156" i="21"/>
  <c r="G156" i="21"/>
  <c r="C157" i="21"/>
  <c r="B157" i="21" s="1" a="1"/>
  <c r="B157" i="21" s="1"/>
  <c r="D157" i="21"/>
  <c r="E157" i="21"/>
  <c r="F157" i="21"/>
  <c r="G157" i="21"/>
  <c r="C158" i="21"/>
  <c r="B158" i="21" s="1" a="1"/>
  <c r="B158" i="21" s="1"/>
  <c r="D158" i="21"/>
  <c r="E158" i="21"/>
  <c r="F158" i="21"/>
  <c r="G158" i="21"/>
  <c r="C159" i="21"/>
  <c r="B159" i="21" s="1" a="1"/>
  <c r="B159" i="21" s="1"/>
  <c r="D159" i="21"/>
  <c r="E159" i="21"/>
  <c r="F159" i="21"/>
  <c r="G159" i="21"/>
  <c r="C160" i="21"/>
  <c r="B160" i="21" s="1" a="1"/>
  <c r="B160" i="21" s="1"/>
  <c r="D160" i="21"/>
  <c r="E160" i="21"/>
  <c r="F160" i="21"/>
  <c r="G160" i="21"/>
  <c r="C161" i="21"/>
  <c r="B161" i="21" s="1" a="1"/>
  <c r="B161" i="21" s="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C164" i="21"/>
  <c r="B164" i="21" s="1" a="1"/>
  <c r="B164" i="21" s="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C166" i="21"/>
  <c r="B166" i="21" s="1" a="1"/>
  <c r="B166" i="21" s="1"/>
  <c r="D166" i="21"/>
  <c r="E166" i="21"/>
  <c r="F166" i="21"/>
  <c r="G166" i="21"/>
  <c r="C167" i="21"/>
  <c r="B167" i="21" s="1" a="1"/>
  <c r="B167" i="21" s="1"/>
  <c r="D167" i="21"/>
  <c r="E167" i="21"/>
  <c r="F167" i="21"/>
  <c r="G167" i="21"/>
  <c r="B168" i="21"/>
  <c r="C168" i="21"/>
  <c r="B168" i="21" s="1" a="1"/>
  <c r="D168" i="21"/>
  <c r="E168" i="21"/>
  <c r="F168" i="21"/>
  <c r="G168" i="21"/>
  <c r="B169" i="21"/>
  <c r="C169" i="21"/>
  <c r="B169" i="21" s="1" a="1"/>
  <c r="D169" i="21"/>
  <c r="E169" i="21"/>
  <c r="F169" i="21"/>
  <c r="G169" i="21"/>
  <c r="C170" i="21"/>
  <c r="B170" i="21" s="1" a="1"/>
  <c r="B170" i="21" s="1"/>
  <c r="D170" i="21"/>
  <c r="E170" i="21"/>
  <c r="F170" i="21"/>
  <c r="G170" i="21"/>
  <c r="B171" i="21"/>
  <c r="C171" i="21"/>
  <c r="B171" i="21" s="1" a="1"/>
  <c r="D171" i="21"/>
  <c r="E171" i="21"/>
  <c r="F171" i="21"/>
  <c r="G171" i="21"/>
  <c r="B172" i="21"/>
  <c r="C172" i="21"/>
  <c r="B172" i="21" s="1" a="1"/>
  <c r="D172" i="21"/>
  <c r="E172" i="21"/>
  <c r="F172" i="21"/>
  <c r="G172" i="21"/>
  <c r="B173" i="21"/>
  <c r="C173" i="21"/>
  <c r="B173" i="21" s="1" a="1"/>
  <c r="D173" i="21"/>
  <c r="E173" i="21"/>
  <c r="F173" i="21"/>
  <c r="G173" i="21"/>
  <c r="C174" i="21"/>
  <c r="B174" i="21" s="1" a="1"/>
  <c r="B174" i="21" s="1"/>
  <c r="D174" i="21"/>
  <c r="E174" i="21"/>
  <c r="F174" i="21"/>
  <c r="G174" i="21"/>
  <c r="C175" i="21"/>
  <c r="B175" i="21" s="1" a="1"/>
  <c r="B175" i="21" s="1"/>
  <c r="D175" i="21"/>
  <c r="E175" i="21"/>
  <c r="F175" i="21"/>
  <c r="G175" i="21"/>
  <c r="B176" i="21"/>
  <c r="C176" i="21"/>
  <c r="B176" i="21" s="1" a="1"/>
  <c r="D176" i="21"/>
  <c r="E176" i="21"/>
  <c r="F176" i="21"/>
  <c r="G176" i="21"/>
  <c r="B177" i="21"/>
  <c r="C177" i="21"/>
  <c r="B177" i="21" s="1" a="1"/>
  <c r="D177" i="21"/>
  <c r="E177" i="21"/>
  <c r="F177" i="21"/>
  <c r="G177" i="21"/>
  <c r="C178" i="21"/>
  <c r="B178" i="21" s="1" a="1"/>
  <c r="B178" i="21" s="1"/>
  <c r="D178" i="21"/>
  <c r="E178" i="21"/>
  <c r="F178" i="21"/>
  <c r="G178" i="21"/>
  <c r="C179" i="21"/>
  <c r="B179" i="21" s="1" a="1"/>
  <c r="B179" i="21" s="1"/>
  <c r="D179" i="21"/>
  <c r="E179" i="21"/>
  <c r="F179" i="21"/>
  <c r="G179" i="21"/>
  <c r="B180" i="21"/>
  <c r="C180" i="21"/>
  <c r="B180" i="21" s="1" a="1"/>
  <c r="D180" i="21"/>
  <c r="E180" i="21"/>
  <c r="F180" i="21"/>
  <c r="G180" i="21"/>
  <c r="B181" i="21"/>
  <c r="C181" i="21"/>
  <c r="B181" i="21" s="1" a="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C183" i="21"/>
  <c r="B183" i="21" s="1" a="1"/>
  <c r="B183" i="21" s="1"/>
  <c r="D183" i="21"/>
  <c r="E183" i="21"/>
  <c r="F183" i="21"/>
  <c r="G183" i="21"/>
  <c r="B184" i="21"/>
  <c r="C184" i="21"/>
  <c r="B184" i="21" s="1" a="1"/>
  <c r="D184" i="21"/>
  <c r="E184" i="21"/>
  <c r="F184" i="21"/>
  <c r="G184" i="21"/>
  <c r="B185" i="21"/>
  <c r="C185" i="21"/>
  <c r="B185" i="21" s="1" a="1"/>
  <c r="D185" i="21"/>
  <c r="E185" i="21"/>
  <c r="F185" i="21"/>
  <c r="G185" i="21"/>
  <c r="C186" i="21"/>
  <c r="B186" i="21" s="1" a="1"/>
  <c r="B186" i="21" s="1"/>
  <c r="D186" i="21"/>
  <c r="E186" i="21"/>
  <c r="F186" i="21"/>
  <c r="G186" i="21"/>
  <c r="C187" i="21"/>
  <c r="B187" i="21" s="1" a="1"/>
  <c r="B187" i="21" s="1"/>
  <c r="D187" i="21"/>
  <c r="E187" i="21"/>
  <c r="F187" i="21"/>
  <c r="G187" i="21"/>
  <c r="B188" i="21"/>
  <c r="C188" i="21"/>
  <c r="B188" i="21" s="1" a="1"/>
  <c r="D188" i="21"/>
  <c r="E188" i="21"/>
  <c r="F188" i="21"/>
  <c r="G188" i="21"/>
  <c r="B189" i="21"/>
  <c r="C189" i="21"/>
  <c r="B189" i="21" s="1" a="1"/>
  <c r="D189" i="21"/>
  <c r="E189" i="21"/>
  <c r="F189" i="21"/>
  <c r="G189" i="21"/>
  <c r="C190" i="21"/>
  <c r="B190" i="21" s="1" a="1"/>
  <c r="B190" i="21" s="1"/>
  <c r="D190" i="21"/>
  <c r="E190" i="21"/>
  <c r="F190" i="21"/>
  <c r="G190" i="21"/>
  <c r="C191" i="21"/>
  <c r="B191" i="21" s="1" a="1"/>
  <c r="B191" i="21" s="1"/>
  <c r="D191" i="21"/>
  <c r="E191" i="21"/>
  <c r="F191" i="21"/>
  <c r="G191" i="21"/>
  <c r="B192" i="21"/>
  <c r="C192" i="21"/>
  <c r="B192" i="21" s="1" a="1"/>
  <c r="D192" i="21"/>
  <c r="E192" i="21"/>
  <c r="F192" i="21"/>
  <c r="G192" i="21"/>
  <c r="B193" i="21"/>
  <c r="C193" i="21"/>
  <c r="B193" i="21" s="1" a="1"/>
  <c r="D193" i="21"/>
  <c r="E193" i="21"/>
  <c r="F193" i="21"/>
  <c r="G193" i="21"/>
  <c r="C194" i="21"/>
  <c r="B194" i="21" s="1" a="1"/>
  <c r="B194" i="21" s="1"/>
  <c r="D194" i="21"/>
  <c r="E194" i="21"/>
  <c r="F194" i="21"/>
  <c r="G194" i="21"/>
  <c r="C195" i="21"/>
  <c r="B195" i="21" s="1" a="1"/>
  <c r="B195" i="21" s="1"/>
  <c r="D195" i="21"/>
  <c r="E195" i="21"/>
  <c r="F195" i="21"/>
  <c r="G195" i="21"/>
  <c r="B196" i="21"/>
  <c r="C196" i="21"/>
  <c r="B196" i="21" s="1" a="1"/>
  <c r="D196" i="21"/>
  <c r="E196" i="21"/>
  <c r="F196" i="21"/>
  <c r="G196" i="21"/>
  <c r="B197" i="21"/>
  <c r="C197" i="21"/>
  <c r="B197" i="21" s="1" a="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C199" i="21"/>
  <c r="B199" i="21" s="1" a="1"/>
  <c r="B199" i="21" s="1"/>
  <c r="D199" i="21"/>
  <c r="E199" i="21"/>
  <c r="F199" i="21"/>
  <c r="G199" i="21"/>
  <c r="B200" i="21"/>
  <c r="C200" i="21"/>
  <c r="B200" i="21" s="1" a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B13" i="8"/>
  <c r="C13" i="8"/>
  <c r="B13" i="8" s="1" a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B29" i="8" a="1"/>
  <c r="B29" i="8" s="1"/>
  <c r="C29" i="8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B50" i="8" a="1"/>
  <c r="B50" i="8" s="1"/>
  <c r="C50" i="8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B66" i="8" a="1"/>
  <c r="B66" i="8" s="1"/>
  <c r="C66" i="8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E75" i="8"/>
  <c r="F75" i="8"/>
  <c r="G75" i="8"/>
  <c r="C76" i="8"/>
  <c r="B76" i="8" s="1" a="1"/>
  <c r="B76" i="8" s="1"/>
  <c r="D76" i="8"/>
  <c r="E76" i="8"/>
  <c r="F76" i="8"/>
  <c r="G76" i="8"/>
  <c r="C77" i="8"/>
  <c r="B77" i="8" s="1" a="1"/>
  <c r="B77" i="8" s="1"/>
  <c r="D77" i="8"/>
  <c r="E77" i="8"/>
  <c r="F77" i="8"/>
  <c r="G77" i="8"/>
  <c r="C78" i="8"/>
  <c r="B78" i="8" s="1" a="1"/>
  <c r="B78" i="8" s="1"/>
  <c r="D78" i="8"/>
  <c r="E78" i="8"/>
  <c r="F78" i="8"/>
  <c r="G78" i="8"/>
  <c r="C79" i="8"/>
  <c r="B79" i="8" s="1" a="1"/>
  <c r="B79" i="8" s="1"/>
  <c r="D79" i="8"/>
  <c r="E79" i="8"/>
  <c r="F79" i="8"/>
  <c r="G79" i="8"/>
  <c r="C80" i="8"/>
  <c r="B80" i="8" s="1" a="1"/>
  <c r="B80" i="8" s="1"/>
  <c r="D80" i="8"/>
  <c r="E80" i="8"/>
  <c r="F80" i="8"/>
  <c r="G80" i="8"/>
  <c r="C81" i="8"/>
  <c r="B81" i="8" s="1" a="1"/>
  <c r="B81" i="8" s="1"/>
  <c r="D81" i="8"/>
  <c r="E81" i="8"/>
  <c r="F81" i="8"/>
  <c r="G81" i="8"/>
  <c r="C82" i="8"/>
  <c r="B82" i="8" s="1" a="1"/>
  <c r="B82" i="8" s="1"/>
  <c r="D82" i="8"/>
  <c r="E82" i="8"/>
  <c r="F82" i="8"/>
  <c r="G82" i="8"/>
  <c r="C83" i="8"/>
  <c r="B83" i="8" s="1" a="1"/>
  <c r="B83" i="8" s="1"/>
  <c r="D83" i="8"/>
  <c r="E83" i="8"/>
  <c r="F83" i="8"/>
  <c r="G83" i="8"/>
  <c r="C84" i="8"/>
  <c r="B84" i="8" s="1" a="1"/>
  <c r="B84" i="8" s="1"/>
  <c r="D84" i="8"/>
  <c r="E84" i="8"/>
  <c r="F84" i="8"/>
  <c r="G84" i="8"/>
  <c r="C85" i="8"/>
  <c r="B85" i="8" s="1" a="1"/>
  <c r="B85" i="8" s="1"/>
  <c r="D85" i="8"/>
  <c r="E85" i="8"/>
  <c r="F85" i="8"/>
  <c r="G85" i="8"/>
  <c r="C86" i="8"/>
  <c r="B86" i="8" s="1" a="1"/>
  <c r="B86" i="8" s="1"/>
  <c r="D86" i="8"/>
  <c r="E86" i="8"/>
  <c r="F86" i="8"/>
  <c r="G86" i="8"/>
  <c r="C87" i="8"/>
  <c r="B87" i="8" s="1" a="1"/>
  <c r="B87" i="8" s="1"/>
  <c r="D87" i="8"/>
  <c r="E87" i="8"/>
  <c r="F87" i="8"/>
  <c r="G87" i="8"/>
  <c r="C88" i="8"/>
  <c r="B88" i="8" s="1" a="1"/>
  <c r="B88" i="8" s="1"/>
  <c r="D88" i="8"/>
  <c r="E88" i="8"/>
  <c r="F88" i="8"/>
  <c r="G88" i="8"/>
  <c r="C89" i="8"/>
  <c r="B89" i="8" s="1" a="1"/>
  <c r="B89" i="8" s="1"/>
  <c r="D89" i="8"/>
  <c r="E89" i="8"/>
  <c r="F89" i="8"/>
  <c r="G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B93" i="8" a="1"/>
  <c r="B93" i="8" s="1"/>
  <c r="C93" i="8"/>
  <c r="D93" i="8"/>
  <c r="E93" i="8"/>
  <c r="F93" i="8"/>
  <c r="G93" i="8"/>
  <c r="C94" i="8"/>
  <c r="B94" i="8" s="1" a="1"/>
  <c r="B94" i="8" s="1"/>
  <c r="D94" i="8"/>
  <c r="E94" i="8"/>
  <c r="F94" i="8"/>
  <c r="G94" i="8"/>
  <c r="B95" i="8" a="1"/>
  <c r="B95" i="8" s="1"/>
  <c r="C95" i="8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C99" i="8"/>
  <c r="B99" i="8" s="1" a="1"/>
  <c r="B99" i="8" s="1"/>
  <c r="D99" i="8"/>
  <c r="E99" i="8"/>
  <c r="F99" i="8"/>
  <c r="G99" i="8"/>
  <c r="B100" i="8" a="1"/>
  <c r="B100" i="8" s="1"/>
  <c r="C100" i="8"/>
  <c r="D100" i="8"/>
  <c r="E100" i="8"/>
  <c r="F100" i="8"/>
  <c r="G100" i="8"/>
  <c r="B101" i="8" a="1"/>
  <c r="B101" i="8" s="1"/>
  <c r="C101" i="8"/>
  <c r="D101" i="8"/>
  <c r="E101" i="8"/>
  <c r="F101" i="8"/>
  <c r="G101" i="8"/>
  <c r="B102" i="8" a="1"/>
  <c r="B102" i="8" s="1"/>
  <c r="C102" i="8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B106" i="8" a="1"/>
  <c r="B106" i="8" s="1"/>
  <c r="C106" i="8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B112" i="8" a="1"/>
  <c r="B112" i="8" s="1"/>
  <c r="C112" i="8"/>
  <c r="D112" i="8"/>
  <c r="E112" i="8"/>
  <c r="F112" i="8"/>
  <c r="G112" i="8"/>
  <c r="B113" i="8" a="1"/>
  <c r="B113" i="8" s="1"/>
  <c r="C113" i="8"/>
  <c r="D113" i="8"/>
  <c r="E113" i="8"/>
  <c r="F113" i="8"/>
  <c r="G113" i="8"/>
  <c r="B114" i="8" a="1"/>
  <c r="B114" i="8" s="1"/>
  <c r="C114" i="8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B121" i="8" a="1"/>
  <c r="B121" i="8" s="1"/>
  <c r="C121" i="8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B128" i="8" a="1"/>
  <c r="B128" i="8" s="1"/>
  <c r="C128" i="8"/>
  <c r="D128" i="8"/>
  <c r="E128" i="8"/>
  <c r="F128" i="8"/>
  <c r="G128" i="8"/>
  <c r="B129" i="8" a="1"/>
  <c r="B129" i="8" s="1"/>
  <c r="C129" i="8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B137" i="8" a="1"/>
  <c r="B137" i="8" s="1"/>
  <c r="C137" i="8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 a="1"/>
  <c r="B152" i="8" s="1"/>
  <c r="C152" i="8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C32" i="13" l="1"/>
  <c r="E15" i="13"/>
  <c r="E11" i="13"/>
  <c r="E9" i="13"/>
  <c r="B44" i="15" l="1"/>
  <c r="G127" i="14" l="1"/>
  <c r="H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F5" i="21" l="1"/>
  <c r="A6" i="21"/>
  <c r="E5" i="21"/>
  <c r="G5" i="21" s="1"/>
  <c r="K2" i="21"/>
  <c r="L2" i="21" s="1"/>
  <c r="M2" i="21" s="1"/>
  <c r="N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O2" i="2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3" i="21"/>
  <c r="A7" i="21" l="1"/>
  <c r="E6" i="21"/>
  <c r="G6" i="21" s="1"/>
  <c r="E4" i="21"/>
  <c r="F4" i="21"/>
  <c r="G4" i="21" s="1"/>
  <c r="D4" i="21"/>
  <c r="F6" i="21"/>
  <c r="L3" i="21"/>
  <c r="E2" i="21"/>
  <c r="D2" i="21"/>
  <c r="F2" i="21"/>
  <c r="J4" i="8"/>
  <c r="J3" i="8"/>
  <c r="H64" i="20"/>
  <c r="H65" i="20"/>
  <c r="H66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4" i="20" a="1"/>
  <c r="M4" i="20" s="1"/>
  <c r="B2" i="13"/>
  <c r="N127" i="14"/>
  <c r="J34" i="20"/>
  <c r="J29" i="20"/>
  <c r="K29" i="20" s="1"/>
  <c r="J26" i="20"/>
  <c r="J49" i="20"/>
  <c r="J42" i="20"/>
  <c r="J51" i="20"/>
  <c r="J58" i="20"/>
  <c r="J53" i="20"/>
  <c r="J56" i="20"/>
  <c r="J48" i="20"/>
  <c r="J50" i="20"/>
  <c r="J54" i="20"/>
  <c r="J55" i="20"/>
  <c r="J57" i="20"/>
  <c r="J59" i="20"/>
  <c r="J60" i="20"/>
  <c r="J4" i="20"/>
  <c r="J13" i="20"/>
  <c r="J8" i="20"/>
  <c r="J30" i="20"/>
  <c r="J47" i="20"/>
  <c r="J12" i="20"/>
  <c r="J63" i="20"/>
  <c r="J44" i="20"/>
  <c r="J64" i="20"/>
  <c r="J65" i="20"/>
  <c r="J66" i="20"/>
  <c r="J41" i="20"/>
  <c r="J5" i="20"/>
  <c r="J6" i="20"/>
  <c r="J35" i="20"/>
  <c r="J9" i="20"/>
  <c r="J11" i="20"/>
  <c r="J7" i="20"/>
  <c r="J20" i="20"/>
  <c r="J15" i="20"/>
  <c r="J14" i="20"/>
  <c r="J27" i="20"/>
  <c r="J19" i="20"/>
  <c r="J16" i="20"/>
  <c r="J21" i="20"/>
  <c r="J17" i="20"/>
  <c r="J37" i="20"/>
  <c r="J32" i="20"/>
  <c r="J23" i="20"/>
  <c r="J45" i="20"/>
  <c r="J46" i="20"/>
  <c r="J18" i="20"/>
  <c r="J39" i="20"/>
  <c r="J31" i="20"/>
  <c r="J24" i="20"/>
  <c r="J33" i="20"/>
  <c r="J25" i="20"/>
  <c r="J10" i="20"/>
  <c r="J38" i="20"/>
  <c r="J40" i="20"/>
  <c r="J43" i="20"/>
  <c r="J28" i="20"/>
  <c r="J36" i="20"/>
  <c r="J22" i="20"/>
  <c r="J52" i="20"/>
  <c r="C16" i="13" l="1"/>
  <c r="G5" i="13"/>
  <c r="G2" i="21"/>
  <c r="A8" i="21"/>
  <c r="E7" i="21"/>
  <c r="G7" i="21" s="1"/>
  <c r="F7" i="21"/>
  <c r="M3" i="2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8" i="20"/>
  <c r="K55" i="20"/>
  <c r="K50" i="20"/>
  <c r="K53" i="20"/>
  <c r="K17" i="20"/>
  <c r="K20" i="20"/>
  <c r="K26" i="20"/>
  <c r="K22" i="20"/>
  <c r="K28" i="20"/>
  <c r="K43" i="20"/>
  <c r="K5" i="20"/>
  <c r="K23" i="20"/>
  <c r="K21" i="20"/>
  <c r="K52" i="20"/>
  <c r="K16" i="20"/>
  <c r="K54" i="20"/>
  <c r="C5" i="8"/>
  <c r="B5" i="8" s="1" a="1"/>
  <c r="B5" i="8" s="1"/>
  <c r="C2" i="13"/>
  <c r="B49" i="15" s="1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D4" i="8" l="1"/>
  <c r="D3" i="8"/>
  <c r="A9" i="21"/>
  <c r="E8" i="21"/>
  <c r="F8" i="21"/>
  <c r="E3" i="21"/>
  <c r="F3" i="21"/>
  <c r="D3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G3" i="21" l="1"/>
  <c r="G8" i="21"/>
  <c r="A10" i="21"/>
  <c r="E9" i="21"/>
  <c r="G9" i="21" s="1"/>
  <c r="F9" i="21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6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3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5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6" i="14"/>
  <c r="G12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8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9" i="14"/>
  <c r="H2" i="14"/>
  <c r="H3" i="14"/>
  <c r="N126" i="14"/>
  <c r="G2" i="14"/>
  <c r="A2" i="8"/>
  <c r="A3" i="8" s="1"/>
  <c r="A11" i="21" l="1"/>
  <c r="E10" i="21"/>
  <c r="F10" i="21"/>
  <c r="A4" i="8"/>
  <c r="D3" i="14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6" i="14"/>
  <c r="E62" i="14"/>
  <c r="E64" i="14"/>
  <c r="E65" i="14"/>
  <c r="E68" i="14"/>
  <c r="E69" i="14"/>
  <c r="E70" i="14"/>
  <c r="E73" i="14"/>
  <c r="E74" i="14"/>
  <c r="E75" i="14"/>
  <c r="E76" i="14"/>
  <c r="E77" i="14"/>
  <c r="E79" i="14"/>
  <c r="E81" i="14"/>
  <c r="E82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A12" i="21" l="1"/>
  <c r="E11" i="21"/>
  <c r="F11" i="21"/>
  <c r="G10" i="21"/>
  <c r="A5" i="8"/>
  <c r="D126" i="14"/>
  <c r="J62" i="20"/>
  <c r="J61" i="20"/>
  <c r="H4" i="13"/>
  <c r="H5" i="13" s="1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G11" i="21"/>
  <c r="A13" i="21"/>
  <c r="E12" i="21"/>
  <c r="G12" i="21" s="1"/>
  <c r="F12" i="21"/>
  <c r="F61" i="20"/>
  <c r="F62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A14" i="21" l="1"/>
  <c r="E13" i="21"/>
  <c r="F13" i="21"/>
  <c r="A7" i="8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B64" i="22" s="1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B68" i="22" s="1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B92" i="22" s="1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B69" i="22" s="1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8" i="8" l="1"/>
  <c r="G13" i="21"/>
  <c r="A15" i="21"/>
  <c r="E14" i="21"/>
  <c r="F14" i="21"/>
  <c r="B72" i="22"/>
  <c r="E72" i="14"/>
  <c r="B59" i="22"/>
  <c r="E59" i="14"/>
  <c r="B67" i="22"/>
  <c r="E67" i="14"/>
  <c r="E2" i="14"/>
  <c r="B2" i="22"/>
  <c r="E78" i="14"/>
  <c r="E54" i="14"/>
  <c r="E96" i="14"/>
  <c r="E57" i="14"/>
  <c r="E80" i="14"/>
  <c r="E83" i="14"/>
  <c r="E63" i="14"/>
  <c r="E38" i="14"/>
  <c r="E71" i="14"/>
  <c r="E66" i="14"/>
  <c r="E49" i="14"/>
  <c r="E58" i="14"/>
  <c r="E61" i="14"/>
  <c r="E51" i="14"/>
  <c r="F15" i="14"/>
  <c r="N15" i="14" s="1"/>
  <c r="E55" i="14"/>
  <c r="F125" i="14"/>
  <c r="N125" i="14" s="1"/>
  <c r="F81" i="14"/>
  <c r="N81" i="14" s="1"/>
  <c r="E47" i="14"/>
  <c r="F47" i="14"/>
  <c r="F76" i="14"/>
  <c r="N76" i="14" s="1"/>
  <c r="F88" i="14"/>
  <c r="N88" i="14" s="1"/>
  <c r="F122" i="14"/>
  <c r="N122" i="14" s="1"/>
  <c r="E16" i="14"/>
  <c r="F16" i="14"/>
  <c r="N16" i="14" s="1"/>
  <c r="E39" i="14"/>
  <c r="F39" i="14"/>
  <c r="E25" i="14"/>
  <c r="F25" i="14"/>
  <c r="N25" i="14" s="1"/>
  <c r="E40" i="14"/>
  <c r="F40" i="14"/>
  <c r="F57" i="14"/>
  <c r="N57" i="14" s="1"/>
  <c r="E24" i="14"/>
  <c r="F24" i="14"/>
  <c r="N24" i="14" s="1"/>
  <c r="F100" i="14"/>
  <c r="N100" i="14" s="1"/>
  <c r="E21" i="14"/>
  <c r="F21" i="14"/>
  <c r="N21" i="14" s="1"/>
  <c r="F85" i="14"/>
  <c r="N85" i="14" s="1"/>
  <c r="F90" i="14"/>
  <c r="N90" i="14" s="1"/>
  <c r="E37" i="14"/>
  <c r="F37" i="14"/>
  <c r="E48" i="14"/>
  <c r="F48" i="14"/>
  <c r="F109" i="14"/>
  <c r="N109" i="14" s="1"/>
  <c r="F80" i="14"/>
  <c r="N80" i="14" s="1"/>
  <c r="E44" i="14"/>
  <c r="F44" i="14"/>
  <c r="F84" i="14"/>
  <c r="N84" i="14" s="1"/>
  <c r="E32" i="14"/>
  <c r="F32" i="14"/>
  <c r="N32" i="14" s="1"/>
  <c r="E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E9" i="14"/>
  <c r="F9" i="14"/>
  <c r="N9" i="14" s="1"/>
  <c r="E6" i="14"/>
  <c r="F6" i="14"/>
  <c r="N6" i="14" s="1"/>
  <c r="E42" i="14"/>
  <c r="F42" i="14"/>
  <c r="F61" i="14"/>
  <c r="F94" i="14"/>
  <c r="N94" i="14" s="1"/>
  <c r="F101" i="14"/>
  <c r="N101" i="14" s="1"/>
  <c r="F72" i="14"/>
  <c r="E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E18" i="14"/>
  <c r="F18" i="14"/>
  <c r="N18" i="14" s="1"/>
  <c r="F83" i="14"/>
  <c r="N83" i="14" s="1"/>
  <c r="F66" i="14"/>
  <c r="F51" i="14"/>
  <c r="F89" i="14"/>
  <c r="N89" i="14" s="1"/>
  <c r="E14" i="14"/>
  <c r="F14" i="14"/>
  <c r="N14" i="14" s="1"/>
  <c r="F79" i="14"/>
  <c r="N79" i="14" s="1"/>
  <c r="E41" i="14"/>
  <c r="F41" i="14"/>
  <c r="E27" i="14"/>
  <c r="F27" i="14"/>
  <c r="N27" i="14" s="1"/>
  <c r="F107" i="14"/>
  <c r="N107" i="14" s="1"/>
  <c r="F93" i="14"/>
  <c r="N93" i="14" s="1"/>
  <c r="E13" i="14"/>
  <c r="F13" i="14"/>
  <c r="N13" i="14" s="1"/>
  <c r="F106" i="14"/>
  <c r="N106" i="14" s="1"/>
  <c r="F104" i="14"/>
  <c r="N104" i="14" s="1"/>
  <c r="F62" i="14"/>
  <c r="N62" i="14" s="1"/>
  <c r="F59" i="14"/>
  <c r="N59" i="14" s="1"/>
  <c r="E15" i="14"/>
  <c r="F102" i="14"/>
  <c r="N102" i="14" s="1"/>
  <c r="F73" i="14"/>
  <c r="N73" i="14" s="1"/>
  <c r="F49" i="14"/>
  <c r="E31" i="14"/>
  <c r="F31" i="14"/>
  <c r="N31" i="14" s="1"/>
  <c r="E36" i="14"/>
  <c r="F36" i="14"/>
  <c r="N36" i="14" s="1"/>
  <c r="F63" i="14"/>
  <c r="N63" i="14" s="1"/>
  <c r="F124" i="14"/>
  <c r="N124" i="14" s="1"/>
  <c r="F82" i="14"/>
  <c r="N82" i="14" s="1"/>
  <c r="E5" i="14"/>
  <c r="F5" i="14"/>
  <c r="N5" i="14" s="1"/>
  <c r="E35" i="14"/>
  <c r="F35" i="14"/>
  <c r="N35" i="14" s="1"/>
  <c r="F119" i="14"/>
  <c r="N119" i="14" s="1"/>
  <c r="E8" i="14"/>
  <c r="F8" i="14"/>
  <c r="N8" i="14" s="1"/>
  <c r="E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E60" i="14"/>
  <c r="F60" i="14"/>
  <c r="N60" i="14" s="1"/>
  <c r="F86" i="14"/>
  <c r="N86" i="14" s="1"/>
  <c r="E23" i="14"/>
  <c r="F23" i="14"/>
  <c r="N23" i="14" s="1"/>
  <c r="F121" i="14"/>
  <c r="N121" i="14" s="1"/>
  <c r="E34" i="14"/>
  <c r="F34" i="14"/>
  <c r="F118" i="14"/>
  <c r="N118" i="14" s="1"/>
  <c r="E28" i="14"/>
  <c r="F28" i="14"/>
  <c r="N28" i="14" s="1"/>
  <c r="F75" i="14"/>
  <c r="F2" i="14"/>
  <c r="N2" i="14" s="1"/>
  <c r="F53" i="14"/>
  <c r="N53" i="14" s="1"/>
  <c r="E26" i="14"/>
  <c r="F26" i="14"/>
  <c r="F110" i="14"/>
  <c r="N110" i="14" s="1"/>
  <c r="F50" i="14"/>
  <c r="N50" i="14" s="1"/>
  <c r="E45" i="14"/>
  <c r="F45" i="14"/>
  <c r="E22" i="14"/>
  <c r="F22" i="14"/>
  <c r="N22" i="14" s="1"/>
  <c r="E20" i="14"/>
  <c r="F20" i="14"/>
  <c r="N20" i="14" s="1"/>
  <c r="F70" i="14"/>
  <c r="N70" i="14" s="1"/>
  <c r="F123" i="14"/>
  <c r="N123" i="14" s="1"/>
  <c r="F55" i="14"/>
  <c r="F98" i="14"/>
  <c r="N98" i="14" s="1"/>
  <c r="E4" i="14"/>
  <c r="F4" i="14"/>
  <c r="N4" i="14" s="1"/>
  <c r="F117" i="14"/>
  <c r="N117" i="14" s="1"/>
  <c r="F115" i="14"/>
  <c r="N115" i="14" s="1"/>
  <c r="F97" i="14"/>
  <c r="N97" i="14" s="1"/>
  <c r="E52" i="14"/>
  <c r="F52" i="14"/>
  <c r="E29" i="14"/>
  <c r="F29" i="14"/>
  <c r="N29" i="14" s="1"/>
  <c r="F74" i="14"/>
  <c r="N74" i="14" s="1"/>
  <c r="F64" i="14"/>
  <c r="N64" i="14" s="1"/>
  <c r="E12" i="14"/>
  <c r="F12" i="14"/>
  <c r="N12" i="14" s="1"/>
  <c r="F54" i="14"/>
  <c r="N54" i="14" s="1"/>
  <c r="E33" i="14"/>
  <c r="F33" i="14"/>
  <c r="N33" i="14" s="1"/>
  <c r="E11" i="14"/>
  <c r="F11" i="14"/>
  <c r="N11" i="14" s="1"/>
  <c r="F108" i="14"/>
  <c r="N108" i="14" s="1"/>
  <c r="F87" i="14"/>
  <c r="N87" i="14" s="1"/>
  <c r="F120" i="14"/>
  <c r="N120" i="14" s="1"/>
  <c r="E46" i="14"/>
  <c r="F46" i="14"/>
  <c r="F116" i="14"/>
  <c r="N116" i="14" s="1"/>
  <c r="E43" i="14"/>
  <c r="F43" i="14"/>
  <c r="N43" i="14" s="1"/>
  <c r="E17" i="14"/>
  <c r="F17" i="14"/>
  <c r="N17" i="14" s="1"/>
  <c r="F113" i="14"/>
  <c r="N113" i="14" s="1"/>
  <c r="F77" i="14"/>
  <c r="N77" i="14" s="1"/>
  <c r="E19" i="14"/>
  <c r="F19" i="14"/>
  <c r="N19" i="14" s="1"/>
  <c r="F56" i="14"/>
  <c r="N56" i="14" s="1"/>
  <c r="F38" i="14"/>
  <c r="F96" i="14"/>
  <c r="N96" i="14" s="1"/>
  <c r="E126" i="14"/>
  <c r="E10" i="14"/>
  <c r="F10" i="14"/>
  <c r="N10" i="14" s="1"/>
  <c r="K1" i="8"/>
  <c r="K4" i="13"/>
  <c r="K5" i="13" s="1"/>
  <c r="D2" i="8"/>
  <c r="A9" i="8" l="1"/>
  <c r="G14" i="21"/>
  <c r="A16" i="21"/>
  <c r="E15" i="21"/>
  <c r="F15" i="21"/>
  <c r="C15" i="13"/>
  <c r="C36" i="15" s="1"/>
  <c r="D8" i="20"/>
  <c r="N66" i="14"/>
  <c r="D23" i="20"/>
  <c r="N45" i="14"/>
  <c r="D63" i="20"/>
  <c r="N75" i="14"/>
  <c r="D12" i="20"/>
  <c r="N67" i="14"/>
  <c r="D53" i="20"/>
  <c r="N41" i="14"/>
  <c r="D4" i="20"/>
  <c r="N71" i="14"/>
  <c r="D37" i="20"/>
  <c r="N52" i="14"/>
  <c r="D5" i="20"/>
  <c r="N55" i="14"/>
  <c r="D16" i="20"/>
  <c r="N47" i="14"/>
  <c r="D30" i="20"/>
  <c r="N49" i="14"/>
  <c r="D44" i="20"/>
  <c r="N72" i="14"/>
  <c r="D43" i="20"/>
  <c r="N48" i="14"/>
  <c r="D29" i="20"/>
  <c r="N39" i="14"/>
  <c r="D21" i="20"/>
  <c r="N46" i="14"/>
  <c r="D54" i="20"/>
  <c r="N26" i="14"/>
  <c r="D26" i="20"/>
  <c r="N34" i="14"/>
  <c r="D22" i="20"/>
  <c r="N37" i="14"/>
  <c r="D13" i="20"/>
  <c r="N58" i="14"/>
  <c r="D17" i="20"/>
  <c r="N61" i="14"/>
  <c r="D47" i="20"/>
  <c r="N38" i="14"/>
  <c r="D20" i="20"/>
  <c r="N51" i="14"/>
  <c r="D55" i="20"/>
  <c r="N42" i="14"/>
  <c r="D50" i="20"/>
  <c r="N44" i="14"/>
  <c r="D28" i="20"/>
  <c r="N40" i="14"/>
  <c r="G3" i="13"/>
  <c r="D52" i="20"/>
  <c r="D34" i="20"/>
  <c r="L1" i="8"/>
  <c r="L4" i="13"/>
  <c r="L5" i="13" s="1"/>
  <c r="A17" i="21" l="1"/>
  <c r="E16" i="21"/>
  <c r="F16" i="21"/>
  <c r="G15" i="21"/>
  <c r="A10" i="8"/>
  <c r="E28" i="20"/>
  <c r="E47" i="20"/>
  <c r="E26" i="20"/>
  <c r="E52" i="20"/>
  <c r="E22" i="20"/>
  <c r="E16" i="20"/>
  <c r="E20" i="20"/>
  <c r="E29" i="20"/>
  <c r="E53" i="20"/>
  <c r="E8" i="20"/>
  <c r="E12" i="20"/>
  <c r="E5" i="20"/>
  <c r="E43" i="20"/>
  <c r="E17" i="20"/>
  <c r="E54" i="20"/>
  <c r="E44" i="20"/>
  <c r="E37" i="20"/>
  <c r="E63" i="20"/>
  <c r="E50" i="20"/>
  <c r="E34" i="20"/>
  <c r="E55" i="20"/>
  <c r="E13" i="20"/>
  <c r="E21" i="20"/>
  <c r="E30" i="20"/>
  <c r="E4" i="20"/>
  <c r="E23" i="20"/>
  <c r="G23" i="13"/>
  <c r="M1" i="8"/>
  <c r="M4" i="13"/>
  <c r="M5" i="13" s="1"/>
  <c r="M25" i="13" s="1"/>
  <c r="G16" i="21" l="1"/>
  <c r="A18" i="21"/>
  <c r="E17" i="21"/>
  <c r="F17" i="21"/>
  <c r="A11" i="8"/>
  <c r="N1" i="8"/>
  <c r="N4" i="13"/>
  <c r="N5" i="13" s="1"/>
  <c r="G17" i="21" l="1"/>
  <c r="A12" i="8"/>
  <c r="A19" i="21"/>
  <c r="E18" i="21"/>
  <c r="G18" i="21" s="1"/>
  <c r="F18" i="21"/>
  <c r="O1" i="8"/>
  <c r="O4" i="13"/>
  <c r="O5" i="13" s="1"/>
  <c r="A20" i="21" l="1"/>
  <c r="E19" i="21"/>
  <c r="F19" i="21"/>
  <c r="A13" i="8"/>
  <c r="C11" i="13"/>
  <c r="P1" i="8"/>
  <c r="P4" i="13"/>
  <c r="P5" i="13" s="1"/>
  <c r="G19" i="21" l="1"/>
  <c r="A14" i="8"/>
  <c r="A21" i="21"/>
  <c r="E20" i="21"/>
  <c r="G20" i="21" s="1"/>
  <c r="F20" i="21"/>
  <c r="Q1" i="8"/>
  <c r="Q4" i="13"/>
  <c r="Q5" i="13" s="1"/>
  <c r="A22" i="21" l="1"/>
  <c r="E21" i="21"/>
  <c r="F21" i="21"/>
  <c r="A15" i="8"/>
  <c r="R1" i="8"/>
  <c r="R4" i="13"/>
  <c r="R5" i="13" s="1"/>
  <c r="G21" i="21" l="1"/>
  <c r="A16" i="8"/>
  <c r="A23" i="21"/>
  <c r="E22" i="21"/>
  <c r="F22" i="21"/>
  <c r="S1" i="8"/>
  <c r="S4" i="13"/>
  <c r="S5" i="13" s="1"/>
  <c r="G22" i="21" l="1"/>
  <c r="F15" i="8"/>
  <c r="A24" i="21"/>
  <c r="E23" i="21"/>
  <c r="F23" i="21"/>
  <c r="A17" i="8"/>
  <c r="F16" i="8"/>
  <c r="T1" i="8"/>
  <c r="T4" i="13"/>
  <c r="T5" i="13" s="1"/>
  <c r="G23" i="21" l="1"/>
  <c r="A25" i="21"/>
  <c r="E24" i="21"/>
  <c r="F24" i="21"/>
  <c r="A18" i="8"/>
  <c r="F17" i="8"/>
  <c r="U1" i="8"/>
  <c r="U4" i="13"/>
  <c r="U5" i="13" s="1"/>
  <c r="A19" i="8" l="1"/>
  <c r="E18" i="8"/>
  <c r="G18" i="8" s="1"/>
  <c r="F18" i="8"/>
  <c r="G24" i="21"/>
  <c r="A26" i="21"/>
  <c r="E25" i="21"/>
  <c r="G25" i="21" s="1"/>
  <c r="F25" i="21"/>
  <c r="V1" i="8"/>
  <c r="V4" i="13"/>
  <c r="V5" i="13" s="1"/>
  <c r="A20" i="8" l="1"/>
  <c r="F19" i="8"/>
  <c r="A27" i="21"/>
  <c r="E26" i="21"/>
  <c r="F26" i="21"/>
  <c r="W1" i="8"/>
  <c r="W4" i="13"/>
  <c r="W5" i="13" s="1"/>
  <c r="E17" i="8" l="1"/>
  <c r="G17" i="8" s="1"/>
  <c r="G26" i="21"/>
  <c r="A28" i="21"/>
  <c r="E27" i="21"/>
  <c r="F27" i="21"/>
  <c r="A21" i="8"/>
  <c r="E20" i="8"/>
  <c r="G20" i="8" s="1"/>
  <c r="F20" i="8"/>
  <c r="X1" i="8"/>
  <c r="E16" i="8" s="1"/>
  <c r="G16" i="8" s="1"/>
  <c r="X4" i="13"/>
  <c r="X5" i="13" s="1"/>
  <c r="A22" i="8" l="1"/>
  <c r="E21" i="8"/>
  <c r="G21" i="8" s="1"/>
  <c r="F21" i="8"/>
  <c r="E19" i="8"/>
  <c r="G19" i="8" s="1"/>
  <c r="G27" i="21"/>
  <c r="A29" i="21"/>
  <c r="E28" i="21"/>
  <c r="F28" i="21"/>
  <c r="Y1" i="8"/>
  <c r="Y4" i="13"/>
  <c r="Y5" i="13" s="1"/>
  <c r="G28" i="21" l="1"/>
  <c r="A30" i="21"/>
  <c r="E29" i="21"/>
  <c r="F29" i="21"/>
  <c r="A23" i="8"/>
  <c r="E22" i="8"/>
  <c r="F22" i="8"/>
  <c r="Z1" i="8"/>
  <c r="Z4" i="13"/>
  <c r="Z5" i="13" s="1"/>
  <c r="G29" i="21" l="1"/>
  <c r="G22" i="8"/>
  <c r="A24" i="8"/>
  <c r="E23" i="8"/>
  <c r="F23" i="8"/>
  <c r="A31" i="21"/>
  <c r="E30" i="21"/>
  <c r="F30" i="21"/>
  <c r="AA1" i="8"/>
  <c r="AA4" i="13"/>
  <c r="AA5" i="13" s="1"/>
  <c r="G23" i="8" l="1"/>
  <c r="G30" i="21"/>
  <c r="A32" i="21"/>
  <c r="E31" i="21"/>
  <c r="F31" i="21"/>
  <c r="A25" i="8"/>
  <c r="E24" i="8"/>
  <c r="F24" i="8"/>
  <c r="AB1" i="8"/>
  <c r="AB4" i="13"/>
  <c r="AB5" i="13" s="1"/>
  <c r="G24" i="8" l="1"/>
  <c r="A26" i="8"/>
  <c r="E25" i="8"/>
  <c r="G25" i="8" s="1"/>
  <c r="F25" i="8"/>
  <c r="G31" i="21"/>
  <c r="A33" i="21"/>
  <c r="E32" i="21"/>
  <c r="F32" i="21"/>
  <c r="AC1" i="8"/>
  <c r="AC4" i="13"/>
  <c r="AC5" i="13" s="1"/>
  <c r="G32" i="21" l="1"/>
  <c r="A34" i="21"/>
  <c r="E33" i="21"/>
  <c r="G33" i="21" s="1"/>
  <c r="F33" i="21"/>
  <c r="A27" i="8"/>
  <c r="E26" i="8"/>
  <c r="F26" i="8"/>
  <c r="AD1" i="8"/>
  <c r="AD4" i="13"/>
  <c r="AD5" i="13" s="1"/>
  <c r="G26" i="8" l="1"/>
  <c r="A28" i="8"/>
  <c r="E27" i="8"/>
  <c r="F27" i="8"/>
  <c r="A35" i="21"/>
  <c r="E34" i="21"/>
  <c r="G34" i="21" s="1"/>
  <c r="F34" i="21"/>
  <c r="AE1" i="8"/>
  <c r="AE4" i="13"/>
  <c r="AE5" i="13" s="1"/>
  <c r="G27" i="8" l="1"/>
  <c r="A36" i="21"/>
  <c r="E35" i="21"/>
  <c r="F35" i="21"/>
  <c r="A29" i="8"/>
  <c r="E28" i="8"/>
  <c r="F28" i="8"/>
  <c r="AF1" i="8"/>
  <c r="AF4" i="13"/>
  <c r="AF5" i="13" s="1"/>
  <c r="G28" i="8" l="1"/>
  <c r="A30" i="8"/>
  <c r="E29" i="8"/>
  <c r="G29" i="8" s="1"/>
  <c r="F29" i="8"/>
  <c r="G35" i="21"/>
  <c r="A37" i="21"/>
  <c r="E36" i="21"/>
  <c r="F36" i="21"/>
  <c r="AG1" i="8"/>
  <c r="AG4" i="13"/>
  <c r="AG5" i="13" s="1"/>
  <c r="G36" i="21" l="1"/>
  <c r="A38" i="21"/>
  <c r="E37" i="21"/>
  <c r="F37" i="21"/>
  <c r="A31" i="8"/>
  <c r="E30" i="8"/>
  <c r="F30" i="8"/>
  <c r="AH1" i="8"/>
  <c r="AH4" i="13"/>
  <c r="AH5" i="13" s="1"/>
  <c r="G37" i="21" l="1"/>
  <c r="G30" i="8"/>
  <c r="A32" i="8"/>
  <c r="A39" i="21"/>
  <c r="E38" i="21"/>
  <c r="F38" i="21"/>
  <c r="AI1" i="8"/>
  <c r="AI4" i="13"/>
  <c r="AI5" i="13" s="1"/>
  <c r="G38" i="21" l="1"/>
  <c r="A40" i="21"/>
  <c r="E39" i="21"/>
  <c r="F39" i="21"/>
  <c r="A33" i="8"/>
  <c r="E32" i="8"/>
  <c r="F32" i="8"/>
  <c r="AJ1" i="8"/>
  <c r="AJ4" i="13"/>
  <c r="AJ5" i="13" s="1"/>
  <c r="G32" i="8" l="1"/>
  <c r="A34" i="8"/>
  <c r="E33" i="8"/>
  <c r="F33" i="8"/>
  <c r="G39" i="21"/>
  <c r="A41" i="21"/>
  <c r="E40" i="21"/>
  <c r="F40" i="21"/>
  <c r="AK1" i="8"/>
  <c r="AK4" i="13"/>
  <c r="AK5" i="13" s="1"/>
  <c r="G40" i="21" l="1"/>
  <c r="A42" i="21"/>
  <c r="E41" i="21"/>
  <c r="F41" i="21"/>
  <c r="G33" i="8"/>
  <c r="A35" i="8"/>
  <c r="E34" i="8"/>
  <c r="F34" i="8"/>
  <c r="F10" i="20"/>
  <c r="AL1" i="8"/>
  <c r="AL4" i="13"/>
  <c r="AL5" i="13" s="1"/>
  <c r="G34" i="8" l="1"/>
  <c r="A36" i="8"/>
  <c r="E35" i="8"/>
  <c r="F35" i="8"/>
  <c r="G41" i="21"/>
  <c r="A43" i="21"/>
  <c r="E42" i="21"/>
  <c r="F42" i="21"/>
  <c r="AM1" i="8"/>
  <c r="AM4" i="13"/>
  <c r="AM5" i="13" s="1"/>
  <c r="G42" i="21" l="1"/>
  <c r="A44" i="21"/>
  <c r="E43" i="21"/>
  <c r="F43" i="21"/>
  <c r="G35" i="8"/>
  <c r="A37" i="8"/>
  <c r="E36" i="8"/>
  <c r="F36" i="8"/>
  <c r="AN1" i="8"/>
  <c r="AN4" i="13"/>
  <c r="AN5" i="13" s="1"/>
  <c r="A38" i="8" l="1"/>
  <c r="E37" i="8"/>
  <c r="F37" i="8"/>
  <c r="G36" i="8"/>
  <c r="G43" i="21"/>
  <c r="A45" i="21"/>
  <c r="E44" i="21"/>
  <c r="F44" i="21"/>
  <c r="F9" i="20"/>
  <c r="AO1" i="8"/>
  <c r="AO4" i="13"/>
  <c r="AO5" i="13" s="1"/>
  <c r="G37" i="8" l="1"/>
  <c r="G44" i="21"/>
  <c r="A46" i="21"/>
  <c r="E45" i="21"/>
  <c r="F45" i="21"/>
  <c r="A39" i="8"/>
  <c r="E38" i="8"/>
  <c r="F38" i="8"/>
  <c r="AP1" i="8"/>
  <c r="AP4" i="13"/>
  <c r="AP5" i="13" s="1"/>
  <c r="G38" i="8" l="1"/>
  <c r="A40" i="8"/>
  <c r="E39" i="8"/>
  <c r="F39" i="8"/>
  <c r="G45" i="21"/>
  <c r="A47" i="21"/>
  <c r="E46" i="21"/>
  <c r="F46" i="21"/>
  <c r="AQ1" i="8"/>
  <c r="AQ4" i="13"/>
  <c r="AQ5" i="13" s="1"/>
  <c r="G39" i="8" l="1"/>
  <c r="G46" i="21"/>
  <c r="A48" i="21"/>
  <c r="E47" i="21"/>
  <c r="F47" i="21"/>
  <c r="A41" i="8"/>
  <c r="E40" i="8"/>
  <c r="G40" i="8" s="1"/>
  <c r="F40" i="8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G47" i="21" l="1"/>
  <c r="E3" i="8"/>
  <c r="E4" i="8"/>
  <c r="F4" i="8"/>
  <c r="F3" i="8"/>
  <c r="E5" i="8"/>
  <c r="E6" i="8"/>
  <c r="F7" i="8"/>
  <c r="F5" i="8"/>
  <c r="F8" i="8"/>
  <c r="F6" i="8"/>
  <c r="E8" i="8"/>
  <c r="F9" i="8"/>
  <c r="E7" i="8"/>
  <c r="F10" i="8"/>
  <c r="E11" i="8"/>
  <c r="E9" i="8"/>
  <c r="F11" i="8"/>
  <c r="F12" i="8"/>
  <c r="E13" i="8"/>
  <c r="E10" i="8"/>
  <c r="G10" i="8" s="1"/>
  <c r="E12" i="8"/>
  <c r="F13" i="8"/>
  <c r="E14" i="8"/>
  <c r="G14" i="8" s="1"/>
  <c r="F14" i="8"/>
  <c r="E15" i="8"/>
  <c r="G15" i="8" s="1"/>
  <c r="E31" i="8"/>
  <c r="F31" i="8"/>
  <c r="A42" i="8"/>
  <c r="E41" i="8"/>
  <c r="F41" i="8"/>
  <c r="A49" i="21"/>
  <c r="E48" i="21"/>
  <c r="F48" i="21"/>
  <c r="F48" i="20"/>
  <c r="F24" i="20"/>
  <c r="F2" i="8"/>
  <c r="G2" i="8" s="1"/>
  <c r="AS4" i="13"/>
  <c r="AS5" i="13" s="1"/>
  <c r="G11" i="8" l="1"/>
  <c r="G41" i="8"/>
  <c r="G12" i="8"/>
  <c r="G31" i="8"/>
  <c r="G9" i="8"/>
  <c r="G6" i="8"/>
  <c r="G7" i="8"/>
  <c r="G5" i="8"/>
  <c r="A43" i="8"/>
  <c r="E42" i="8"/>
  <c r="F42" i="8"/>
  <c r="G13" i="8"/>
  <c r="G8" i="8"/>
  <c r="A50" i="21"/>
  <c r="E49" i="21"/>
  <c r="F49" i="21"/>
  <c r="G4" i="8"/>
  <c r="G3" i="8"/>
  <c r="G48" i="21"/>
  <c r="F60" i="20"/>
  <c r="F32" i="20"/>
  <c r="F59" i="20"/>
  <c r="F35" i="20"/>
  <c r="F40" i="20"/>
  <c r="F14" i="20"/>
  <c r="F42" i="20"/>
  <c r="F58" i="20"/>
  <c r="F31" i="20"/>
  <c r="F27" i="20"/>
  <c r="F49" i="20"/>
  <c r="AT4" i="13"/>
  <c r="AT5" i="13" s="1"/>
  <c r="G42" i="8" l="1"/>
  <c r="A44" i="8"/>
  <c r="E43" i="8"/>
  <c r="G43" i="8" s="1"/>
  <c r="F43" i="8"/>
  <c r="G49" i="21"/>
  <c r="A51" i="21"/>
  <c r="E50" i="21"/>
  <c r="F50" i="21"/>
  <c r="C12" i="13"/>
  <c r="F19" i="20"/>
  <c r="F57" i="20"/>
  <c r="F7" i="20"/>
  <c r="AU4" i="13"/>
  <c r="AU5" i="13" s="1"/>
  <c r="G50" i="21" l="1"/>
  <c r="A52" i="21"/>
  <c r="E51" i="21"/>
  <c r="F51" i="21"/>
  <c r="A45" i="8"/>
  <c r="E44" i="8"/>
  <c r="F44" i="8"/>
  <c r="F22" i="20"/>
  <c r="H22" i="20" s="1"/>
  <c r="AV4" i="13"/>
  <c r="AV5" i="13" s="1"/>
  <c r="G44" i="8" l="1"/>
  <c r="F18" i="20" s="1"/>
  <c r="A46" i="8"/>
  <c r="E45" i="8"/>
  <c r="F45" i="8"/>
  <c r="G51" i="21"/>
  <c r="A53" i="21"/>
  <c r="E52" i="21"/>
  <c r="F52" i="21"/>
  <c r="AW4" i="13"/>
  <c r="AW5" i="13" s="1"/>
  <c r="G52" i="21" l="1"/>
  <c r="A54" i="21"/>
  <c r="E53" i="21"/>
  <c r="F53" i="21"/>
  <c r="G45" i="8"/>
  <c r="F51" i="20" s="1"/>
  <c r="A47" i="8"/>
  <c r="E46" i="8"/>
  <c r="F46" i="8"/>
  <c r="F25" i="20"/>
  <c r="AX4" i="13"/>
  <c r="AX5" i="13" s="1"/>
  <c r="G53" i="21" l="1"/>
  <c r="G46" i="8"/>
  <c r="F34" i="20" s="1"/>
  <c r="H34" i="20" s="1"/>
  <c r="A48" i="8"/>
  <c r="E47" i="8"/>
  <c r="F47" i="8"/>
  <c r="A55" i="21"/>
  <c r="E54" i="21"/>
  <c r="G54" i="21" s="1"/>
  <c r="F54" i="21"/>
  <c r="AY4" i="13"/>
  <c r="AY5" i="13" s="1"/>
  <c r="G47" i="8" l="1"/>
  <c r="A56" i="21"/>
  <c r="E55" i="21"/>
  <c r="F55" i="21"/>
  <c r="A49" i="8"/>
  <c r="E48" i="8"/>
  <c r="F48" i="8"/>
  <c r="AZ4" i="13"/>
  <c r="AZ5" i="13" s="1"/>
  <c r="G48" i="8" l="1"/>
  <c r="A50" i="8"/>
  <c r="E49" i="8"/>
  <c r="F49" i="8"/>
  <c r="G55" i="21"/>
  <c r="A57" i="21"/>
  <c r="E56" i="21"/>
  <c r="F56" i="21"/>
  <c r="BA4" i="13"/>
  <c r="BA5" i="13" s="1"/>
  <c r="G56" i="21" l="1"/>
  <c r="E57" i="21"/>
  <c r="A58" i="21"/>
  <c r="F57" i="21"/>
  <c r="G49" i="8"/>
  <c r="A51" i="8"/>
  <c r="E50" i="8"/>
  <c r="F50" i="8"/>
  <c r="F28" i="20"/>
  <c r="H28" i="20" s="1"/>
  <c r="F21" i="20"/>
  <c r="H21" i="20" s="1"/>
  <c r="F23" i="20"/>
  <c r="H23" i="20" s="1"/>
  <c r="BB4" i="13"/>
  <c r="BB5" i="13" s="1"/>
  <c r="G50" i="8" l="1"/>
  <c r="F52" i="20" s="1"/>
  <c r="H52" i="20" s="1"/>
  <c r="A52" i="8"/>
  <c r="E51" i="8"/>
  <c r="F51" i="8"/>
  <c r="A59" i="21"/>
  <c r="E58" i="21"/>
  <c r="G58" i="21" s="1"/>
  <c r="F58" i="21"/>
  <c r="G57" i="21"/>
  <c r="BC4" i="13"/>
  <c r="BC5" i="13" s="1"/>
  <c r="G51" i="8" l="1"/>
  <c r="F15" i="20" s="1"/>
  <c r="E59" i="21"/>
  <c r="A60" i="21"/>
  <c r="F59" i="21"/>
  <c r="A53" i="8"/>
  <c r="E52" i="8"/>
  <c r="F52" i="8"/>
  <c r="BD4" i="13"/>
  <c r="BD5" i="13" s="1"/>
  <c r="A54" i="8" l="1"/>
  <c r="E53" i="8"/>
  <c r="F53" i="8"/>
  <c r="G52" i="8"/>
  <c r="F54" i="20" s="1"/>
  <c r="H54" i="20" s="1"/>
  <c r="E60" i="21"/>
  <c r="G60" i="21" s="1"/>
  <c r="A61" i="21"/>
  <c r="F60" i="21"/>
  <c r="G59" i="21"/>
  <c r="F11" i="20"/>
  <c r="F29" i="20"/>
  <c r="H29" i="20" s="1"/>
  <c r="C29" i="13"/>
  <c r="BE4" i="13"/>
  <c r="BE5" i="13" s="1"/>
  <c r="G53" i="8" l="1"/>
  <c r="F39" i="20" s="1"/>
  <c r="E61" i="21"/>
  <c r="A62" i="21"/>
  <c r="F61" i="21"/>
  <c r="A55" i="8"/>
  <c r="E54" i="8"/>
  <c r="F54" i="8"/>
  <c r="C19" i="13"/>
  <c r="C21" i="13" s="1"/>
  <c r="C24" i="13"/>
  <c r="C24" i="15" s="1"/>
  <c r="C23" i="13"/>
  <c r="C22" i="15" s="1"/>
  <c r="C4" i="13"/>
  <c r="C14" i="13" s="1"/>
  <c r="C8" i="13"/>
  <c r="C7" i="13"/>
  <c r="C14" i="15" s="1"/>
  <c r="D29" i="13"/>
  <c r="H3" i="13"/>
  <c r="B29" i="15"/>
  <c r="B34" i="13"/>
  <c r="C20" i="15"/>
  <c r="BF4" i="13"/>
  <c r="BF5" i="13" s="1"/>
  <c r="G54" i="8" l="1"/>
  <c r="A56" i="8"/>
  <c r="E55" i="8"/>
  <c r="F55" i="8"/>
  <c r="A63" i="21"/>
  <c r="E62" i="21"/>
  <c r="F62" i="21"/>
  <c r="G61" i="21"/>
  <c r="H23" i="13"/>
  <c r="F26" i="20"/>
  <c r="H26" i="20" s="1"/>
  <c r="F43" i="20"/>
  <c r="H43" i="20" s="1"/>
  <c r="F36" i="20"/>
  <c r="C16" i="15"/>
  <c r="C6" i="13"/>
  <c r="C34" i="15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F6" i="13"/>
  <c r="G6" i="13" s="1"/>
  <c r="H6" i="13" s="1"/>
  <c r="I6" i="13" s="1"/>
  <c r="J6" i="13" s="1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G62" i="21" l="1"/>
  <c r="A64" i="21"/>
  <c r="E63" i="21"/>
  <c r="G63" i="21" s="1"/>
  <c r="F63" i="21"/>
  <c r="G55" i="8"/>
  <c r="F45" i="20" s="1"/>
  <c r="A57" i="8"/>
  <c r="E56" i="8"/>
  <c r="F56" i="8"/>
  <c r="G18" i="13"/>
  <c r="G24" i="13" s="1"/>
  <c r="F16" i="20"/>
  <c r="H16" i="20" s="1"/>
  <c r="BG5" i="13"/>
  <c r="BG25" i="13" s="1"/>
  <c r="H11" i="13"/>
  <c r="H20" i="13" s="1"/>
  <c r="G20" i="13"/>
  <c r="H9" i="13"/>
  <c r="H13" i="13"/>
  <c r="I26" i="13"/>
  <c r="I27" i="13" s="1"/>
  <c r="J3" i="13"/>
  <c r="J23" i="13" s="1"/>
  <c r="H15" i="13"/>
  <c r="H22" i="13" s="1"/>
  <c r="BH4" i="13"/>
  <c r="G56" i="8" l="1"/>
  <c r="A58" i="8"/>
  <c r="E57" i="8"/>
  <c r="G57" i="8" s="1"/>
  <c r="F57" i="8"/>
  <c r="A65" i="21"/>
  <c r="E64" i="21"/>
  <c r="F64" i="21"/>
  <c r="I11" i="13"/>
  <c r="I20" i="13" s="1"/>
  <c r="BG6" i="13"/>
  <c r="BH5" i="13"/>
  <c r="BH25" i="13" s="1"/>
  <c r="I13" i="13"/>
  <c r="I21" i="13" s="1"/>
  <c r="H21" i="13"/>
  <c r="I9" i="13"/>
  <c r="I19" i="13" s="1"/>
  <c r="H19" i="13"/>
  <c r="H18" i="13"/>
  <c r="H24" i="13" s="1"/>
  <c r="J11" i="13"/>
  <c r="J20" i="13" s="1"/>
  <c r="F20" i="20"/>
  <c r="H20" i="20" s="1"/>
  <c r="I18" i="13"/>
  <c r="I15" i="13"/>
  <c r="I22" i="13" s="1"/>
  <c r="K3" i="13"/>
  <c r="K23" i="13" s="1"/>
  <c r="J26" i="13"/>
  <c r="J27" i="13" s="1"/>
  <c r="BI4" i="13"/>
  <c r="G64" i="21" l="1"/>
  <c r="E65" i="21"/>
  <c r="A66" i="21"/>
  <c r="F65" i="21"/>
  <c r="A59" i="8"/>
  <c r="E58" i="8"/>
  <c r="F58" i="8"/>
  <c r="BH6" i="13"/>
  <c r="J13" i="13"/>
  <c r="J21" i="13" s="1"/>
  <c r="J9" i="13"/>
  <c r="J19" i="13" s="1"/>
  <c r="K11" i="13"/>
  <c r="K20" i="13" s="1"/>
  <c r="BI5" i="13"/>
  <c r="J18" i="13"/>
  <c r="I24" i="13"/>
  <c r="K26" i="13"/>
  <c r="K27" i="13" s="1"/>
  <c r="L3" i="13"/>
  <c r="L23" i="13" s="1"/>
  <c r="J15" i="13"/>
  <c r="J22" i="13" s="1"/>
  <c r="BJ4" i="13"/>
  <c r="G58" i="8" l="1"/>
  <c r="A60" i="8"/>
  <c r="E59" i="8"/>
  <c r="F59" i="8"/>
  <c r="A67" i="21"/>
  <c r="E66" i="21"/>
  <c r="F66" i="21"/>
  <c r="G65" i="21"/>
  <c r="K13" i="13"/>
  <c r="K21" i="13" s="1"/>
  <c r="BI6" i="13"/>
  <c r="BI25" i="13"/>
  <c r="K9" i="13"/>
  <c r="K19" i="13" s="1"/>
  <c r="L11" i="13"/>
  <c r="L20" i="13" s="1"/>
  <c r="F50" i="20"/>
  <c r="H50" i="20" s="1"/>
  <c r="BJ5" i="13"/>
  <c r="F37" i="20"/>
  <c r="H37" i="20" s="1"/>
  <c r="K18" i="13"/>
  <c r="J24" i="13"/>
  <c r="L26" i="13"/>
  <c r="L27" i="13" s="1"/>
  <c r="M3" i="13"/>
  <c r="M23" i="13" s="1"/>
  <c r="L13" i="13"/>
  <c r="L21" i="13" s="1"/>
  <c r="K15" i="13"/>
  <c r="K22" i="13" s="1"/>
  <c r="L9" i="13"/>
  <c r="L19" i="13" s="1"/>
  <c r="BK4" i="13"/>
  <c r="G66" i="21" l="1"/>
  <c r="E67" i="21"/>
  <c r="A68" i="21"/>
  <c r="F67" i="21"/>
  <c r="G59" i="8"/>
  <c r="A61" i="8"/>
  <c r="E60" i="8"/>
  <c r="G60" i="8" s="1"/>
  <c r="F41" i="20" s="1"/>
  <c r="F60" i="8"/>
  <c r="M11" i="13"/>
  <c r="M20" i="13" s="1"/>
  <c r="BJ6" i="13"/>
  <c r="BJ25" i="13"/>
  <c r="BK5" i="13"/>
  <c r="L18" i="13"/>
  <c r="K24" i="13"/>
  <c r="M13" i="13"/>
  <c r="M21" i="13" s="1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A62" i="8" l="1"/>
  <c r="E61" i="8"/>
  <c r="F61" i="8"/>
  <c r="E68" i="21"/>
  <c r="A69" i="21"/>
  <c r="F68" i="21"/>
  <c r="G67" i="21"/>
  <c r="BK6" i="13"/>
  <c r="BL6" i="13" s="1"/>
  <c r="BK25" i="13"/>
  <c r="F47" i="20"/>
  <c r="H47" i="20" s="1"/>
  <c r="M18" i="13"/>
  <c r="F55" i="20"/>
  <c r="H55" i="20" s="1"/>
  <c r="O3" i="13"/>
  <c r="O23" i="13" s="1"/>
  <c r="N23" i="13"/>
  <c r="BL25" i="13"/>
  <c r="C5" i="13"/>
  <c r="C13" i="13" s="1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BM4" i="13"/>
  <c r="E69" i="21" l="1"/>
  <c r="A70" i="21"/>
  <c r="F69" i="21"/>
  <c r="G68" i="21"/>
  <c r="G61" i="8"/>
  <c r="F33" i="20" s="1"/>
  <c r="A63" i="8"/>
  <c r="E62" i="8"/>
  <c r="F62" i="8"/>
  <c r="N18" i="13"/>
  <c r="BM5" i="13"/>
  <c r="BM6" i="13" s="1"/>
  <c r="M24" i="13"/>
  <c r="N15" i="13"/>
  <c r="N22" i="13" s="1"/>
  <c r="O13" i="13"/>
  <c r="O21" i="13" s="1"/>
  <c r="O18" i="13"/>
  <c r="P11" i="13"/>
  <c r="P20" i="13" s="1"/>
  <c r="P3" i="13"/>
  <c r="P23" i="13" s="1"/>
  <c r="O26" i="13"/>
  <c r="O27" i="13" s="1"/>
  <c r="O9" i="13"/>
  <c r="BN4" i="13"/>
  <c r="O19" i="13" l="1"/>
  <c r="P9" i="13"/>
  <c r="P19" i="13" s="1"/>
  <c r="G62" i="8"/>
  <c r="F53" i="20" s="1"/>
  <c r="H53" i="20" s="1"/>
  <c r="A64" i="8"/>
  <c r="E63" i="8"/>
  <c r="F63" i="8"/>
  <c r="A71" i="21"/>
  <c r="E70" i="21"/>
  <c r="F70" i="21"/>
  <c r="G69" i="21"/>
  <c r="BM25" i="13"/>
  <c r="BN5" i="13"/>
  <c r="BN6" i="13" s="1"/>
  <c r="F5" i="20"/>
  <c r="H5" i="20" s="1"/>
  <c r="N24" i="13"/>
  <c r="Q11" i="13"/>
  <c r="Q20" i="13" s="1"/>
  <c r="P18" i="13"/>
  <c r="P13" i="13"/>
  <c r="P21" i="13" s="1"/>
  <c r="O15" i="13"/>
  <c r="O22" i="13" s="1"/>
  <c r="P26" i="13"/>
  <c r="P27" i="13" s="1"/>
  <c r="Q3" i="13"/>
  <c r="Q23" i="13" s="1"/>
  <c r="BO4" i="13"/>
  <c r="BO5" i="13" s="1"/>
  <c r="G70" i="21" l="1"/>
  <c r="A72" i="21"/>
  <c r="E71" i="21"/>
  <c r="G71" i="21" s="1"/>
  <c r="F71" i="21"/>
  <c r="G63" i="8"/>
  <c r="BO6" i="13"/>
  <c r="A65" i="8"/>
  <c r="E64" i="8"/>
  <c r="F64" i="8"/>
  <c r="BN25" i="13"/>
  <c r="O24" i="13"/>
  <c r="Q9" i="13"/>
  <c r="Q19" i="13" s="1"/>
  <c r="Q13" i="13"/>
  <c r="Q21" i="13" s="1"/>
  <c r="Q18" i="13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BP6" i="13" l="1"/>
  <c r="G64" i="8"/>
  <c r="A66" i="8"/>
  <c r="E65" i="8"/>
  <c r="G65" i="8" s="1"/>
  <c r="F65" i="8"/>
  <c r="A73" i="21"/>
  <c r="E72" i="21"/>
  <c r="G72" i="21" s="1"/>
  <c r="F72" i="21"/>
  <c r="P24" i="13"/>
  <c r="Q15" i="13"/>
  <c r="Q22" i="13" s="1"/>
  <c r="R18" i="13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Q6" i="13" s="1"/>
  <c r="BP25" i="13"/>
  <c r="E73" i="21" l="1"/>
  <c r="A74" i="21"/>
  <c r="F73" i="21"/>
  <c r="A67" i="8"/>
  <c r="E66" i="8"/>
  <c r="F66" i="8"/>
  <c r="F30" i="20"/>
  <c r="H30" i="20" s="1"/>
  <c r="Q24" i="13"/>
  <c r="S13" i="13"/>
  <c r="S21" i="13" s="1"/>
  <c r="S26" i="13"/>
  <c r="S27" i="13" s="1"/>
  <c r="T3" i="13"/>
  <c r="T23" i="13" s="1"/>
  <c r="T11" i="13"/>
  <c r="T20" i="13" s="1"/>
  <c r="S18" i="13"/>
  <c r="R15" i="13"/>
  <c r="R22" i="13" s="1"/>
  <c r="S9" i="13"/>
  <c r="S19" i="13" s="1"/>
  <c r="BR4" i="13"/>
  <c r="BR5" i="13" s="1"/>
  <c r="BR6" i="13" s="1"/>
  <c r="BQ25" i="13"/>
  <c r="G66" i="8" l="1"/>
  <c r="A68" i="8"/>
  <c r="E67" i="8"/>
  <c r="G67" i="8" s="1"/>
  <c r="F46" i="20" s="1"/>
  <c r="F67" i="8"/>
  <c r="A75" i="2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E74" i="21"/>
  <c r="F74" i="21"/>
  <c r="G73" i="21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18" i="13"/>
  <c r="T13" i="13"/>
  <c r="T21" i="13" s="1"/>
  <c r="BR25" i="13"/>
  <c r="BS4" i="13"/>
  <c r="BS5" i="13" s="1"/>
  <c r="BS6" i="13" s="1"/>
  <c r="G74" i="21" l="1"/>
  <c r="A69" i="8"/>
  <c r="E68" i="8"/>
  <c r="F68" i="8"/>
  <c r="F13" i="20"/>
  <c r="H13" i="20" s="1"/>
  <c r="S24" i="13"/>
  <c r="U26" i="13"/>
  <c r="U27" i="13" s="1"/>
  <c r="V3" i="13"/>
  <c r="V23" i="13" s="1"/>
  <c r="U9" i="13"/>
  <c r="U19" i="13" s="1"/>
  <c r="U18" i="13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BT6" i="13" s="1"/>
  <c r="G68" i="8" l="1"/>
  <c r="F38" i="20" s="1"/>
  <c r="A70" i="8"/>
  <c r="E69" i="8"/>
  <c r="G69" i="8" s="1"/>
  <c r="F56" i="20" s="1"/>
  <c r="F69" i="8"/>
  <c r="T24" i="13"/>
  <c r="V18" i="13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U4" i="13"/>
  <c r="BU5" i="13" s="1"/>
  <c r="BU6" i="13" s="1"/>
  <c r="E70" i="8" l="1"/>
  <c r="A71" i="8"/>
  <c r="F70" i="8"/>
  <c r="U24" i="13"/>
  <c r="W13" i="13"/>
  <c r="W21" i="13" s="1"/>
  <c r="X11" i="13"/>
  <c r="X20" i="13" s="1"/>
  <c r="W9" i="13"/>
  <c r="W19" i="13" s="1"/>
  <c r="V15" i="13"/>
  <c r="V22" i="13" s="1"/>
  <c r="W18" i="13"/>
  <c r="W26" i="13"/>
  <c r="W27" i="13" s="1"/>
  <c r="X3" i="13"/>
  <c r="X23" i="13" s="1"/>
  <c r="BU25" i="13"/>
  <c r="BV4" i="13"/>
  <c r="BV5" i="13" s="1"/>
  <c r="BV6" i="13" s="1"/>
  <c r="A72" i="8" l="1"/>
  <c r="E71" i="8"/>
  <c r="F71" i="8"/>
  <c r="G70" i="8"/>
  <c r="V24" i="13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18" i="13"/>
  <c r="BV25" i="13"/>
  <c r="BW4" i="13"/>
  <c r="BW5" i="13" s="1"/>
  <c r="BW6" i="13" s="1"/>
  <c r="G71" i="8" l="1"/>
  <c r="E72" i="8"/>
  <c r="A73" i="8"/>
  <c r="F72" i="8"/>
  <c r="W24" i="13"/>
  <c r="Y26" i="13"/>
  <c r="Y27" i="13" s="1"/>
  <c r="Z3" i="13"/>
  <c r="Z23" i="13" s="1"/>
  <c r="Y18" i="13"/>
  <c r="Y9" i="13"/>
  <c r="Y19" i="13" s="1"/>
  <c r="Y13" i="13"/>
  <c r="Y21" i="13" s="1"/>
  <c r="X15" i="13"/>
  <c r="X22" i="13" s="1"/>
  <c r="Z11" i="13"/>
  <c r="Z20" i="13" s="1"/>
  <c r="BW25" i="13"/>
  <c r="BX4" i="13"/>
  <c r="BX5" i="13" s="1"/>
  <c r="BX6" i="13" s="1"/>
  <c r="E73" i="8" l="1"/>
  <c r="A74" i="8"/>
  <c r="F73" i="8"/>
  <c r="G72" i="8"/>
  <c r="X24" i="13"/>
  <c r="Z9" i="13"/>
  <c r="Z19" i="13" s="1"/>
  <c r="AA11" i="13"/>
  <c r="AA20" i="13" s="1"/>
  <c r="Z18" i="13"/>
  <c r="Y15" i="13"/>
  <c r="Y22" i="13" s="1"/>
  <c r="AA3" i="13"/>
  <c r="AA23" i="13" s="1"/>
  <c r="Z26" i="13"/>
  <c r="Z27" i="13" s="1"/>
  <c r="Z13" i="13"/>
  <c r="Z21" i="13" s="1"/>
  <c r="BX25" i="13"/>
  <c r="BY4" i="13"/>
  <c r="BY5" i="13" s="1"/>
  <c r="BY6" i="13" s="1"/>
  <c r="E74" i="8" l="1"/>
  <c r="A75" i="8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74" i="8"/>
  <c r="G73" i="8"/>
  <c r="Y24" i="13"/>
  <c r="Z15" i="13"/>
  <c r="Z22" i="13" s="1"/>
  <c r="AA18" i="13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BZ4" i="13"/>
  <c r="BZ5" i="13" s="1"/>
  <c r="BZ6" i="13" s="1"/>
  <c r="G74" i="8" l="1"/>
  <c r="Z24" i="13"/>
  <c r="AC11" i="13"/>
  <c r="AC20" i="13" s="1"/>
  <c r="AB13" i="13"/>
  <c r="AB21" i="13" s="1"/>
  <c r="AB26" i="13"/>
  <c r="AB27" i="13" s="1"/>
  <c r="AC3" i="13"/>
  <c r="AC23" i="13" s="1"/>
  <c r="AB18" i="13"/>
  <c r="AB9" i="13"/>
  <c r="AB19" i="13" s="1"/>
  <c r="AA15" i="13"/>
  <c r="AA22" i="13" s="1"/>
  <c r="BZ25" i="13"/>
  <c r="CA4" i="13"/>
  <c r="CA5" i="13" s="1"/>
  <c r="CA6" i="13" s="1"/>
  <c r="F6" i="20" l="1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18" i="13"/>
  <c r="CA25" i="13"/>
  <c r="CB4" i="13"/>
  <c r="CB5" i="13" s="1"/>
  <c r="CB6" i="13" s="1"/>
  <c r="AB24" i="13" l="1"/>
  <c r="AD26" i="13"/>
  <c r="AD27" i="13" s="1"/>
  <c r="AE3" i="13"/>
  <c r="AE23" i="13" s="1"/>
  <c r="AD18" i="13"/>
  <c r="AD13" i="13"/>
  <c r="AD21" i="13" s="1"/>
  <c r="AE11" i="13"/>
  <c r="AE20" i="13" s="1"/>
  <c r="AC15" i="13"/>
  <c r="AC22" i="13" s="1"/>
  <c r="AD9" i="13"/>
  <c r="AD19" i="13" s="1"/>
  <c r="CB25" i="13"/>
  <c r="CC4" i="13"/>
  <c r="CC5" i="13" s="1"/>
  <c r="CC6" i="13" s="1"/>
  <c r="AC24" i="13" l="1"/>
  <c r="AE13" i="13"/>
  <c r="AE21" i="13" s="1"/>
  <c r="AE9" i="13"/>
  <c r="AE19" i="13" s="1"/>
  <c r="AE18" i="13"/>
  <c r="AD15" i="13"/>
  <c r="AD22" i="13" s="1"/>
  <c r="AE26" i="13"/>
  <c r="AE27" i="13" s="1"/>
  <c r="AF3" i="13"/>
  <c r="AF23" i="13" s="1"/>
  <c r="AF11" i="13"/>
  <c r="AF20" i="13" s="1"/>
  <c r="CC25" i="13"/>
  <c r="CD4" i="13"/>
  <c r="CD5" i="13" s="1"/>
  <c r="CD6" i="13" s="1"/>
  <c r="AD24" i="13" l="1"/>
  <c r="AE15" i="13"/>
  <c r="AE22" i="13" s="1"/>
  <c r="AG11" i="13"/>
  <c r="AG20" i="13" s="1"/>
  <c r="AF18" i="13"/>
  <c r="AF9" i="13"/>
  <c r="AF19" i="13" s="1"/>
  <c r="AF26" i="13"/>
  <c r="AF27" i="13" s="1"/>
  <c r="AG3" i="13"/>
  <c r="AG23" i="13" s="1"/>
  <c r="AF13" i="13"/>
  <c r="AF21" i="13" s="1"/>
  <c r="CD25" i="13"/>
  <c r="CE4" i="13"/>
  <c r="CE5" i="13" s="1"/>
  <c r="CE6" i="13" s="1"/>
  <c r="AE24" i="13" l="1"/>
  <c r="AG13" i="13"/>
  <c r="AG21" i="13" s="1"/>
  <c r="AH11" i="13"/>
  <c r="AH20" i="13" s="1"/>
  <c r="AG9" i="13"/>
  <c r="AG19" i="13" s="1"/>
  <c r="AG26" i="13"/>
  <c r="AG27" i="13" s="1"/>
  <c r="AH3" i="13"/>
  <c r="AF15" i="13"/>
  <c r="AF22" i="13" s="1"/>
  <c r="CE25" i="13"/>
  <c r="CF4" i="13"/>
  <c r="CF5" i="13" s="1"/>
  <c r="CF6" i="13" s="1"/>
  <c r="AG18" i="13" l="1"/>
  <c r="AG24" i="13" s="1"/>
  <c r="AH18" i="13"/>
  <c r="AH23" i="13"/>
  <c r="AF24" i="13"/>
  <c r="AH9" i="13"/>
  <c r="AH19" i="13" s="1"/>
  <c r="AI11" i="13"/>
  <c r="AI20" i="13" s="1"/>
  <c r="AG15" i="13"/>
  <c r="AG22" i="13" s="1"/>
  <c r="AH26" i="13"/>
  <c r="AH27" i="13" s="1"/>
  <c r="AI3" i="13"/>
  <c r="AI23" i="13" s="1"/>
  <c r="AH13" i="13"/>
  <c r="AH21" i="13" s="1"/>
  <c r="CF25" i="13"/>
  <c r="CG4" i="13"/>
  <c r="CG5" i="13" s="1"/>
  <c r="CG6" i="13" s="1"/>
  <c r="F17" i="20" l="1"/>
  <c r="H17" i="20" s="1"/>
  <c r="AH15" i="13"/>
  <c r="AH22" i="13" s="1"/>
  <c r="AI13" i="13"/>
  <c r="AI21" i="13" s="1"/>
  <c r="AJ11" i="13"/>
  <c r="AJ20" i="13" s="1"/>
  <c r="AH24" i="13"/>
  <c r="AI18" i="13"/>
  <c r="AI9" i="13"/>
  <c r="AI19" i="13" s="1"/>
  <c r="AJ3" i="13"/>
  <c r="AJ23" i="13" s="1"/>
  <c r="AI26" i="13"/>
  <c r="AI27" i="13" s="1"/>
  <c r="CG25" i="13"/>
  <c r="CH4" i="13"/>
  <c r="CH5" i="13" s="1"/>
  <c r="CH6" i="13" s="1"/>
  <c r="AJ18" i="13" l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I4" i="13"/>
  <c r="CI5" i="13" s="1"/>
  <c r="CI6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18" i="13"/>
  <c r="AJ24" i="13"/>
  <c r="CI25" i="13"/>
  <c r="CJ4" i="13"/>
  <c r="CJ5" i="13" s="1"/>
  <c r="CJ6" i="13" s="1"/>
  <c r="AM11" i="13" l="1"/>
  <c r="AM20" i="13" s="1"/>
  <c r="AK24" i="13"/>
  <c r="AL18" i="13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K4" i="13"/>
  <c r="CK5" i="13" s="1"/>
  <c r="CK6" i="13" s="1"/>
  <c r="AM13" i="13" l="1"/>
  <c r="AM21" i="13" s="1"/>
  <c r="AM18" i="13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L4" i="13"/>
  <c r="CL5" i="13" s="1"/>
  <c r="CL6" i="13" s="1"/>
  <c r="AN9" i="13" l="1"/>
  <c r="AN19" i="13" s="1"/>
  <c r="AM15" i="13"/>
  <c r="AM22" i="13" s="1"/>
  <c r="AN26" i="13"/>
  <c r="AN27" i="13" s="1"/>
  <c r="AO3" i="13"/>
  <c r="AO23" i="13" s="1"/>
  <c r="AN18" i="13"/>
  <c r="AM24" i="13"/>
  <c r="AO11" i="13"/>
  <c r="AO20" i="13" s="1"/>
  <c r="AN13" i="13"/>
  <c r="AN21" i="13" s="1"/>
  <c r="CL25" i="13"/>
  <c r="CM4" i="13"/>
  <c r="CM5" i="13" s="1"/>
  <c r="CM6" i="13" s="1"/>
  <c r="AO18" i="13" l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N6" i="13" s="1"/>
  <c r="CM25" i="13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18" i="13"/>
  <c r="CO4" i="13"/>
  <c r="CO5" i="13" s="1"/>
  <c r="CO6" i="13" s="1"/>
  <c r="CN25" i="13"/>
  <c r="AR3" i="13" l="1"/>
  <c r="AR23" i="13" s="1"/>
  <c r="AQ26" i="13"/>
  <c r="AQ27" i="13" s="1"/>
  <c r="AR11" i="13"/>
  <c r="AR20" i="13" s="1"/>
  <c r="AQ18" i="13"/>
  <c r="AP24" i="13"/>
  <c r="AQ9" i="13"/>
  <c r="AQ19" i="13" s="1"/>
  <c r="AP15" i="13"/>
  <c r="AP22" i="13" s="1"/>
  <c r="AQ13" i="13"/>
  <c r="AQ21" i="13" s="1"/>
  <c r="CP4" i="13"/>
  <c r="CP5" i="13" s="1"/>
  <c r="CP6" i="13" s="1"/>
  <c r="CO25" i="13"/>
  <c r="AQ24" i="13" l="1"/>
  <c r="AR18" i="13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Q4" i="13"/>
  <c r="CQ5" i="13" s="1"/>
  <c r="CQ6" i="13" s="1"/>
  <c r="AR15" i="13" l="1"/>
  <c r="AR22" i="13" s="1"/>
  <c r="AT11" i="13"/>
  <c r="AT20" i="13" s="1"/>
  <c r="AS9" i="13"/>
  <c r="AS19" i="13" s="1"/>
  <c r="AS13" i="13"/>
  <c r="AS21" i="13" s="1"/>
  <c r="AS18" i="13"/>
  <c r="AR24" i="13"/>
  <c r="AS26" i="13"/>
  <c r="AS27" i="13" s="1"/>
  <c r="AT3" i="13"/>
  <c r="AT23" i="13" s="1"/>
  <c r="CQ25" i="13"/>
  <c r="CR4" i="13"/>
  <c r="CR5" i="13" s="1"/>
  <c r="CR6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CR25" i="13"/>
  <c r="CS4" i="13"/>
  <c r="CS5" i="13" s="1"/>
  <c r="CS6" i="13" s="1"/>
  <c r="AT18" i="13" l="1"/>
  <c r="AT24" i="13" s="1"/>
  <c r="AU18" i="13"/>
  <c r="AU13" i="13"/>
  <c r="AU21" i="13" s="1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T4" i="13"/>
  <c r="CT5" i="13" s="1"/>
  <c r="CT6" i="13" s="1"/>
  <c r="AV26" i="13" l="1"/>
  <c r="AV27" i="13" s="1"/>
  <c r="AW3" i="13"/>
  <c r="AW23" i="13" s="1"/>
  <c r="AW11" i="13"/>
  <c r="AW20" i="13" s="1"/>
  <c r="AV18" i="13"/>
  <c r="AU24" i="13"/>
  <c r="AV9" i="13"/>
  <c r="AV19" i="13" s="1"/>
  <c r="AV13" i="13"/>
  <c r="AV21" i="13" s="1"/>
  <c r="AU15" i="13"/>
  <c r="AU22" i="13" s="1"/>
  <c r="CT25" i="13"/>
  <c r="CU4" i="13"/>
  <c r="CU5" i="13" l="1"/>
  <c r="CU6" i="13" s="1"/>
  <c r="AW18" i="13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U25" i="13" l="1"/>
  <c r="CV5" i="13"/>
  <c r="CV6" i="13" s="1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18" i="13"/>
  <c r="AW24" i="13"/>
  <c r="CW4" i="13"/>
  <c r="CV25" i="13" l="1"/>
  <c r="CW5" i="13"/>
  <c r="CW6" i="13" s="1"/>
  <c r="AX15" i="13"/>
  <c r="AX22" i="13" s="1"/>
  <c r="AY9" i="13"/>
  <c r="AY19" i="13" s="1"/>
  <c r="AY18" i="13"/>
  <c r="AX24" i="13"/>
  <c r="AZ11" i="13"/>
  <c r="AZ20" i="13" s="1"/>
  <c r="AZ3" i="13"/>
  <c r="AZ23" i="13" s="1"/>
  <c r="AY26" i="13"/>
  <c r="AY27" i="13" s="1"/>
  <c r="AY13" i="13"/>
  <c r="AY21" i="13" s="1"/>
  <c r="CX4" i="13"/>
  <c r="CW25" i="13" l="1"/>
  <c r="CX5" i="13"/>
  <c r="CX6" i="13" s="1"/>
  <c r="BA11" i="13"/>
  <c r="BA20" i="13" s="1"/>
  <c r="AZ13" i="13"/>
  <c r="AZ21" i="13" s="1"/>
  <c r="AZ18" i="13"/>
  <c r="AY24" i="13"/>
  <c r="AZ9" i="13"/>
  <c r="AZ19" i="13" s="1"/>
  <c r="AY15" i="13"/>
  <c r="AY22" i="13" s="1"/>
  <c r="BA3" i="13"/>
  <c r="BA23" i="13" s="1"/>
  <c r="AZ26" i="13"/>
  <c r="AZ27" i="13" s="1"/>
  <c r="CY4" i="13"/>
  <c r="CX25" i="13" l="1"/>
  <c r="CY5" i="13"/>
  <c r="CY6" i="13" s="1"/>
  <c r="BA9" i="13"/>
  <c r="BA19" i="13" s="1"/>
  <c r="AZ24" i="13"/>
  <c r="BA18" i="13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Y25" i="13" l="1"/>
  <c r="CZ5" i="13"/>
  <c r="CZ6" i="13" s="1"/>
  <c r="BA15" i="13"/>
  <c r="BA22" i="13" s="1"/>
  <c r="BB13" i="13"/>
  <c r="BB21" i="13" s="1"/>
  <c r="BA24" i="13"/>
  <c r="BB18" i="13"/>
  <c r="BC11" i="13"/>
  <c r="BC20" i="13" s="1"/>
  <c r="BB9" i="13"/>
  <c r="BB19" i="13" s="1"/>
  <c r="BB26" i="13"/>
  <c r="BB27" i="13" s="1"/>
  <c r="BC3" i="13"/>
  <c r="BC23" i="13" s="1"/>
  <c r="DA4" i="13"/>
  <c r="CZ25" i="13" l="1"/>
  <c r="DA5" i="13"/>
  <c r="DA6" i="13" s="1"/>
  <c r="BD11" i="13"/>
  <c r="BD20" i="13" s="1"/>
  <c r="BB24" i="13"/>
  <c r="BC18" i="13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A25" i="13" l="1"/>
  <c r="DB5" i="13"/>
  <c r="DB6" i="13" s="1"/>
  <c r="BD9" i="13"/>
  <c r="BD19" i="13" s="1"/>
  <c r="BC24" i="13"/>
  <c r="BD18" i="13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DC6" i="13" l="1"/>
  <c r="DB25" i="13"/>
  <c r="BE26" i="13"/>
  <c r="BE27" i="13" s="1"/>
  <c r="BF3" i="13"/>
  <c r="BF23" i="13" s="1"/>
  <c r="BD24" i="13"/>
  <c r="BE18" i="13"/>
  <c r="BD15" i="13"/>
  <c r="BD22" i="13" s="1"/>
  <c r="BE9" i="13"/>
  <c r="BE19" i="13" s="1"/>
  <c r="BE13" i="13"/>
  <c r="BE21" i="13" s="1"/>
  <c r="BF11" i="13"/>
  <c r="BF20" i="13" s="1"/>
  <c r="DD4" i="13"/>
  <c r="DD5" i="13" s="1"/>
  <c r="DD6" i="13" s="1"/>
  <c r="DC25" i="13"/>
  <c r="BE15" i="13" l="1"/>
  <c r="BE22" i="13" s="1"/>
  <c r="BE24" i="13"/>
  <c r="BF18" i="13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E4" i="13"/>
  <c r="DE5" i="13" s="1"/>
  <c r="DE6" i="13" s="1"/>
  <c r="BG13" i="13" l="1"/>
  <c r="BG21" i="13" s="1"/>
  <c r="BH11" i="13"/>
  <c r="BH20" i="13" s="1"/>
  <c r="BG18" i="13"/>
  <c r="BF24" i="13"/>
  <c r="BG9" i="13"/>
  <c r="BG19" i="13" s="1"/>
  <c r="BH3" i="13"/>
  <c r="BH23" i="13" s="1"/>
  <c r="BG26" i="13"/>
  <c r="BG27" i="13" s="1"/>
  <c r="BF15" i="13"/>
  <c r="BF22" i="13" s="1"/>
  <c r="DE25" i="13"/>
  <c r="DF4" i="13"/>
  <c r="DF5" i="13" s="1"/>
  <c r="DF6" i="13" s="1"/>
  <c r="BG15" i="13" l="1"/>
  <c r="BG22" i="13" s="1"/>
  <c r="BH18" i="13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G4" i="13"/>
  <c r="DG5" i="13" s="1"/>
  <c r="DG6" i="13" s="1"/>
  <c r="BJ11" i="13" l="1"/>
  <c r="BJ20" i="13" s="1"/>
  <c r="BI9" i="13"/>
  <c r="BI19" i="13" s="1"/>
  <c r="BI18" i="13"/>
  <c r="BH24" i="13"/>
  <c r="BI13" i="13"/>
  <c r="BI21" i="13" s="1"/>
  <c r="BJ3" i="13"/>
  <c r="BJ23" i="13" s="1"/>
  <c r="BI26" i="13"/>
  <c r="BI27" i="13" s="1"/>
  <c r="BH15" i="13"/>
  <c r="BH22" i="13" s="1"/>
  <c r="DG25" i="13"/>
  <c r="DH4" i="13"/>
  <c r="DH5" i="13" s="1"/>
  <c r="DH6" i="13" s="1"/>
  <c r="BI15" i="13" l="1"/>
  <c r="BI22" i="13" s="1"/>
  <c r="BI24" i="13"/>
  <c r="BJ18" i="13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I4" i="13"/>
  <c r="DI5" i="13" s="1"/>
  <c r="DI6" i="13" s="1"/>
  <c r="BK9" i="13" l="1"/>
  <c r="BK19" i="13" s="1"/>
  <c r="BK13" i="13"/>
  <c r="BK21" i="13" s="1"/>
  <c r="BL11" i="13"/>
  <c r="BL20" i="13" s="1"/>
  <c r="BK18" i="13"/>
  <c r="BJ24" i="13"/>
  <c r="BL3" i="13"/>
  <c r="BL23" i="13" s="1"/>
  <c r="BK26" i="13"/>
  <c r="BK27" i="13" s="1"/>
  <c r="BJ15" i="13"/>
  <c r="BJ22" i="13" s="1"/>
  <c r="DI25" i="13"/>
  <c r="DJ4" i="13"/>
  <c r="DJ5" i="13" s="1"/>
  <c r="DJ6" i="13" s="1"/>
  <c r="BK15" i="13" l="1"/>
  <c r="BK22" i="13" s="1"/>
  <c r="BM11" i="13"/>
  <c r="BM20" i="13" s="1"/>
  <c r="BK24" i="13"/>
  <c r="BL13" i="13"/>
  <c r="BL21" i="13" s="1"/>
  <c r="BM3" i="13"/>
  <c r="BM23" i="13" s="1"/>
  <c r="BL26" i="13"/>
  <c r="BL27" i="13" s="1"/>
  <c r="BL9" i="13"/>
  <c r="BL19" i="13" s="1"/>
  <c r="DJ25" i="13"/>
  <c r="DK4" i="13"/>
  <c r="DK5" i="13" s="1"/>
  <c r="DK6" i="13" s="1"/>
  <c r="BL18" i="13" l="1"/>
  <c r="D6" i="13"/>
  <c r="BM13" i="13"/>
  <c r="BM21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L4" i="13"/>
  <c r="DL5" i="13" s="1"/>
  <c r="DL6" i="13" s="1"/>
  <c r="BM18" i="13" l="1"/>
  <c r="BM24" i="13" s="1"/>
  <c r="BL24" i="13"/>
  <c r="BN9" i="13"/>
  <c r="BN19" i="13" s="1"/>
  <c r="BO11" i="13"/>
  <c r="BO20" i="13" s="1"/>
  <c r="BO3" i="13"/>
  <c r="BO23" i="13" s="1"/>
  <c r="BN26" i="13"/>
  <c r="BN27" i="13" s="1"/>
  <c r="BM15" i="13"/>
  <c r="BM22" i="13" s="1"/>
  <c r="BN13" i="13"/>
  <c r="BN21" i="13" s="1"/>
  <c r="DL25" i="13"/>
  <c r="DM4" i="13"/>
  <c r="DM5" i="13" s="1"/>
  <c r="DM6" i="13" s="1"/>
  <c r="BN18" i="13" l="1"/>
  <c r="BN24" i="13" s="1"/>
  <c r="BO13" i="13"/>
  <c r="BO21" i="13" s="1"/>
  <c r="BP3" i="13"/>
  <c r="BP23" i="13" s="1"/>
  <c r="BO26" i="13"/>
  <c r="BO27" i="13" s="1"/>
  <c r="BP11" i="13"/>
  <c r="BP20" i="13" s="1"/>
  <c r="BN15" i="13"/>
  <c r="BN22" i="13" s="1"/>
  <c r="BO9" i="13"/>
  <c r="BO19" i="13" s="1"/>
  <c r="DM25" i="13"/>
  <c r="DN4" i="13"/>
  <c r="DN5" i="13" s="1"/>
  <c r="DN6" i="13" s="1"/>
  <c r="BO18" i="13" l="1"/>
  <c r="BO24" i="13" s="1"/>
  <c r="BQ11" i="13"/>
  <c r="BQ20" i="13" s="1"/>
  <c r="BP9" i="13"/>
  <c r="BP19" i="13" s="1"/>
  <c r="BP18" i="13"/>
  <c r="BQ3" i="13"/>
  <c r="BQ23" i="13" s="1"/>
  <c r="BP26" i="13"/>
  <c r="BP27" i="13" s="1"/>
  <c r="BP13" i="13"/>
  <c r="BP21" i="13" s="1"/>
  <c r="BO15" i="13"/>
  <c r="BO22" i="13" s="1"/>
  <c r="DN25" i="13"/>
  <c r="DO4" i="13"/>
  <c r="DO5" i="13" s="1"/>
  <c r="DO6" i="13" s="1"/>
  <c r="BR3" i="13" l="1"/>
  <c r="BR23" i="13" s="1"/>
  <c r="BQ26" i="13"/>
  <c r="BQ27" i="13" s="1"/>
  <c r="BQ18" i="13"/>
  <c r="BP24" i="13"/>
  <c r="BP15" i="13"/>
  <c r="BP22" i="13" s="1"/>
  <c r="BQ13" i="13"/>
  <c r="BQ21" i="13" s="1"/>
  <c r="BQ9" i="13"/>
  <c r="BQ19" i="13" s="1"/>
  <c r="BR11" i="13"/>
  <c r="BR20" i="13" s="1"/>
  <c r="DO25" i="13"/>
  <c r="DP4" i="13"/>
  <c r="DP5" i="13" s="1"/>
  <c r="DP6" i="13" s="1"/>
  <c r="BR13" i="13" l="1"/>
  <c r="BR21" i="13" s="1"/>
  <c r="BQ15" i="13"/>
  <c r="BQ22" i="13" s="1"/>
  <c r="BQ24" i="13"/>
  <c r="BR18" i="13"/>
  <c r="BS11" i="13"/>
  <c r="BS20" i="13" s="1"/>
  <c r="BR9" i="13"/>
  <c r="BR19" i="13" s="1"/>
  <c r="BS3" i="13"/>
  <c r="BS23" i="13" s="1"/>
  <c r="BR26" i="13"/>
  <c r="BR27" i="13" s="1"/>
  <c r="DP25" i="13"/>
  <c r="DQ4" i="13"/>
  <c r="DQ5" i="13" s="1"/>
  <c r="DQ6" i="13" s="1"/>
  <c r="BT11" i="13" l="1"/>
  <c r="BT20" i="13" s="1"/>
  <c r="BR24" i="13"/>
  <c r="BS18" i="13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R4" i="13"/>
  <c r="DR5" i="13" s="1"/>
  <c r="DR6" i="13" s="1"/>
  <c r="BT26" i="13" l="1"/>
  <c r="BT27" i="13" s="1"/>
  <c r="BU3" i="13"/>
  <c r="BU23" i="13" s="1"/>
  <c r="BT9" i="13"/>
  <c r="BT19" i="13" s="1"/>
  <c r="BS24" i="13"/>
  <c r="BT18" i="13"/>
  <c r="BT13" i="13"/>
  <c r="BT21" i="13" s="1"/>
  <c r="BU11" i="13"/>
  <c r="BU20" i="13" s="1"/>
  <c r="BS15" i="13"/>
  <c r="BS22" i="13" s="1"/>
  <c r="DR25" i="13"/>
  <c r="DS4" i="13"/>
  <c r="DS5" i="13" s="1"/>
  <c r="DS6" i="13" s="1"/>
  <c r="BU18" i="13" l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T4" i="13"/>
  <c r="DT5" i="13" s="1"/>
  <c r="DT6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18" i="13"/>
  <c r="DT25" i="13"/>
  <c r="DU4" i="13"/>
  <c r="DU5" i="13" s="1"/>
  <c r="DU6" i="13" s="1"/>
  <c r="BX11" i="13" l="1"/>
  <c r="BX20" i="13" s="1"/>
  <c r="BW9" i="13"/>
  <c r="BW19" i="13" s="1"/>
  <c r="BW13" i="13"/>
  <c r="BW21" i="13" s="1"/>
  <c r="BV24" i="13"/>
  <c r="BW18" i="13"/>
  <c r="BX3" i="13"/>
  <c r="BX23" i="13" s="1"/>
  <c r="BW26" i="13"/>
  <c r="BW27" i="13" s="1"/>
  <c r="BV15" i="13"/>
  <c r="BV22" i="13" s="1"/>
  <c r="DU25" i="13"/>
  <c r="DV4" i="13"/>
  <c r="DV5" i="13" s="1"/>
  <c r="DV6" i="13" s="1"/>
  <c r="BX13" i="13" l="1"/>
  <c r="BX21" i="13" s="1"/>
  <c r="BW15" i="13"/>
  <c r="BW22" i="13" s="1"/>
  <c r="BX9" i="13"/>
  <c r="BX19" i="13" s="1"/>
  <c r="BX18" i="13"/>
  <c r="BW24" i="13"/>
  <c r="BY11" i="13"/>
  <c r="BY20" i="13" s="1"/>
  <c r="BY3" i="13"/>
  <c r="BY23" i="13" s="1"/>
  <c r="BX26" i="13"/>
  <c r="BX27" i="13" s="1"/>
  <c r="DV25" i="13"/>
  <c r="DW4" i="13"/>
  <c r="DW5" i="13" s="1"/>
  <c r="DW6" i="13" s="1"/>
  <c r="BX24" i="13" l="1"/>
  <c r="BY18" i="13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DX4" i="13"/>
  <c r="DX5" i="13" s="1"/>
  <c r="DX6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18" i="13"/>
  <c r="DX25" i="13"/>
  <c r="DY4" i="13"/>
  <c r="DY5" i="13" s="1"/>
  <c r="DY6" i="13" s="1"/>
  <c r="CA9" i="13" l="1"/>
  <c r="CA19" i="13" s="1"/>
  <c r="CB11" i="13"/>
  <c r="CB20" i="13" s="1"/>
  <c r="CA18" i="13"/>
  <c r="BZ24" i="13"/>
  <c r="CB3" i="13"/>
  <c r="CB23" i="13" s="1"/>
  <c r="CA26" i="13"/>
  <c r="CA27" i="13" s="1"/>
  <c r="CA13" i="13"/>
  <c r="CA21" i="13" s="1"/>
  <c r="BZ15" i="13"/>
  <c r="BZ22" i="13" s="1"/>
  <c r="DY25" i="13"/>
  <c r="DZ4" i="13"/>
  <c r="DZ5" i="13" s="1"/>
  <c r="DZ6" i="13" s="1"/>
  <c r="F8" i="20" l="1"/>
  <c r="H8" i="20" s="1"/>
  <c r="CC3" i="13"/>
  <c r="CC23" i="13" s="1"/>
  <c r="CB26" i="13"/>
  <c r="CB27" i="13" s="1"/>
  <c r="CB18" i="13"/>
  <c r="CA24" i="13"/>
  <c r="CA15" i="13"/>
  <c r="CA22" i="13" s="1"/>
  <c r="CC11" i="13"/>
  <c r="CC20" i="13" s="1"/>
  <c r="CB13" i="13"/>
  <c r="CB21" i="13" s="1"/>
  <c r="CB9" i="13"/>
  <c r="CB19" i="13" s="1"/>
  <c r="DZ25" i="13"/>
  <c r="EA4" i="13"/>
  <c r="EA5" i="13" s="1"/>
  <c r="EA6" i="13" s="1"/>
  <c r="CB15" i="13" l="1"/>
  <c r="CB22" i="13" s="1"/>
  <c r="CC9" i="13"/>
  <c r="CC19" i="13" s="1"/>
  <c r="CB24" i="13"/>
  <c r="CC18" i="13"/>
  <c r="CC13" i="13"/>
  <c r="CC21" i="13" s="1"/>
  <c r="CC26" i="13"/>
  <c r="CC27" i="13" s="1"/>
  <c r="CD3" i="13"/>
  <c r="CD23" i="13" s="1"/>
  <c r="CD11" i="13"/>
  <c r="CD20" i="13" s="1"/>
  <c r="EA25" i="13"/>
  <c r="EB4" i="13"/>
  <c r="EB5" i="13" s="1"/>
  <c r="EB6" i="13" s="1"/>
  <c r="F12" i="20" l="1"/>
  <c r="H12" i="20" s="1"/>
  <c r="CD13" i="13"/>
  <c r="CD21" i="13" s="1"/>
  <c r="CC24" i="13"/>
  <c r="CD18" i="13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C4" i="13"/>
  <c r="EC5" i="13" s="1"/>
  <c r="EC6" i="13" s="1"/>
  <c r="CE26" i="13" l="1"/>
  <c r="CE27" i="13" s="1"/>
  <c r="CF3" i="13"/>
  <c r="CF23" i="13" s="1"/>
  <c r="CD15" i="13"/>
  <c r="CD22" i="13" s="1"/>
  <c r="CF11" i="13"/>
  <c r="CF20" i="13" s="1"/>
  <c r="CE18" i="13"/>
  <c r="CD24" i="13"/>
  <c r="CE9" i="13"/>
  <c r="CE19" i="13" s="1"/>
  <c r="CE13" i="13"/>
  <c r="CE21" i="13" s="1"/>
  <c r="EC25" i="13"/>
  <c r="ED4" i="13"/>
  <c r="ED5" i="13" s="1"/>
  <c r="ED6" i="13" s="1"/>
  <c r="CE24" i="13" l="1"/>
  <c r="CF18" i="13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E4" i="13"/>
  <c r="EE5" i="13" s="1"/>
  <c r="EE6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18" i="13"/>
  <c r="EE25" i="13"/>
  <c r="EF4" i="13"/>
  <c r="EF5" i="13" s="1"/>
  <c r="EF6" i="13" s="1"/>
  <c r="F4" i="20" l="1"/>
  <c r="H4" i="20" s="1"/>
  <c r="F44" i="20"/>
  <c r="H44" i="20" s="1"/>
  <c r="CI11" i="13"/>
  <c r="CI20" i="13" s="1"/>
  <c r="CH26" i="13"/>
  <c r="CH27" i="13" s="1"/>
  <c r="CI3" i="13"/>
  <c r="CI23" i="13" s="1"/>
  <c r="CH18" i="13"/>
  <c r="CG24" i="13"/>
  <c r="CH9" i="13"/>
  <c r="CH19" i="13" s="1"/>
  <c r="CH13" i="13"/>
  <c r="CH21" i="13" s="1"/>
  <c r="CG15" i="13"/>
  <c r="CG22" i="13" s="1"/>
  <c r="EF25" i="13"/>
  <c r="EG4" i="13"/>
  <c r="EG5" i="13" s="1"/>
  <c r="EG6" i="13" s="1"/>
  <c r="CJ3" i="13" l="1"/>
  <c r="CJ23" i="13" s="1"/>
  <c r="CI26" i="13"/>
  <c r="CI27" i="13" s="1"/>
  <c r="CI13" i="13"/>
  <c r="CI21" i="13" s="1"/>
  <c r="CI18" i="13"/>
  <c r="CH24" i="13"/>
  <c r="CH15" i="13"/>
  <c r="CH22" i="13" s="1"/>
  <c r="CI9" i="13"/>
  <c r="CI19" i="13" s="1"/>
  <c r="CJ11" i="13"/>
  <c r="CJ20" i="13" s="1"/>
  <c r="EG25" i="13"/>
  <c r="EH4" i="13"/>
  <c r="EH5" i="13" s="1"/>
  <c r="EH6" i="13" s="1"/>
  <c r="CI15" i="13" l="1"/>
  <c r="CI22" i="13" s="1"/>
  <c r="CJ18" i="13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I4" i="13"/>
  <c r="EI5" i="13" s="1"/>
  <c r="EI6" i="13" s="1"/>
  <c r="CL11" i="13" l="1"/>
  <c r="CL20" i="13" s="1"/>
  <c r="CK26" i="13"/>
  <c r="CK27" i="13" s="1"/>
  <c r="CL3" i="13"/>
  <c r="CL23" i="13" s="1"/>
  <c r="CK13" i="13"/>
  <c r="CK21" i="13" s="1"/>
  <c r="CK18" i="13"/>
  <c r="CJ24" i="13"/>
  <c r="CK9" i="13"/>
  <c r="CK19" i="13" s="1"/>
  <c r="CJ15" i="13"/>
  <c r="CJ22" i="13" s="1"/>
  <c r="EI25" i="13"/>
  <c r="EJ4" i="13"/>
  <c r="EJ5" i="13" s="1"/>
  <c r="EJ6" i="13" s="1"/>
  <c r="F63" i="20" l="1"/>
  <c r="H63" i="20" s="1"/>
  <c r="CL13" i="13"/>
  <c r="CL21" i="13" s="1"/>
  <c r="CL26" i="13"/>
  <c r="CL27" i="13" s="1"/>
  <c r="CM3" i="13"/>
  <c r="CM23" i="13" s="1"/>
  <c r="CK15" i="13"/>
  <c r="CK22" i="13" s="1"/>
  <c r="CL18" i="13"/>
  <c r="CK24" i="13"/>
  <c r="CL9" i="13"/>
  <c r="CL19" i="13" s="1"/>
  <c r="CM11" i="13"/>
  <c r="CM20" i="13" s="1"/>
  <c r="EJ25" i="13"/>
  <c r="EK4" i="13"/>
  <c r="EK5" i="13" s="1"/>
  <c r="EK6" i="13" s="1"/>
  <c r="CM18" i="13" l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L4" i="13"/>
  <c r="EL5" i="13" s="1"/>
  <c r="EL6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18" i="13"/>
  <c r="CM24" i="13"/>
  <c r="EL25" i="13"/>
  <c r="EM4" i="13"/>
  <c r="EM5" i="13" s="1"/>
  <c r="EM6" i="13" s="1"/>
  <c r="CP3" i="13" l="1"/>
  <c r="CP23" i="13" s="1"/>
  <c r="CO26" i="13"/>
  <c r="CO27" i="13" s="1"/>
  <c r="CO18" i="13"/>
  <c r="CN24" i="13"/>
  <c r="CN15" i="13"/>
  <c r="CN22" i="13" s="1"/>
  <c r="CO9" i="13"/>
  <c r="CO19" i="13" s="1"/>
  <c r="CP11" i="13"/>
  <c r="CP20" i="13" s="1"/>
  <c r="CO13" i="13"/>
  <c r="CO21" i="13" s="1"/>
  <c r="EM25" i="13"/>
  <c r="EN4" i="13"/>
  <c r="EN5" i="13" s="1"/>
  <c r="EN6" i="13" s="1"/>
  <c r="CP18" i="13" l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O4" i="13"/>
  <c r="EO5" i="13" s="1"/>
  <c r="EO6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18" i="13"/>
  <c r="EO25" i="13"/>
  <c r="EP4" i="13"/>
  <c r="EP5" i="13" s="1"/>
  <c r="EP6" i="13" s="1"/>
  <c r="CR9" i="13" l="1"/>
  <c r="CR19" i="13" s="1"/>
  <c r="CQ15" i="13"/>
  <c r="CQ22" i="13" s="1"/>
  <c r="CR18" i="13"/>
  <c r="CQ24" i="13"/>
  <c r="CS3" i="13"/>
  <c r="CS23" i="13" s="1"/>
  <c r="CR26" i="13"/>
  <c r="CR27" i="13" s="1"/>
  <c r="CR13" i="13"/>
  <c r="CR21" i="13" s="1"/>
  <c r="CS11" i="13"/>
  <c r="CS20" i="13" s="1"/>
  <c r="EP25" i="13"/>
  <c r="EQ4" i="13"/>
  <c r="EQ5" i="13" s="1"/>
  <c r="EQ6" i="13" s="1"/>
  <c r="CT3" i="13" l="1"/>
  <c r="CT23" i="13" s="1"/>
  <c r="CS26" i="13"/>
  <c r="CS27" i="13" s="1"/>
  <c r="CT11" i="13"/>
  <c r="CT20" i="13" s="1"/>
  <c r="CS18" i="13"/>
  <c r="CR24" i="13"/>
  <c r="CR15" i="13"/>
  <c r="CR22" i="13" s="1"/>
  <c r="CS13" i="13"/>
  <c r="CS21" i="13" s="1"/>
  <c r="CS9" i="13"/>
  <c r="CS19" i="13" s="1"/>
  <c r="EQ25" i="13"/>
  <c r="ER4" i="13"/>
  <c r="ER5" i="13" s="1"/>
  <c r="ER6" i="13" s="1"/>
  <c r="CT18" i="13" l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S4" i="13"/>
  <c r="ES5" i="13" s="1"/>
  <c r="ES6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18" i="13"/>
  <c r="CT24" i="13"/>
  <c r="ES25" i="13"/>
  <c r="ET4" i="13"/>
  <c r="ET5" i="13" s="1"/>
  <c r="ET6" i="13" s="1"/>
  <c r="CU15" i="13" l="1"/>
  <c r="CU22" i="13" s="1"/>
  <c r="CU24" i="13"/>
  <c r="CV18" i="13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U4" i="13"/>
  <c r="EU5" i="13" s="1"/>
  <c r="EU6" i="13" s="1"/>
  <c r="CW9" i="13" l="1"/>
  <c r="CW19" i="13" s="1"/>
  <c r="CW26" i="13"/>
  <c r="CW27" i="13" s="1"/>
  <c r="CX3" i="13"/>
  <c r="CX23" i="13" s="1"/>
  <c r="CX11" i="13"/>
  <c r="CX20" i="13" s="1"/>
  <c r="CW18" i="13"/>
  <c r="CV24" i="13"/>
  <c r="CW13" i="13"/>
  <c r="CW21" i="13" s="1"/>
  <c r="CV15" i="13"/>
  <c r="CV22" i="13" s="1"/>
  <c r="EU25" i="13"/>
  <c r="EV4" i="13"/>
  <c r="EV5" i="13" s="1"/>
  <c r="EV6" i="13" s="1"/>
  <c r="CX18" i="13" l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W4" i="13"/>
  <c r="EW5" i="13" s="1"/>
  <c r="EW6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18" i="13"/>
  <c r="EW25" i="13"/>
  <c r="EX4" i="13"/>
  <c r="EX5" i="13" s="1"/>
  <c r="EX6" i="13" s="1"/>
  <c r="CY15" i="13" l="1"/>
  <c r="CY22" i="13" s="1"/>
  <c r="DA11" i="13"/>
  <c r="DA20" i="13" s="1"/>
  <c r="CZ26" i="13"/>
  <c r="CZ27" i="13" s="1"/>
  <c r="DA3" i="13"/>
  <c r="DA23" i="13" s="1"/>
  <c r="CZ18" i="13"/>
  <c r="CY24" i="13"/>
  <c r="CZ13" i="13"/>
  <c r="CZ21" i="13" s="1"/>
  <c r="CZ9" i="13"/>
  <c r="CZ19" i="13" s="1"/>
  <c r="EX25" i="13"/>
  <c r="EY4" i="13"/>
  <c r="EY5" i="13" s="1"/>
  <c r="EY6" i="13" s="1"/>
  <c r="DB3" i="13" l="1"/>
  <c r="DB23" i="13" s="1"/>
  <c r="DA26" i="13"/>
  <c r="DA27" i="13" s="1"/>
  <c r="DA9" i="13"/>
  <c r="DA19" i="13" s="1"/>
  <c r="DB11" i="13"/>
  <c r="DB20" i="13" s="1"/>
  <c r="DA18" i="13"/>
  <c r="CZ24" i="13"/>
  <c r="DA13" i="13"/>
  <c r="DA21" i="13" s="1"/>
  <c r="CZ15" i="13"/>
  <c r="CZ22" i="13" s="1"/>
  <c r="EY25" i="13"/>
  <c r="EZ4" i="13"/>
  <c r="EZ5" i="13" s="1"/>
  <c r="EZ6" i="13" s="1"/>
  <c r="DB18" i="13" l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A4" i="13"/>
  <c r="FA5" i="13" s="1"/>
  <c r="FA6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18" i="13"/>
  <c r="FA25" i="13"/>
  <c r="FB4" i="13"/>
  <c r="FB5" i="13" s="1"/>
  <c r="FB6" i="13" s="1"/>
  <c r="DC24" i="13" l="1"/>
  <c r="DD18" i="13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C4" i="13"/>
  <c r="FC5" i="13" s="1"/>
  <c r="FC6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18" i="13"/>
  <c r="DE13" i="13"/>
  <c r="DE21" i="13" s="1"/>
  <c r="FC25" i="13"/>
  <c r="FD4" i="13"/>
  <c r="FD5" i="13" s="1"/>
  <c r="FD6" i="13" s="1"/>
  <c r="DG3" i="13" l="1"/>
  <c r="DG23" i="13" s="1"/>
  <c r="DF26" i="13"/>
  <c r="DF27" i="13" s="1"/>
  <c r="DF13" i="13"/>
  <c r="DF21" i="13" s="1"/>
  <c r="DG11" i="13"/>
  <c r="DG20" i="13" s="1"/>
  <c r="DE24" i="13"/>
  <c r="DF18" i="13"/>
  <c r="DE15" i="13"/>
  <c r="DE22" i="13" s="1"/>
  <c r="DF9" i="13"/>
  <c r="DF19" i="13" s="1"/>
  <c r="FD25" i="13"/>
  <c r="FE4" i="13"/>
  <c r="FE5" i="13" s="1"/>
  <c r="FE6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18" i="13"/>
  <c r="FE25" i="13"/>
  <c r="FF4" i="13"/>
  <c r="FF5" i="13" s="1"/>
  <c r="FF6" i="13" s="1"/>
  <c r="DG15" i="13" l="1"/>
  <c r="DG22" i="13" s="1"/>
  <c r="DH13" i="13"/>
  <c r="DH21" i="13" s="1"/>
  <c r="DH18" i="13"/>
  <c r="DG24" i="13"/>
  <c r="DH9" i="13"/>
  <c r="DH19" i="13" s="1"/>
  <c r="DH26" i="13"/>
  <c r="DH27" i="13" s="1"/>
  <c r="DI3" i="13"/>
  <c r="DI23" i="13" s="1"/>
  <c r="DI11" i="13"/>
  <c r="DI20" i="13" s="1"/>
  <c r="FF25" i="13"/>
  <c r="FG4" i="13"/>
  <c r="FG5" i="13" s="1"/>
  <c r="FG6" i="13" s="1"/>
  <c r="DI9" i="13" l="1"/>
  <c r="DI19" i="13" s="1"/>
  <c r="DJ11" i="13"/>
  <c r="DJ20" i="13" s="1"/>
  <c r="DI18" i="13"/>
  <c r="DH24" i="13"/>
  <c r="DI13" i="13"/>
  <c r="DI21" i="13" s="1"/>
  <c r="DJ3" i="13"/>
  <c r="DJ23" i="13" s="1"/>
  <c r="DI26" i="13"/>
  <c r="DI27" i="13" s="1"/>
  <c r="DH15" i="13"/>
  <c r="DH22" i="13" s="1"/>
  <c r="FG25" i="13"/>
  <c r="FH4" i="13"/>
  <c r="FH5" i="13" s="1"/>
  <c r="FH6" i="13" s="1"/>
  <c r="DJ13" i="13" l="1"/>
  <c r="DJ21" i="13" s="1"/>
  <c r="DI15" i="13"/>
  <c r="DI22" i="13" s="1"/>
  <c r="DI24" i="13"/>
  <c r="DJ18" i="13"/>
  <c r="DK11" i="13"/>
  <c r="DK20" i="13" s="1"/>
  <c r="DK3" i="13"/>
  <c r="DK23" i="13" s="1"/>
  <c r="DJ26" i="13"/>
  <c r="DJ27" i="13" s="1"/>
  <c r="DJ9" i="13"/>
  <c r="DJ19" i="13" s="1"/>
  <c r="FH25" i="13"/>
  <c r="FI4" i="13"/>
  <c r="FI5" i="13" s="1"/>
  <c r="FI6" i="13" s="1"/>
  <c r="DL11" i="13" l="1"/>
  <c r="DL20" i="13" s="1"/>
  <c r="DK18" i="13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J6" i="13" s="1"/>
  <c r="FI25" i="13"/>
  <c r="DK15" i="13" l="1"/>
  <c r="DK22" i="13" s="1"/>
  <c r="DL9" i="13"/>
  <c r="DL19" i="13" s="1"/>
  <c r="DL13" i="13"/>
  <c r="DL21" i="13" s="1"/>
  <c r="DK24" i="13"/>
  <c r="DL18" i="13"/>
  <c r="DM11" i="13"/>
  <c r="DM20" i="13" s="1"/>
  <c r="DM3" i="13"/>
  <c r="DM23" i="13" s="1"/>
  <c r="DL26" i="13"/>
  <c r="DL27" i="13" s="1"/>
  <c r="FK4" i="13"/>
  <c r="FK5" i="13" s="1"/>
  <c r="FK6" i="13" s="1"/>
  <c r="FJ25" i="13"/>
  <c r="DM18" i="13" l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L6" i="13" s="1"/>
  <c r="FK25" i="13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18" i="13"/>
  <c r="FL25" i="13"/>
  <c r="FM4" i="13"/>
  <c r="FM5" i="13" s="1"/>
  <c r="FM6" i="13" s="1"/>
  <c r="DN15" i="13" l="1"/>
  <c r="DN22" i="13" s="1"/>
  <c r="DN24" i="13"/>
  <c r="DO18" i="13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N4" i="13"/>
  <c r="FN5" i="13" s="1"/>
  <c r="FN6" i="13" s="1"/>
  <c r="DQ11" i="13" l="1"/>
  <c r="DQ20" i="13" s="1"/>
  <c r="DP9" i="13"/>
  <c r="DP19" i="13" s="1"/>
  <c r="DP13" i="13"/>
  <c r="DP21" i="13" s="1"/>
  <c r="DO24" i="13"/>
  <c r="DP18" i="13"/>
  <c r="DQ3" i="13"/>
  <c r="DQ23" i="13" s="1"/>
  <c r="DP26" i="13"/>
  <c r="DP27" i="13" s="1"/>
  <c r="DO15" i="13"/>
  <c r="DO22" i="13" s="1"/>
  <c r="FN25" i="13"/>
  <c r="FO4" i="13"/>
  <c r="FO5" i="13" s="1"/>
  <c r="FO6" i="13" s="1"/>
  <c r="DQ18" i="13" l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P4" i="13"/>
  <c r="FP5" i="13" s="1"/>
  <c r="FP6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18" i="13"/>
  <c r="FP25" i="13"/>
  <c r="FQ4" i="13"/>
  <c r="FQ5" i="13" s="1"/>
  <c r="FQ6" i="13" s="1"/>
  <c r="DR24" i="13" l="1"/>
  <c r="DS18" i="13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R4" i="13"/>
  <c r="FR5" i="13" s="1"/>
  <c r="FR6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18" i="13"/>
  <c r="DS24" i="13"/>
  <c r="DU11" i="13"/>
  <c r="DU20" i="13" s="1"/>
  <c r="FR25" i="13"/>
  <c r="FS4" i="13"/>
  <c r="FS5" i="13" s="1"/>
  <c r="FS6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18" i="13"/>
  <c r="DT15" i="13"/>
  <c r="DT22" i="13" s="1"/>
  <c r="FS25" i="13"/>
  <c r="FT4" i="13"/>
  <c r="FT5" i="13" s="1"/>
  <c r="FT6" i="13" s="1"/>
  <c r="DW11" i="13" l="1"/>
  <c r="DW20" i="13" s="1"/>
  <c r="DU15" i="13"/>
  <c r="DU22" i="13" s="1"/>
  <c r="DV9" i="13"/>
  <c r="DV19" i="13" s="1"/>
  <c r="DV18" i="13"/>
  <c r="DU24" i="13"/>
  <c r="DV26" i="13"/>
  <c r="DV27" i="13" s="1"/>
  <c r="DW3" i="13"/>
  <c r="DW23" i="13" s="1"/>
  <c r="DV13" i="13"/>
  <c r="DV21" i="13" s="1"/>
  <c r="FT25" i="13"/>
  <c r="FU4" i="13"/>
  <c r="FU5" i="13" s="1"/>
  <c r="FU6" i="13" s="1"/>
  <c r="DV24" i="13" l="1"/>
  <c r="DW18" i="13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V4" i="13"/>
  <c r="FV5" i="13" s="1"/>
  <c r="FV6" i="13" s="1"/>
  <c r="DW15" i="13" l="1"/>
  <c r="DW22" i="13" s="1"/>
  <c r="DX13" i="13"/>
  <c r="DX21" i="13" s="1"/>
  <c r="DY11" i="13"/>
  <c r="DY20" i="13" s="1"/>
  <c r="DX9" i="13"/>
  <c r="DX19" i="13" s="1"/>
  <c r="DW24" i="13"/>
  <c r="DX18" i="13"/>
  <c r="DY3" i="13"/>
  <c r="DY23" i="13" s="1"/>
  <c r="DX26" i="13"/>
  <c r="DX27" i="13" s="1"/>
  <c r="FV25" i="13"/>
  <c r="FW4" i="13"/>
  <c r="FW5" i="13" s="1"/>
  <c r="FW6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18" i="13"/>
  <c r="DX24" i="13"/>
  <c r="DX15" i="13"/>
  <c r="DX22" i="13" s="1"/>
  <c r="FW25" i="13"/>
  <c r="FX4" i="13"/>
  <c r="FX5" i="13" s="1"/>
  <c r="FX6" i="13" s="1"/>
  <c r="DZ13" i="13" l="1"/>
  <c r="DZ21" i="13" s="1"/>
  <c r="DY15" i="13"/>
  <c r="DY22" i="13" s="1"/>
  <c r="EA11" i="13"/>
  <c r="EA20" i="13" s="1"/>
  <c r="DZ18" i="13"/>
  <c r="DY24" i="13"/>
  <c r="DZ9" i="13"/>
  <c r="DZ19" i="13" s="1"/>
  <c r="EA3" i="13"/>
  <c r="EA23" i="13" s="1"/>
  <c r="DZ26" i="13"/>
  <c r="DZ27" i="13" s="1"/>
  <c r="FX25" i="13"/>
  <c r="FY4" i="13"/>
  <c r="FY5" i="13" s="1"/>
  <c r="FY6" i="13" s="1"/>
  <c r="EA18" i="13" l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FZ4" i="13"/>
  <c r="FZ5" i="13" s="1"/>
  <c r="FZ6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18" i="13"/>
  <c r="FZ25" i="13"/>
  <c r="GA4" i="13"/>
  <c r="GA5" i="13" s="1"/>
  <c r="GA6" i="13" s="1"/>
  <c r="ED11" i="13" l="1"/>
  <c r="ED20" i="13" s="1"/>
  <c r="EB24" i="13"/>
  <c r="EC18" i="13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B4" i="13"/>
  <c r="GB5" i="13" s="1"/>
  <c r="GB6" i="13" s="1"/>
  <c r="EE3" i="13" l="1"/>
  <c r="EE23" i="13" s="1"/>
  <c r="ED26" i="13"/>
  <c r="ED27" i="13" s="1"/>
  <c r="ED13" i="13"/>
  <c r="ED21" i="13" s="1"/>
  <c r="ED9" i="13"/>
  <c r="ED19" i="13" s="1"/>
  <c r="ED18" i="13"/>
  <c r="EC24" i="13"/>
  <c r="EC15" i="13"/>
  <c r="EC22" i="13" s="1"/>
  <c r="EE11" i="13"/>
  <c r="EE20" i="13" s="1"/>
  <c r="GB25" i="13"/>
  <c r="GC4" i="13"/>
  <c r="GC5" i="13" s="1"/>
  <c r="GC6" i="13" s="1"/>
  <c r="ED24" i="13" l="1"/>
  <c r="EE18" i="13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D4" i="13"/>
  <c r="GD5" i="13" s="1"/>
  <c r="GD6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18" i="13"/>
  <c r="EE24" i="13"/>
  <c r="GD25" i="13"/>
  <c r="GE4" i="13"/>
  <c r="GE5" i="13" s="1"/>
  <c r="GE6" i="13" s="1"/>
  <c r="EH3" i="13" l="1"/>
  <c r="EH23" i="13" s="1"/>
  <c r="EG26" i="13"/>
  <c r="EG27" i="13" s="1"/>
  <c r="EF24" i="13"/>
  <c r="EG18" i="13"/>
  <c r="EH11" i="13"/>
  <c r="EH20" i="13" s="1"/>
  <c r="EF15" i="13"/>
  <c r="EF22" i="13" s="1"/>
  <c r="EG13" i="13"/>
  <c r="EG21" i="13" s="1"/>
  <c r="EG9" i="13"/>
  <c r="EG19" i="13" s="1"/>
  <c r="GE25" i="13"/>
  <c r="GF4" i="13"/>
  <c r="GF5" i="13" s="1"/>
  <c r="GF6" i="13" s="1"/>
  <c r="EI11" i="13" l="1"/>
  <c r="EI20" i="13" s="1"/>
  <c r="EH9" i="13"/>
  <c r="EH19" i="13" s="1"/>
  <c r="EH18" i="13"/>
  <c r="EG24" i="13"/>
  <c r="EH13" i="13"/>
  <c r="EH21" i="13" s="1"/>
  <c r="EI3" i="13"/>
  <c r="EI23" i="13" s="1"/>
  <c r="EH26" i="13"/>
  <c r="EH27" i="13" s="1"/>
  <c r="EG15" i="13"/>
  <c r="EG22" i="13" s="1"/>
  <c r="GF25" i="13"/>
  <c r="GG4" i="13"/>
  <c r="GG5" i="13" s="1"/>
  <c r="GG6" i="13" s="1"/>
  <c r="EH15" i="13" l="1"/>
  <c r="EH22" i="13" s="1"/>
  <c r="EI18" i="13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H4" i="13"/>
  <c r="GH5" i="13" s="1"/>
  <c r="GH6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18" i="13"/>
  <c r="EI15" i="13"/>
  <c r="EI22" i="13" s="1"/>
  <c r="GH25" i="13"/>
  <c r="GI4" i="13"/>
  <c r="GI5" i="13" s="1"/>
  <c r="GI6" i="13" s="1"/>
  <c r="EJ15" i="13" l="1"/>
  <c r="EJ22" i="13" s="1"/>
  <c r="EK26" i="13"/>
  <c r="EK27" i="13" s="1"/>
  <c r="EL3" i="13"/>
  <c r="EL23" i="13" s="1"/>
  <c r="EK13" i="13"/>
  <c r="EK21" i="13" s="1"/>
  <c r="EJ24" i="13"/>
  <c r="EK18" i="13"/>
  <c r="EK9" i="13"/>
  <c r="EK19" i="13" s="1"/>
  <c r="EL11" i="13"/>
  <c r="EL20" i="13" s="1"/>
  <c r="GI25" i="13"/>
  <c r="GJ4" i="13"/>
  <c r="GJ5" i="13" s="1"/>
  <c r="GJ6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18" i="13"/>
  <c r="GJ25" i="13"/>
  <c r="GK4" i="13"/>
  <c r="GK5" i="13" s="1"/>
  <c r="GK6" i="13" s="1"/>
  <c r="EL15" i="13" l="1"/>
  <c r="EL22" i="13" s="1"/>
  <c r="EM18" i="13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L4" i="13"/>
  <c r="GL5" i="13" s="1"/>
  <c r="GL6" i="13" s="1"/>
  <c r="EN13" i="13" l="1"/>
  <c r="EN21" i="13" s="1"/>
  <c r="EO11" i="13"/>
  <c r="EO20" i="13" s="1"/>
  <c r="EN9" i="13"/>
  <c r="EN19" i="13" s="1"/>
  <c r="EM24" i="13"/>
  <c r="EN18" i="13"/>
  <c r="EN26" i="13"/>
  <c r="EN27" i="13" s="1"/>
  <c r="EO3" i="13"/>
  <c r="EO23" i="13" s="1"/>
  <c r="EM15" i="13"/>
  <c r="EM22" i="13" s="1"/>
  <c r="GL25" i="13"/>
  <c r="GM4" i="13"/>
  <c r="GM5" i="13" s="1"/>
  <c r="GM6" i="13" s="1"/>
  <c r="EO9" i="13" l="1"/>
  <c r="EO19" i="13" s="1"/>
  <c r="EN15" i="13"/>
  <c r="EN22" i="13" s="1"/>
  <c r="EO18" i="13"/>
  <c r="EN24" i="13"/>
  <c r="EP11" i="13"/>
  <c r="EP20" i="13" s="1"/>
  <c r="EO26" i="13"/>
  <c r="EO27" i="13" s="1"/>
  <c r="EP3" i="13"/>
  <c r="EP23" i="13" s="1"/>
  <c r="EO13" i="13"/>
  <c r="EO21" i="13" s="1"/>
  <c r="GM25" i="13"/>
  <c r="GN4" i="13"/>
  <c r="GN5" i="13" s="1"/>
  <c r="GN6" i="13" s="1"/>
  <c r="EO24" i="13" l="1"/>
  <c r="EP18" i="13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O4" i="13"/>
  <c r="GO5" i="13" s="1"/>
  <c r="GO6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18" i="13"/>
  <c r="EP24" i="13"/>
  <c r="GO25" i="13"/>
  <c r="GP4" i="13"/>
  <c r="GP5" i="13" s="1"/>
  <c r="GP6" i="13" s="1"/>
  <c r="ES11" i="13" l="1"/>
  <c r="ES20" i="13" s="1"/>
  <c r="EQ15" i="13"/>
  <c r="EQ22" i="13" s="1"/>
  <c r="ER18" i="13"/>
  <c r="EQ24" i="13"/>
  <c r="ER9" i="13"/>
  <c r="ER19" i="13" s="1"/>
  <c r="ES3" i="13"/>
  <c r="ES23" i="13" s="1"/>
  <c r="ER26" i="13"/>
  <c r="ER27" i="13" s="1"/>
  <c r="ER13" i="13"/>
  <c r="ER21" i="13" s="1"/>
  <c r="GP25" i="13"/>
  <c r="GQ4" i="13"/>
  <c r="GQ5" i="13" s="1"/>
  <c r="GQ6" i="13" s="1"/>
  <c r="ES9" i="13" l="1"/>
  <c r="ES19" i="13" s="1"/>
  <c r="ER24" i="13"/>
  <c r="ES18" i="13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R4" i="13"/>
  <c r="GR5" i="13" s="1"/>
  <c r="GR6" i="13" s="1"/>
  <c r="ET13" i="13" l="1"/>
  <c r="ET21" i="13" s="1"/>
  <c r="ES15" i="13"/>
  <c r="ES22" i="13" s="1"/>
  <c r="EU11" i="13"/>
  <c r="EU20" i="13" s="1"/>
  <c r="ET18" i="13"/>
  <c r="ES24" i="13"/>
  <c r="EU3" i="13"/>
  <c r="EU23" i="13" s="1"/>
  <c r="ET26" i="13"/>
  <c r="ET27" i="13" s="1"/>
  <c r="ET9" i="13"/>
  <c r="ET19" i="13" s="1"/>
  <c r="GR25" i="13"/>
  <c r="GS4" i="13"/>
  <c r="GS5" i="13" s="1"/>
  <c r="GS6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18" i="13"/>
  <c r="GS25" i="13"/>
  <c r="GT4" i="13"/>
  <c r="GT5" i="13" s="1"/>
  <c r="GT6" i="13" s="1"/>
  <c r="EW3" i="13" l="1"/>
  <c r="EW23" i="13" s="1"/>
  <c r="EV26" i="13"/>
  <c r="EV27" i="13" s="1"/>
  <c r="EW11" i="13"/>
  <c r="EW20" i="13" s="1"/>
  <c r="EV18" i="13"/>
  <c r="EU24" i="13"/>
  <c r="EU15" i="13"/>
  <c r="EU22" i="13" s="1"/>
  <c r="EV13" i="13"/>
  <c r="EV21" i="13" s="1"/>
  <c r="EV9" i="13"/>
  <c r="EV19" i="13" s="1"/>
  <c r="GT25" i="13"/>
  <c r="GU4" i="13"/>
  <c r="GU5" i="13" s="1"/>
  <c r="GU6" i="13" s="1"/>
  <c r="EV24" i="13" l="1"/>
  <c r="EW18" i="13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V4" i="13"/>
  <c r="GV5" i="13" s="1"/>
  <c r="GV6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18" i="13"/>
  <c r="GV25" i="13"/>
  <c r="GW4" i="13"/>
  <c r="GW5" i="13" s="1"/>
  <c r="GW6" i="13" s="1"/>
  <c r="EY9" i="13" l="1"/>
  <c r="EY19" i="13" s="1"/>
  <c r="EX15" i="13"/>
  <c r="EX22" i="13" s="1"/>
  <c r="EX24" i="13"/>
  <c r="EY18" i="13"/>
  <c r="EZ11" i="13"/>
  <c r="EZ20" i="13" s="1"/>
  <c r="EZ3" i="13"/>
  <c r="EZ23" i="13" s="1"/>
  <c r="EY26" i="13"/>
  <c r="EY27" i="13" s="1"/>
  <c r="EY13" i="13"/>
  <c r="EY21" i="13" s="1"/>
  <c r="GW25" i="13"/>
  <c r="GX4" i="13"/>
  <c r="GX5" i="13" s="1"/>
  <c r="GX6" i="13" s="1"/>
  <c r="FA11" i="13" l="1"/>
  <c r="FA20" i="13" s="1"/>
  <c r="EZ18" i="13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GY4" i="13"/>
  <c r="GY5" i="13" s="1"/>
  <c r="GY6" i="13" s="1"/>
  <c r="EZ15" i="13" l="1"/>
  <c r="EZ22" i="13" s="1"/>
  <c r="FA13" i="13"/>
  <c r="FA21" i="13" s="1"/>
  <c r="FB3" i="13"/>
  <c r="FB23" i="13" s="1"/>
  <c r="FA26" i="13"/>
  <c r="FA27" i="13" s="1"/>
  <c r="EZ24" i="13"/>
  <c r="FA18" i="13"/>
  <c r="FA9" i="13"/>
  <c r="FA19" i="13" s="1"/>
  <c r="FB11" i="13"/>
  <c r="FB20" i="13" s="1"/>
  <c r="GY25" i="13"/>
  <c r="GZ4" i="13"/>
  <c r="GZ5" i="13" s="1"/>
  <c r="GZ6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18" i="13"/>
  <c r="GZ25" i="13"/>
  <c r="HA4" i="13"/>
  <c r="HA5" i="13" s="1"/>
  <c r="HA6" i="13" s="1"/>
  <c r="FC13" i="13" l="1"/>
  <c r="FC21" i="13" s="1"/>
  <c r="FB24" i="13"/>
  <c r="FC18" i="13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B4" i="13"/>
  <c r="HB5" i="13" s="1"/>
  <c r="HB6" i="13" s="1"/>
  <c r="FC15" i="13" l="1"/>
  <c r="FC22" i="13" s="1"/>
  <c r="FD9" i="13"/>
  <c r="FD19" i="13" s="1"/>
  <c r="FE11" i="13"/>
  <c r="FE20" i="13" s="1"/>
  <c r="FD18" i="13"/>
  <c r="FC24" i="13"/>
  <c r="FD13" i="13"/>
  <c r="FD21" i="13" s="1"/>
  <c r="FE3" i="13"/>
  <c r="FE23" i="13" s="1"/>
  <c r="FD26" i="13"/>
  <c r="FD27" i="13" s="1"/>
  <c r="HC4" i="13"/>
  <c r="HC5" i="13" s="1"/>
  <c r="HC6" i="13" s="1"/>
  <c r="HB25" i="13"/>
  <c r="FE18" i="13" l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D6" i="13" s="1"/>
  <c r="HC25" i="13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18" i="13"/>
  <c r="FE24" i="13"/>
  <c r="HD25" i="13"/>
  <c r="HE4" i="13"/>
  <c r="HE5" i="13" s="1"/>
  <c r="HE6" i="13" s="1"/>
  <c r="FF15" i="13" l="1"/>
  <c r="FF22" i="13" s="1"/>
  <c r="FG18" i="13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F4" i="13"/>
  <c r="HF5" i="13" s="1"/>
  <c r="HF6" i="13" s="1"/>
  <c r="FH9" i="13" l="1"/>
  <c r="FH19" i="13" s="1"/>
  <c r="FH13" i="13"/>
  <c r="FH21" i="13" s="1"/>
  <c r="FG24" i="13"/>
  <c r="FH18" i="13"/>
  <c r="FG15" i="13"/>
  <c r="FG22" i="13" s="1"/>
  <c r="FI11" i="13"/>
  <c r="FI20" i="13" s="1"/>
  <c r="FH26" i="13"/>
  <c r="FH27" i="13" s="1"/>
  <c r="FI3" i="13"/>
  <c r="FI23" i="13" s="1"/>
  <c r="HF25" i="13"/>
  <c r="HG4" i="13"/>
  <c r="HG5" i="13" s="1"/>
  <c r="HG6" i="13" s="1"/>
  <c r="FH15" i="13" l="1"/>
  <c r="FH22" i="13" s="1"/>
  <c r="FI18" i="13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H4" i="13"/>
  <c r="HH5" i="13" s="1"/>
  <c r="HH6" i="13" s="1"/>
  <c r="FK3" i="13" l="1"/>
  <c r="FK23" i="13" s="1"/>
  <c r="FJ26" i="13"/>
  <c r="FJ27" i="13" s="1"/>
  <c r="FJ9" i="13"/>
  <c r="FJ19" i="13" s="1"/>
  <c r="FI24" i="13"/>
  <c r="FJ18" i="13"/>
  <c r="FK11" i="13"/>
  <c r="FK20" i="13" s="1"/>
  <c r="FI15" i="13"/>
  <c r="FI22" i="13" s="1"/>
  <c r="FJ13" i="13"/>
  <c r="FJ21" i="13" s="1"/>
  <c r="HH25" i="13"/>
  <c r="HI4" i="13"/>
  <c r="HI5" i="13" s="1"/>
  <c r="HI6" i="13" s="1"/>
  <c r="FJ24" i="13" l="1"/>
  <c r="FK18" i="13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J4" i="13"/>
  <c r="HJ5" i="13" s="1"/>
  <c r="HJ6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18" i="13"/>
  <c r="HJ25" i="13"/>
  <c r="HK4" i="13"/>
  <c r="HK5" i="13" s="1"/>
  <c r="HK6" i="13" s="1"/>
  <c r="FM26" i="13" l="1"/>
  <c r="FM27" i="13" s="1"/>
  <c r="FN3" i="13"/>
  <c r="FN23" i="13" s="1"/>
  <c r="FL24" i="13"/>
  <c r="FM18" i="13"/>
  <c r="FM9" i="13"/>
  <c r="FM19" i="13" s="1"/>
  <c r="FN11" i="13"/>
  <c r="FN20" i="13" s="1"/>
  <c r="FL15" i="13"/>
  <c r="FL22" i="13" s="1"/>
  <c r="FM13" i="13"/>
  <c r="FM21" i="13" s="1"/>
  <c r="HK25" i="13"/>
  <c r="HL4" i="13"/>
  <c r="HL5" i="13" s="1"/>
  <c r="HL6" i="13" s="1"/>
  <c r="FN9" i="13" l="1"/>
  <c r="FN19" i="13" s="1"/>
  <c r="FN13" i="13"/>
  <c r="FN21" i="13" s="1"/>
  <c r="FN18" i="13"/>
  <c r="FM24" i="13"/>
  <c r="FO3" i="13"/>
  <c r="FO23" i="13" s="1"/>
  <c r="FN26" i="13"/>
  <c r="FN27" i="13" s="1"/>
  <c r="FM15" i="13"/>
  <c r="FM22" i="13" s="1"/>
  <c r="FO11" i="13"/>
  <c r="FO20" i="13" s="1"/>
  <c r="HL25" i="13"/>
  <c r="HM4" i="13"/>
  <c r="HM5" i="13" s="1"/>
  <c r="HM6" i="13" s="1"/>
  <c r="FP3" i="13" l="1"/>
  <c r="FP23" i="13" s="1"/>
  <c r="FO26" i="13"/>
  <c r="FO27" i="13" s="1"/>
  <c r="FP11" i="13"/>
  <c r="FP20" i="13" s="1"/>
  <c r="FO18" i="13"/>
  <c r="FN24" i="13"/>
  <c r="FO13" i="13"/>
  <c r="FO21" i="13" s="1"/>
  <c r="FN15" i="13"/>
  <c r="FN22" i="13" s="1"/>
  <c r="FO9" i="13"/>
  <c r="FO19" i="13" s="1"/>
  <c r="HM25" i="13"/>
  <c r="HN4" i="13"/>
  <c r="HN5" i="13" s="1"/>
  <c r="HN6" i="13" s="1"/>
  <c r="FP18" i="13" l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O4" i="13"/>
  <c r="HO5" i="13" s="1"/>
  <c r="HO6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18" i="13"/>
  <c r="FP24" i="13"/>
  <c r="HO25" i="13"/>
  <c r="HP4" i="13"/>
  <c r="HP5" i="13" s="1"/>
  <c r="HP6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18" i="13"/>
  <c r="HP25" i="13"/>
  <c r="HQ4" i="13"/>
  <c r="HQ5" i="13" s="1"/>
  <c r="HQ6" i="13" s="1"/>
  <c r="FT11" i="13" l="1"/>
  <c r="FT20" i="13" s="1"/>
  <c r="FS18" i="13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R4" i="13"/>
  <c r="HR5" i="13" s="1"/>
  <c r="HR6" i="13" s="1"/>
  <c r="FS15" i="13" l="1"/>
  <c r="FS22" i="13" s="1"/>
  <c r="FT13" i="13"/>
  <c r="FT21" i="13" s="1"/>
  <c r="FU3" i="13"/>
  <c r="FU23" i="13" s="1"/>
  <c r="FT26" i="13"/>
  <c r="FT27" i="13" s="1"/>
  <c r="FT18" i="13"/>
  <c r="FS24" i="13"/>
  <c r="FU11" i="13"/>
  <c r="FU20" i="13" s="1"/>
  <c r="FT9" i="13"/>
  <c r="FT19" i="13" s="1"/>
  <c r="HR25" i="13"/>
  <c r="HS4" i="13"/>
  <c r="HS5" i="13" s="1"/>
  <c r="HS6" i="13" s="1"/>
  <c r="FU18" i="13" l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T4" i="13"/>
  <c r="HT5" i="13" s="1"/>
  <c r="HT6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18" i="13"/>
  <c r="HT25" i="13"/>
  <c r="HU4" i="13"/>
  <c r="HU5" i="13" s="1"/>
  <c r="HU6" i="13" s="1"/>
  <c r="FW9" i="13" l="1"/>
  <c r="FW19" i="13" s="1"/>
  <c r="FV24" i="13"/>
  <c r="FW18" i="13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V4" i="13"/>
  <c r="HV5" i="13" s="1"/>
  <c r="HV6" i="13" s="1"/>
  <c r="FX13" i="13" l="1"/>
  <c r="FX21" i="13" s="1"/>
  <c r="FW15" i="13"/>
  <c r="FW22" i="13" s="1"/>
  <c r="FY11" i="13"/>
  <c r="FY20" i="13" s="1"/>
  <c r="FX18" i="13"/>
  <c r="FW24" i="13"/>
  <c r="FX26" i="13"/>
  <c r="FX27" i="13" s="1"/>
  <c r="FY3" i="13"/>
  <c r="FY23" i="13" s="1"/>
  <c r="FX9" i="13"/>
  <c r="FX19" i="13" s="1"/>
  <c r="HV25" i="13"/>
  <c r="HW4" i="13"/>
  <c r="HW5" i="13" s="1"/>
  <c r="HW6" i="13" s="1"/>
  <c r="FY18" i="13" l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HX4" i="13"/>
  <c r="HX5" i="13" s="1"/>
  <c r="HX6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18" i="13"/>
  <c r="FY24" i="13"/>
  <c r="HX25" i="13"/>
  <c r="HY4" i="13"/>
  <c r="HY5" i="13" s="1"/>
  <c r="HY6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18" i="13"/>
  <c r="FZ24" i="13"/>
  <c r="HY25" i="13"/>
  <c r="HZ4" i="13"/>
  <c r="HZ5" i="13" s="1"/>
  <c r="HZ6" i="13" s="1"/>
  <c r="GC3" i="13" l="1"/>
  <c r="GC23" i="13" s="1"/>
  <c r="GB26" i="13"/>
  <c r="GB27" i="13" s="1"/>
  <c r="GB9" i="13"/>
  <c r="GB19" i="13" s="1"/>
  <c r="GB13" i="13"/>
  <c r="GB21" i="13" s="1"/>
  <c r="GA24" i="13"/>
  <c r="GB18" i="13"/>
  <c r="GA15" i="13"/>
  <c r="GA22" i="13" s="1"/>
  <c r="GC11" i="13"/>
  <c r="GC20" i="13" s="1"/>
  <c r="HZ25" i="13"/>
  <c r="IA4" i="13"/>
  <c r="IA5" i="13" s="1"/>
  <c r="IA6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18" i="13"/>
  <c r="IA25" i="13"/>
  <c r="IB4" i="13"/>
  <c r="IB5" i="13" s="1"/>
  <c r="IB6" i="13" s="1"/>
  <c r="GC15" i="13" l="1"/>
  <c r="GC22" i="13" s="1"/>
  <c r="GD9" i="13"/>
  <c r="GD19" i="13" s="1"/>
  <c r="GD18" i="13"/>
  <c r="GC24" i="13"/>
  <c r="GE11" i="13"/>
  <c r="GE20" i="13" s="1"/>
  <c r="GD13" i="13"/>
  <c r="GD21" i="13" s="1"/>
  <c r="GE3" i="13"/>
  <c r="GE23" i="13" s="1"/>
  <c r="GD26" i="13"/>
  <c r="GD27" i="13" s="1"/>
  <c r="IB25" i="13"/>
  <c r="IC4" i="13"/>
  <c r="IC5" i="13" s="1"/>
  <c r="IC6" i="13" s="1"/>
  <c r="GF11" i="13" l="1"/>
  <c r="GF20" i="13" s="1"/>
  <c r="GE18" i="13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D4" i="13"/>
  <c r="ID5" i="13" s="1"/>
  <c r="ID6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18" i="13"/>
  <c r="GE24" i="13"/>
  <c r="GG11" i="13"/>
  <c r="GG20" i="13" s="1"/>
  <c r="ID25" i="13"/>
  <c r="IE4" i="13"/>
  <c r="IE5" i="13" s="1"/>
  <c r="IE6" i="13" s="1"/>
  <c r="GF15" i="13" l="1"/>
  <c r="GF22" i="13" s="1"/>
  <c r="GH11" i="13"/>
  <c r="GH20" i="13" s="1"/>
  <c r="GG9" i="13"/>
  <c r="GG19" i="13" s="1"/>
  <c r="GG18" i="13"/>
  <c r="GF24" i="13"/>
  <c r="GH3" i="13"/>
  <c r="GH23" i="13" s="1"/>
  <c r="GG26" i="13"/>
  <c r="GG27" i="13" s="1"/>
  <c r="GG13" i="13"/>
  <c r="GG21" i="13" s="1"/>
  <c r="IE25" i="13"/>
  <c r="IF4" i="13"/>
  <c r="IF5" i="13" s="1"/>
  <c r="IF6" i="13" s="1"/>
  <c r="GG24" i="13" l="1"/>
  <c r="GH18" i="13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G4" i="13"/>
  <c r="IG5" i="13" s="1"/>
  <c r="IG6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18" i="13"/>
  <c r="IG25" i="13"/>
  <c r="IH4" i="13"/>
  <c r="IH5" i="13" s="1"/>
  <c r="IH6" i="13" s="1"/>
  <c r="GJ9" i="13" l="1"/>
  <c r="GJ19" i="13" s="1"/>
  <c r="GI15" i="13"/>
  <c r="GI22" i="13" s="1"/>
  <c r="GJ18" i="13"/>
  <c r="GI24" i="13"/>
  <c r="GJ13" i="13"/>
  <c r="GJ21" i="13" s="1"/>
  <c r="GK3" i="13"/>
  <c r="GK23" i="13" s="1"/>
  <c r="GJ26" i="13"/>
  <c r="GJ27" i="13" s="1"/>
  <c r="GK11" i="13"/>
  <c r="GK20" i="13" s="1"/>
  <c r="IH25" i="13"/>
  <c r="II4" i="13"/>
  <c r="II5" i="13" s="1"/>
  <c r="II6" i="13" s="1"/>
  <c r="GK13" i="13" l="1"/>
  <c r="GK21" i="13" s="1"/>
  <c r="GL11" i="13"/>
  <c r="GL20" i="13" s="1"/>
  <c r="GJ24" i="13"/>
  <c r="GK18" i="13"/>
  <c r="GJ15" i="13"/>
  <c r="GJ22" i="13" s="1"/>
  <c r="GK26" i="13"/>
  <c r="GK27" i="13" s="1"/>
  <c r="GL3" i="13"/>
  <c r="GL23" i="13" s="1"/>
  <c r="GK9" i="13"/>
  <c r="GK19" i="13" s="1"/>
  <c r="II25" i="13"/>
  <c r="IJ4" i="13"/>
  <c r="IJ5" i="13" s="1"/>
  <c r="IJ6" i="13" s="1"/>
  <c r="GK15" i="13" l="1"/>
  <c r="GK22" i="13" s="1"/>
  <c r="GL18" i="13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K4" i="13"/>
  <c r="IK5" i="13" s="1"/>
  <c r="IK6" i="13" s="1"/>
  <c r="GN11" i="13" l="1"/>
  <c r="GN20" i="13" s="1"/>
  <c r="GM9" i="13"/>
  <c r="GM19" i="13" s="1"/>
  <c r="GM13" i="13"/>
  <c r="GM21" i="13" s="1"/>
  <c r="GM18" i="13"/>
  <c r="GL24" i="13"/>
  <c r="GN3" i="13"/>
  <c r="GN23" i="13" s="1"/>
  <c r="GM26" i="13"/>
  <c r="GM27" i="13" s="1"/>
  <c r="GL15" i="13"/>
  <c r="GL22" i="13" s="1"/>
  <c r="IK25" i="13"/>
  <c r="IL4" i="13"/>
  <c r="IL5" i="13" s="1"/>
  <c r="IL6" i="13" s="1"/>
  <c r="GM24" i="13" l="1"/>
  <c r="GN18" i="13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IM6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18" i="13"/>
  <c r="IM25" i="13"/>
  <c r="IN4" i="13"/>
  <c r="IN5" i="13" l="1"/>
  <c r="IN6" i="13" s="1"/>
  <c r="GQ3" i="13"/>
  <c r="GQ23" i="13" s="1"/>
  <c r="GP26" i="13"/>
  <c r="GP27" i="13" s="1"/>
  <c r="GO24" i="13"/>
  <c r="GP18" i="13"/>
  <c r="GO15" i="13"/>
  <c r="GO22" i="13" s="1"/>
  <c r="GQ11" i="13"/>
  <c r="GQ20" i="13" s="1"/>
  <c r="GP9" i="13"/>
  <c r="GP19" i="13" s="1"/>
  <c r="GP13" i="13"/>
  <c r="GP21" i="13" s="1"/>
  <c r="C27" i="13" l="1"/>
  <c r="IN25" i="13"/>
  <c r="GP15" i="13"/>
  <c r="GP22" i="13" s="1"/>
  <c r="GQ13" i="13"/>
  <c r="GQ21" i="13" s="1"/>
  <c r="GQ18" i="13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18" i="13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S26" i="13"/>
  <c r="GS27" i="13" s="1"/>
  <c r="GT11" i="13"/>
  <c r="GT20" i="13" s="1"/>
  <c r="GR24" i="13"/>
  <c r="GS18" i="13"/>
  <c r="GR15" i="13"/>
  <c r="GR22" i="13" s="1"/>
  <c r="GS9" i="13"/>
  <c r="GS19" i="13" s="1"/>
  <c r="GT23" i="13" l="1"/>
  <c r="GU11" i="13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18" i="13"/>
  <c r="GT24" i="13" l="1"/>
  <c r="GU18" i="13"/>
  <c r="GV3" i="13"/>
  <c r="GU26" i="13"/>
  <c r="GU27" i="13" s="1"/>
  <c r="GV11" i="13"/>
  <c r="GV20" i="13" s="1"/>
  <c r="GU9" i="13"/>
  <c r="GU19" i="13" s="1"/>
  <c r="GU13" i="13"/>
  <c r="GU21" i="13" s="1"/>
  <c r="GT15" i="13"/>
  <c r="GT22" i="13" s="1"/>
  <c r="GV23" i="13" l="1"/>
  <c r="GW11" i="13"/>
  <c r="GW20" i="13" s="1"/>
  <c r="GW3" i="13"/>
  <c r="GW23" i="13" s="1"/>
  <c r="GV26" i="13"/>
  <c r="GV27" i="13" s="1"/>
  <c r="GV13" i="13"/>
  <c r="GV21" i="13" s="1"/>
  <c r="GV18" i="13"/>
  <c r="GU24" i="13"/>
  <c r="GU15" i="13"/>
  <c r="GU22" i="13" s="1"/>
  <c r="GV9" i="13"/>
  <c r="GV19" i="13" s="1"/>
  <c r="GV24" i="13" l="1"/>
  <c r="GW18" i="13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18" i="13"/>
  <c r="GW24" i="13"/>
  <c r="GY9" i="13" l="1"/>
  <c r="GY19" i="13" s="1"/>
  <c r="GZ11" i="13"/>
  <c r="GZ20" i="13" s="1"/>
  <c r="GX24" i="13"/>
  <c r="GY18" i="13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18" i="13"/>
  <c r="HA11" i="13"/>
  <c r="HA20" i="13" s="1"/>
  <c r="GY15" i="13"/>
  <c r="GY22" i="13" s="1"/>
  <c r="GZ9" i="13"/>
  <c r="GZ19" i="13" s="1"/>
  <c r="GZ24" i="13" l="1"/>
  <c r="HA18" i="13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18" i="13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18" i="13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18" i="13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18" i="13"/>
  <c r="HD15" i="13"/>
  <c r="HD22" i="13" s="1"/>
  <c r="HE15" i="13" l="1"/>
  <c r="HE22" i="13" s="1"/>
  <c r="HG3" i="13"/>
  <c r="HG23" i="13" s="1"/>
  <c r="HF26" i="13"/>
  <c r="HF27" i="13" s="1"/>
  <c r="HE24" i="13"/>
  <c r="HF18" i="13"/>
  <c r="HF9" i="13"/>
  <c r="HF19" i="13" s="1"/>
  <c r="HF13" i="13"/>
  <c r="HF21" i="13" s="1"/>
  <c r="HG11" i="13"/>
  <c r="HG20" i="13" s="1"/>
  <c r="HF24" i="13" l="1"/>
  <c r="HG18" i="13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18" i="13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18" i="13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18" i="13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18" i="13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18" i="13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18" i="13"/>
  <c r="HL24" i="13"/>
  <c r="HN26" i="13" l="1"/>
  <c r="HN27" i="13" s="1"/>
  <c r="HO3" i="13"/>
  <c r="HO23" i="13" s="1"/>
  <c r="HN13" i="13"/>
  <c r="HN21" i="13" s="1"/>
  <c r="HO11" i="13"/>
  <c r="HO20" i="13" s="1"/>
  <c r="HM24" i="13"/>
  <c r="HN18" i="13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18" i="13"/>
  <c r="HN24" i="13"/>
  <c r="HQ3" i="13" l="1"/>
  <c r="HQ23" i="13" s="1"/>
  <c r="HP26" i="13"/>
  <c r="HP27" i="13" s="1"/>
  <c r="HP9" i="13"/>
  <c r="HP19" i="13" s="1"/>
  <c r="HP13" i="13"/>
  <c r="HP21" i="13" s="1"/>
  <c r="HP18" i="13"/>
  <c r="HO24" i="13"/>
  <c r="HQ11" i="13"/>
  <c r="HQ20" i="13" s="1"/>
  <c r="HO15" i="13"/>
  <c r="HO22" i="13" s="1"/>
  <c r="HQ13" i="13" l="1"/>
  <c r="HQ21" i="13" s="1"/>
  <c r="HQ9" i="13"/>
  <c r="HQ19" i="13" s="1"/>
  <c r="HP24" i="13"/>
  <c r="HQ18" i="13"/>
  <c r="HR11" i="13"/>
  <c r="HR20" i="13" s="1"/>
  <c r="HP15" i="13"/>
  <c r="HP22" i="13" s="1"/>
  <c r="HQ26" i="13"/>
  <c r="HQ27" i="13" s="1"/>
  <c r="HR3" i="13"/>
  <c r="HR23" i="13" s="1"/>
  <c r="HS11" i="13" l="1"/>
  <c r="HS20" i="13" s="1"/>
  <c r="HR18" i="13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18" i="13"/>
  <c r="HS9" i="13"/>
  <c r="HS19" i="13" s="1"/>
  <c r="HS13" i="13"/>
  <c r="HS21" i="13" s="1"/>
  <c r="HT11" i="13"/>
  <c r="HT20" i="13" s="1"/>
  <c r="HU11" i="13" l="1"/>
  <c r="HU20" i="13" s="1"/>
  <c r="HS15" i="13"/>
  <c r="HS22" i="13" s="1"/>
  <c r="HT18" i="13"/>
  <c r="HS24" i="13"/>
  <c r="HT13" i="13"/>
  <c r="HT21" i="13" s="1"/>
  <c r="HT26" i="13"/>
  <c r="HT27" i="13" s="1"/>
  <c r="HU3" i="13"/>
  <c r="HU23" i="13" s="1"/>
  <c r="HT9" i="13"/>
  <c r="HT19" i="13" s="1"/>
  <c r="HT24" i="13" l="1"/>
  <c r="HU18" i="13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18" i="13"/>
  <c r="HV13" i="13"/>
  <c r="HV21" i="13" s="1"/>
  <c r="HX11" i="13" l="1"/>
  <c r="HX20" i="13" s="1"/>
  <c r="HW13" i="13"/>
  <c r="HW21" i="13" s="1"/>
  <c r="HX3" i="13"/>
  <c r="HX23" i="13" s="1"/>
  <c r="HW26" i="13"/>
  <c r="HW27" i="13" s="1"/>
  <c r="HW18" i="13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18" i="13"/>
  <c r="HW24" i="13"/>
  <c r="HY11" i="13"/>
  <c r="HY20" i="13" s="1"/>
  <c r="HX9" i="13"/>
  <c r="HX19" i="13" s="1"/>
  <c r="HX24" i="13" l="1"/>
  <c r="HY18" i="13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18" i="13"/>
  <c r="HY24" i="13"/>
  <c r="HY15" i="13"/>
  <c r="HY22" i="13" s="1"/>
  <c r="IA9" i="13" l="1"/>
  <c r="IA19" i="13" s="1"/>
  <c r="HZ15" i="13"/>
  <c r="HZ22" i="13" s="1"/>
  <c r="IA18" i="13"/>
  <c r="HZ24" i="13"/>
  <c r="IA26" i="13"/>
  <c r="IA27" i="13" s="1"/>
  <c r="IB3" i="13"/>
  <c r="IB23" i="13" s="1"/>
  <c r="IB11" i="13"/>
  <c r="IB20" i="13" s="1"/>
  <c r="IA13" i="13"/>
  <c r="IA21" i="13" s="1"/>
  <c r="IB18" i="13" l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18" i="13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18" i="13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18" i="13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18" i="13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18" i="13"/>
  <c r="II3" i="13" l="1"/>
  <c r="II23" i="13" s="1"/>
  <c r="IH26" i="13"/>
  <c r="IH27" i="13" s="1"/>
  <c r="II11" i="13"/>
  <c r="II20" i="13" s="1"/>
  <c r="IH18" i="13"/>
  <c r="IG24" i="13"/>
  <c r="IG15" i="13"/>
  <c r="IG22" i="13" s="1"/>
  <c r="IH13" i="13"/>
  <c r="IH21" i="13" s="1"/>
  <c r="IH9" i="13"/>
  <c r="IH19" i="13" s="1"/>
  <c r="IJ11" i="13" l="1"/>
  <c r="IJ20" i="13" s="1"/>
  <c r="IH24" i="13"/>
  <c r="II18" i="13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18" i="13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18" i="13"/>
  <c r="IM11" i="13" l="1"/>
  <c r="IM20" i="13" s="1"/>
  <c r="IL13" i="13"/>
  <c r="IL21" i="13" s="1"/>
  <c r="IK15" i="13"/>
  <c r="IK22" i="13" s="1"/>
  <c r="IL9" i="13"/>
  <c r="IL19" i="13" s="1"/>
  <c r="IK24" i="13"/>
  <c r="IL18" i="13"/>
  <c r="IM3" i="13"/>
  <c r="IM23" i="13" s="1"/>
  <c r="IL26" i="13"/>
  <c r="IL27" i="13" s="1"/>
  <c r="IM9" i="13" l="1"/>
  <c r="IM19" i="13" s="1"/>
  <c r="IM13" i="13"/>
  <c r="IM21" i="13" s="1"/>
  <c r="IL24" i="13"/>
  <c r="IM18" i="13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26" i="13"/>
  <c r="IN27" i="13" s="1"/>
  <c r="IM15" i="13"/>
  <c r="IM22" i="13" s="1"/>
  <c r="IN9" i="13"/>
  <c r="IN19" i="13" s="1"/>
  <c r="IN18" i="13" l="1"/>
  <c r="IN24" i="13" s="1"/>
  <c r="IN15" i="13"/>
  <c r="IN22" i="13" s="1"/>
  <c r="D31" i="13" l="1"/>
  <c r="D27" i="13" s="1"/>
  <c r="B5" i="20"/>
  <c r="B6" i="20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K58" i="20"/>
  <c r="K6" i="20"/>
  <c r="D6" i="20"/>
  <c r="E6" i="20" s="1"/>
  <c r="K60" i="20"/>
  <c r="D60" i="20"/>
  <c r="E60" i="20" s="1"/>
  <c r="D32" i="20"/>
  <c r="E32" i="20" s="1"/>
  <c r="K32" i="20"/>
  <c r="D42" i="20"/>
  <c r="E42" i="20" s="1"/>
  <c r="K42" i="20"/>
  <c r="D48" i="20"/>
  <c r="E48" i="20" s="1"/>
  <c r="K48" i="20"/>
  <c r="K33" i="20"/>
  <c r="D33" i="20"/>
  <c r="E33" i="20" s="1"/>
  <c r="D35" i="20"/>
  <c r="E35" i="20" s="1"/>
  <c r="K35" i="20"/>
  <c r="D40" i="20"/>
  <c r="E40" i="20" s="1"/>
  <c r="K40" i="20"/>
  <c r="D62" i="20"/>
  <c r="K45" i="20"/>
  <c r="D45" i="20"/>
  <c r="E45" i="20" s="1"/>
  <c r="D10" i="20"/>
  <c r="E10" i="20" s="1"/>
  <c r="K10" i="20"/>
  <c r="D7" i="20"/>
  <c r="E7" i="20" s="1"/>
  <c r="K7" i="20"/>
  <c r="D41" i="20"/>
  <c r="E41" i="20" s="1"/>
  <c r="K41" i="20"/>
  <c r="D14" i="20"/>
  <c r="E14" i="20" s="1"/>
  <c r="K14" i="20"/>
  <c r="K27" i="20"/>
  <c r="D27" i="20"/>
  <c r="E27" i="20" s="1"/>
  <c r="D51" i="20"/>
  <c r="E51" i="20" s="1"/>
  <c r="K51" i="20"/>
  <c r="D38" i="20"/>
  <c r="E38" i="20" s="1"/>
  <c r="K38" i="20"/>
  <c r="D57" i="20"/>
  <c r="E57" i="20" s="1"/>
  <c r="K57" i="20"/>
  <c r="K11" i="20"/>
  <c r="D11" i="20"/>
  <c r="E11" i="20" s="1"/>
  <c r="D15" i="20"/>
  <c r="E15" i="20" s="1"/>
  <c r="K15" i="20"/>
  <c r="D59" i="20"/>
  <c r="E59" i="20" s="1"/>
  <c r="K59" i="20"/>
  <c r="D9" i="20"/>
  <c r="E9" i="20" s="1"/>
  <c r="K9" i="20"/>
  <c r="K39" i="20"/>
  <c r="D39" i="20"/>
  <c r="E39" i="20" s="1"/>
  <c r="D36" i="20"/>
  <c r="E36" i="20" s="1"/>
  <c r="K36" i="20"/>
  <c r="K56" i="20"/>
  <c r="D56" i="20"/>
  <c r="E56" i="20" s="1"/>
  <c r="K25" i="20"/>
  <c r="D25" i="20"/>
  <c r="E25" i="20" s="1"/>
  <c r="D49" i="20"/>
  <c r="E49" i="20" s="1"/>
  <c r="K49" i="20"/>
  <c r="K18" i="20"/>
  <c r="D18" i="20"/>
  <c r="E18" i="20" s="1"/>
  <c r="K61" i="20"/>
  <c r="D61" i="20"/>
  <c r="E61" i="20" s="1"/>
  <c r="D19" i="20"/>
  <c r="E19" i="20" s="1"/>
  <c r="K19" i="20"/>
  <c r="D46" i="20"/>
  <c r="E46" i="20" s="1"/>
  <c r="K46" i="20"/>
  <c r="K31" i="20"/>
  <c r="D31" i="20"/>
  <c r="E31" i="20" s="1"/>
  <c r="D24" i="20"/>
  <c r="E24" i="20" s="1"/>
  <c r="K24" i="20"/>
  <c r="D30" i="13" l="1"/>
  <c r="C40" i="15"/>
  <c r="C42" i="15" s="1"/>
  <c r="H6" i="20"/>
  <c r="H10" i="20"/>
  <c r="H24" i="20"/>
  <c r="H59" i="20"/>
  <c r="H31" i="20"/>
  <c r="H40" i="20"/>
  <c r="H42" i="20"/>
  <c r="H58" i="20"/>
  <c r="H46" i="20"/>
  <c r="H33" i="20"/>
  <c r="H60" i="20"/>
  <c r="H14" i="20"/>
  <c r="H9" i="20"/>
  <c r="H57" i="20"/>
  <c r="H19" i="20"/>
  <c r="H38" i="20"/>
  <c r="H49" i="20"/>
  <c r="H41" i="20"/>
  <c r="H36" i="20"/>
  <c r="H15" i="20"/>
  <c r="H51" i="20"/>
  <c r="H25" i="20"/>
  <c r="H45" i="20"/>
  <c r="H61" i="20"/>
  <c r="H56" i="20"/>
  <c r="H48" i="20"/>
  <c r="H18" i="20"/>
  <c r="H7" i="20"/>
  <c r="H39" i="20"/>
  <c r="H11" i="20"/>
  <c r="H27" i="20"/>
  <c r="H35" i="20"/>
  <c r="H32" i="20"/>
  <c r="E62" i="20"/>
  <c r="H62" i="20" s="1"/>
</calcChain>
</file>

<file path=xl/sharedStrings.xml><?xml version="1.0" encoding="utf-8"?>
<sst xmlns="http://schemas.openxmlformats.org/spreadsheetml/2006/main" count="3563" uniqueCount="568">
  <si>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</si>
  <si>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</si>
  <si>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</si>
  <si>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</si>
  <si>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</si>
  <si>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</si>
  <si>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</si>
  <si>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</si>
  <si>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</si>
  <si>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</si>
  <si>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</si>
  <si>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</si>
  <si>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</si>
  <si>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</si>
  <si>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</si>
  <si>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</si>
  <si>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</si>
  <si>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</si>
  <si>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</si>
  <si>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</si>
  <si>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</si>
  <si>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</si>
  <si>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</si>
  <si>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</si>
  <si>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</si>
  <si>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</si>
  <si>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</si>
  <si>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</si>
  <si>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</si>
  <si>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</si>
  <si>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</si>
  <si>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</si>
  <si>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</si>
  <si>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</si>
  <si>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</si>
  <si>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</si>
  <si>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</si>
  <si>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</si>
  <si>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</si>
  <si>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</si>
  <si>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</si>
  <si>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</si>
  <si>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</si>
  <si>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</si>
  <si>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</si>
  <si>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</si>
  <si>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</si>
  <si>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</si>
  <si>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</si>
  <si>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</si>
  <si>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</si>
  <si>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</si>
  <si>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</si>
  <si>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</si>
  <si>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</si>
  <si>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</si>
  <si>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</si>
  <si>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</si>
  <si>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</si>
  <si>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</si>
  <si>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</si>
  <si>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</si>
  <si>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</si>
  <si>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</si>
  <si>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</si>
  <si>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</si>
  <si>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</si>
  <si>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</si>
  <si>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</si>
  <si>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</si>
  <si>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</si>
  <si>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</si>
  <si>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</si>
  <si>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</si>
  <si>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</si>
  <si>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</si>
  <si>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</si>
  <si>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</si>
  <si>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</si>
  <si>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</si>
  <si>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</si>
  <si>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</si>
  <si>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</si>
  <si>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</si>
  <si>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</si>
  <si>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</si>
  <si>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</si>
  <si>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</si>
  <si>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</si>
  <si>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</si>
  <si>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</si>
  <si>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</si>
  <si>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</si>
  <si>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</si>
  <si>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</si>
  <si>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</si>
  <si>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</si>
  <si>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</si>
  <si>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</si>
  <si>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</si>
  <si>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</si>
  <si>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</si>
  <si>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</si>
  <si>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</si>
  <si>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</si>
  <si>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</si>
  <si>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</si>
  <si>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</si>
  <si>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</si>
  <si>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</si>
  <si>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</si>
  <si>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</si>
  <si>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</si>
  <si>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</si>
  <si>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</si>
  <si>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</si>
  <si>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</si>
  <si>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</si>
  <si>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</si>
  <si>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</si>
  <si>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</si>
  <si>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</si>
  <si>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</si>
  <si>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</si>
  <si>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</si>
  <si>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</si>
  <si>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</si>
  <si>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</si>
  <si>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</si>
  <si>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</si>
  <si>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</si>
  <si>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</si>
  <si>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</si>
  <si>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</si>
  <si>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</si>
  <si>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</si>
  <si>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</si>
  <si>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</si>
  <si>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</si>
  <si>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</si>
  <si>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</si>
  <si>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</si>
  <si>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</si>
  <si>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</si>
  <si>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</si>
  <si>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</si>
  <si>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</si>
  <si>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</si>
  <si>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</si>
  <si>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</si>
  <si>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</si>
  <si>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</si>
  <si>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</si>
  <si>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</si>
  <si>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</si>
  <si>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</si>
  <si>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</si>
  <si>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</si>
  <si>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</si>
  <si>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</si>
  <si>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</si>
  <si>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</si>
  <si>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</si>
  <si>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</si>
  <si>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</si>
  <si>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</si>
  <si>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</si>
  <si>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</si>
  <si>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</si>
  <si>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</si>
  <si>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</si>
  <si>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</si>
  <si>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</si>
  <si>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</si>
  <si>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</si>
  <si>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</si>
  <si>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</si>
  <si>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</si>
  <si>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</si>
  <si>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</si>
  <si>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</si>
  <si>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</si>
  <si>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</si>
  <si>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</si>
  <si>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</si>
  <si>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</si>
  <si>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</si>
  <si>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</si>
  <si>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</si>
  <si>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</si>
  <si>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</si>
  <si>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</si>
  <si>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</si>
  <si>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</si>
  <si>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</si>
  <si>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</si>
  <si>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</si>
  <si>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</si>
  <si>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</si>
  <si>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</si>
  <si>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</si>
  <si>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</si>
  <si>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</si>
  <si>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</si>
  <si>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</si>
  <si>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</si>
  <si>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</si>
  <si>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</si>
  <si>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</si>
  <si>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</si>
  <si>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</si>
  <si>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</si>
  <si>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</si>
  <si>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</si>
  <si>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</si>
  <si>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</si>
  <si>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</si>
  <si>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</si>
  <si>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</si>
  <si>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</si>
  <si>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</si>
  <si>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</si>
  <si>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</si>
  <si>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</si>
  <si>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</si>
  <si>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</si>
  <si>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</si>
  <si>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</si>
  <si>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</si>
  <si>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</si>
  <si>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</si>
  <si>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</si>
  <si>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</si>
  <si>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</si>
  <si>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</si>
  <si>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</si>
  <si>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</si>
  <si>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</si>
  <si>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</si>
  <si>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</si>
  <si>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</si>
  <si>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</si>
  <si>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</si>
  <si>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</si>
  <si>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</si>
  <si>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</si>
  <si>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</si>
  <si>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</si>
  <si>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</si>
  <si>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</si>
  <si>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</si>
  <si>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</si>
  <si>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</si>
  <si>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</si>
  <si>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</si>
  <si>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</si>
  <si>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</si>
  <si>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</si>
  <si>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</si>
  <si>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</si>
  <si>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</si>
  <si>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</si>
  <si>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</si>
  <si>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</si>
  <si>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</si>
  <si>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</si>
  <si>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</si>
  <si>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</si>
  <si>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</si>
  <si>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</si>
  <si>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</si>
  <si>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</si>
  <si>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</si>
  <si>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</si>
  <si>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</si>
  <si>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</si>
  <si>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</si>
  <si>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</si>
  <si>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</si>
  <si>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</si>
  <si>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</si>
  <si>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</si>
  <si>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</si>
  <si>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</si>
  <si>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</si>
  <si>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</si>
  <si>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</si>
  <si>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</si>
  <si>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</si>
  <si>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</si>
  <si>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</si>
  <si>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</si>
  <si>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</si>
  <si>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</si>
  <si>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</si>
  <si>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</si>
  <si>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</si>
  <si>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</si>
  <si>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</si>
  <si>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</si>
  <si>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</si>
  <si>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</si>
  <si>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</si>
  <si>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</si>
  <si>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</si>
  <si>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</si>
  <si>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</si>
  <si>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</si>
  <si>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</si>
  <si>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</si>
  <si>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</si>
  <si>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</si>
  <si>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</si>
  <si>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</si>
  <si>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</si>
  <si>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</si>
  <si>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</si>
  <si>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</si>
  <si>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</si>
  <si>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</si>
  <si>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</si>
  <si>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</si>
  <si>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</si>
  <si>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</si>
  <si>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</si>
  <si>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</si>
  <si>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</si>
  <si>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</si>
  <si>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</si>
  <si>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</si>
  <si>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</si>
  <si>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</si>
  <si>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</si>
  <si>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</si>
  <si>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</si>
  <si>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</si>
  <si>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</si>
  <si>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</si>
  <si>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</si>
  <si>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</si>
  <si>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</si>
  <si>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</si>
  <si>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</si>
  <si>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</si>
  <si>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</si>
  <si>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</si>
  <si>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</si>
  <si>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</si>
  <si>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</si>
  <si>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</si>
  <si>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</si>
  <si>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</si>
  <si>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</si>
  <si>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</si>
  <si>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</si>
  <si>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</si>
  <si>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</si>
  <si>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</si>
  <si>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</si>
  <si>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</si>
  <si>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</si>
  <si>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</si>
  <si>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</si>
  <si>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</si>
  <si>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</si>
  <si>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</si>
  <si>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</si>
  <si>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</si>
  <si>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</si>
  <si>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</si>
  <si>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</si>
  <si>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</si>
  <si>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</si>
  <si>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</si>
  <si>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</si>
  <si>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</si>
  <si>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</si>
  <si>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</si>
  <si>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</si>
  <si>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</si>
  <si>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</si>
  <si>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</si>
  <si>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</si>
  <si>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</si>
  <si>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</si>
  <si>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</si>
  <si>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</si>
  <si>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</si>
  <si>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</si>
  <si>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</si>
  <si>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</si>
  <si>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</si>
  <si>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</si>
  <si>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</si>
  <si>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</si>
  <si>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</si>
  <si>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</si>
  <si>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</si>
  <si>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</si>
  <si>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</si>
  <si>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</si>
  <si>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</si>
  <si>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</si>
  <si>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</si>
  <si>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</si>
  <si>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</si>
  <si>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</si>
  <si>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</si>
  <si>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</si>
  <si>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</si>
  <si>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</si>
  <si>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</si>
  <si>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</si>
  <si>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</si>
  <si>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</si>
  <si>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</si>
  <si>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</si>
  <si>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</si>
  <si>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</si>
  <si>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</si>
  <si>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</si>
  <si>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</si>
  <si>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</si>
  <si>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</si>
  <si>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</si>
  <si>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</si>
  <si>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</si>
  <si>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</si>
  <si>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</si>
  <si>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</si>
  <si>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</si>
  <si>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</si>
  <si>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</si>
  <si>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</si>
  <si>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</si>
  <si>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</si>
  <si>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</si>
  <si>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</si>
  <si>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</si>
  <si>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</si>
  <si>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</si>
  <si>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</si>
  <si>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</si>
  <si>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</si>
  <si>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</si>
  <si>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</si>
  <si>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</si>
  <si>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</si>
  <si>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</si>
  <si>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</si>
  <si>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</si>
  <si>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</si>
  <si>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</si>
  <si>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</si>
  <si>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</si>
  <si>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</si>
  <si>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</si>
  <si>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</si>
  <si>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</si>
  <si>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</si>
  <si>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</si>
  <si>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</si>
  <si>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</si>
  <si>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</si>
  <si>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</si>
  <si>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</si>
  <si>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</si>
  <si>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</si>
  <si>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</si>
  <si>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</si>
  <si>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</si>
  <si>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</si>
  <si>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</si>
  <si>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</si>
  <si>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</si>
  <si>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</si>
  <si>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</si>
  <si>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</si>
  <si>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</si>
  <si>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</si>
  <si>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</si>
  <si>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</si>
  <si>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</si>
  <si>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</si>
  <si>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</si>
  <si>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</si>
  <si>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</si>
  <si>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</si>
  <si>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</si>
  <si>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</si>
  <si>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</si>
  <si>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</si>
  <si>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</si>
  <si>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</si>
  <si>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</si>
  <si>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</si>
  <si>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</si>
  <si>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</si>
  <si>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</si>
  <si>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</si>
  <si>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</si>
  <si>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</si>
  <si>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</si>
  <si>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</si>
  <si>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</si>
  <si>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</si>
  <si>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</si>
  <si>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</si>
  <si>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</si>
  <si>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</si>
  <si>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</si>
  <si>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</si>
  <si>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</si>
  <si>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</si>
  <si>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</si>
  <si>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</si>
  <si>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</si>
  <si>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</si>
  <si>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</si>
  <si>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</si>
  <si>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</si>
  <si>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</si>
  <si>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</si>
  <si>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</si>
  <si>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</si>
  <si>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</si>
  <si>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</si>
  <si>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</si>
  <si>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</si>
  <si>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</si>
  <si>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</si>
  <si>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</si>
  <si>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</si>
  <si>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</si>
  <si>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</si>
  <si>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</si>
  <si>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</si>
  <si>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</si>
  <si>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</si>
  <si>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</si>
  <si>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</si>
  <si>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</si>
  <si>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</si>
  <si>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</si>
  <si>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</si>
  <si>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Last 5D daily increase rate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</si>
  <si>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</si>
  <si>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</si>
  <si>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</si>
  <si>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</si>
  <si>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</si>
  <si>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</si>
  <si>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</si>
  <si>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</si>
  <si>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</si>
  <si>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</si>
  <si>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</si>
  <si>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</si>
  <si>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</si>
  <si>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</si>
  <si>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Rate of change in increase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</si>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</sst>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43" fontId="12" fillId="6" borderId="11" xfId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9" fontId="12" fillId="6" borderId="11" xfId="2" applyFont="1" applyFill="1" applyBorder="1" applyAlignment="1">
      <alignment horizontal="right" vertical="center" inden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0" fontId="1" fillId="0" borderId="0" xfId="2" applyNumberFormat="1" applyFont="1" applyFill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605.27353463587929</c:v>
                </c:pt>
                <c:pt idx="18">
                  <c:v>665.80088809946722</c:v>
                </c:pt>
                <c:pt idx="19">
                  <c:v>732.38097690941402</c:v>
                </c:pt>
                <c:pt idx="20">
                  <c:v>805.61907460035548</c:v>
                </c:pt>
                <c:pt idx="21">
                  <c:v>886.1809820603911</c:v>
                </c:pt>
                <c:pt idx="22">
                  <c:v>974.79908026643022</c:v>
                </c:pt>
                <c:pt idx="23">
                  <c:v>1072.2789882930733</c:v>
                </c:pt>
                <c:pt idx="24">
                  <c:v>1179.5068871223809</c:v>
                </c:pt>
                <c:pt idx="25">
                  <c:v>1297.4575758346191</c:v>
                </c:pt>
                <c:pt idx="26">
                  <c:v>1427.203333418081</c:v>
                </c:pt>
                <c:pt idx="27">
                  <c:v>1569.9236667598891</c:v>
                </c:pt>
                <c:pt idx="28">
                  <c:v>1726.9160334358783</c:v>
                </c:pt>
                <c:pt idx="29">
                  <c:v>1899.6076367794662</c:v>
                </c:pt>
                <c:pt idx="30">
                  <c:v>2089.5684004574132</c:v>
                </c:pt>
                <c:pt idx="31">
                  <c:v>2298.5252405031547</c:v>
                </c:pt>
                <c:pt idx="32">
                  <c:v>2528.3777645534706</c:v>
                </c:pt>
                <c:pt idx="33">
                  <c:v>2781.215541008818</c:v>
                </c:pt>
                <c:pt idx="34">
                  <c:v>3059.3370951096999</c:v>
                </c:pt>
                <c:pt idx="35">
                  <c:v>3365.2708046206703</c:v>
                </c:pt>
                <c:pt idx="36">
                  <c:v>3701.7978850827376</c:v>
                </c:pt>
                <c:pt idx="37">
                  <c:v>4071.9776735910123</c:v>
                </c:pt>
                <c:pt idx="38">
                  <c:v>4479.1754409501136</c:v>
                </c:pt>
                <c:pt idx="39">
                  <c:v>4927.0929850451257</c:v>
                </c:pt>
                <c:pt idx="40">
                  <c:v>5419.8022835496386</c:v>
                </c:pt>
                <c:pt idx="41">
                  <c:v>5961.7825119046029</c:v>
                </c:pt>
                <c:pt idx="42">
                  <c:v>6557.9607630950632</c:v>
                </c:pt>
                <c:pt idx="43">
                  <c:v>7213.7568394045702</c:v>
                </c:pt>
                <c:pt idx="44">
                  <c:v>7935.132523345027</c:v>
                </c:pt>
                <c:pt idx="45">
                  <c:v>8728.6457756795298</c:v>
                </c:pt>
                <c:pt idx="46">
                  <c:v>9601.5103532474841</c:v>
                </c:pt>
                <c:pt idx="47">
                  <c:v>10561.661388572235</c:v>
                </c:pt>
                <c:pt idx="48">
                  <c:v>11617.827527429457</c:v>
                </c:pt>
                <c:pt idx="49">
                  <c:v>12779.610280172405</c:v>
                </c:pt>
                <c:pt idx="50">
                  <c:v>14057.571308189645</c:v>
                </c:pt>
                <c:pt idx="51">
                  <c:v>15463.328439008612</c:v>
                </c:pt>
                <c:pt idx="52">
                  <c:v>17009.661282909474</c:v>
                </c:pt>
                <c:pt idx="53">
                  <c:v>18710.627411200421</c:v>
                </c:pt>
                <c:pt idx="54">
                  <c:v>20581.690152320465</c:v>
                </c:pt>
                <c:pt idx="55">
                  <c:v>22639.859167552513</c:v>
                </c:pt>
                <c:pt idx="56">
                  <c:v>24903.845084307766</c:v>
                </c:pt>
                <c:pt idx="57">
                  <c:v>27394.229592738546</c:v>
                </c:pt>
                <c:pt idx="58">
                  <c:v>30133.652552012401</c:v>
                </c:pt>
                <c:pt idx="59">
                  <c:v>33147.017807213648</c:v>
                </c:pt>
                <c:pt idx="60">
                  <c:v>36461.719587935011</c:v>
                </c:pt>
                <c:pt idx="61">
                  <c:v>40107.891546728519</c:v>
                </c:pt>
                <c:pt idx="62">
                  <c:v>44118.680701401376</c:v>
                </c:pt>
                <c:pt idx="63">
                  <c:v>48530.548771541522</c:v>
                </c:pt>
                <c:pt idx="64">
                  <c:v>53383.60364869568</c:v>
                </c:pt>
                <c:pt idx="65">
                  <c:v>58721.964013565252</c:v>
                </c:pt>
                <c:pt idx="66">
                  <c:v>64594.160414921775</c:v>
                </c:pt>
                <c:pt idx="67">
                  <c:v>71053.576456413954</c:v>
                </c:pt>
                <c:pt idx="68">
                  <c:v>78158.934102055355</c:v>
                </c:pt>
                <c:pt idx="69">
                  <c:v>85974.82751226089</c:v>
                </c:pt>
                <c:pt idx="70">
                  <c:v>94572.310263487001</c:v>
                </c:pt>
                <c:pt idx="71">
                  <c:v>104029.5412898357</c:v>
                </c:pt>
                <c:pt idx="72">
                  <c:v>114432.49541881929</c:v>
                </c:pt>
                <c:pt idx="73">
                  <c:v>125875.74496070124</c:v>
                </c:pt>
                <c:pt idx="74">
                  <c:v>138463.31945677137</c:v>
                </c:pt>
                <c:pt idx="75">
                  <c:v>152309.65140244851</c:v>
                </c:pt>
                <c:pt idx="76">
                  <c:v>167540.61654269337</c:v>
                </c:pt>
                <c:pt idx="77">
                  <c:v>184294.67819696272</c:v>
                </c:pt>
                <c:pt idx="78">
                  <c:v>202724.14601665898</c:v>
                </c:pt>
                <c:pt idx="79">
                  <c:v>222996.5606183249</c:v>
                </c:pt>
                <c:pt idx="80">
                  <c:v>245296.21668015741</c:v>
                </c:pt>
                <c:pt idx="81">
                  <c:v>269825.83834817319</c:v>
                </c:pt>
                <c:pt idx="82">
                  <c:v>296808.42218299053</c:v>
                </c:pt>
                <c:pt idx="83">
                  <c:v>326489.26440128963</c:v>
                </c:pt>
                <c:pt idx="84">
                  <c:v>359138.19084141863</c:v>
                </c:pt>
                <c:pt idx="85">
                  <c:v>395052.00992556056</c:v>
                </c:pt>
                <c:pt idx="86">
                  <c:v>434557.21091811662</c:v>
                </c:pt>
                <c:pt idx="87">
                  <c:v>478012.93200992834</c:v>
                </c:pt>
                <c:pt idx="88">
                  <c:v>525814.22521092114</c:v>
                </c:pt>
                <c:pt idx="89">
                  <c:v>578395.64773201337</c:v>
                </c:pt>
                <c:pt idx="90">
                  <c:v>636235.21250521473</c:v>
                </c:pt>
                <c:pt idx="91">
                  <c:v>699858.73375573626</c:v>
                </c:pt>
                <c:pt idx="92">
                  <c:v>769844.60713131004</c:v>
                </c:pt>
                <c:pt idx="93">
                  <c:v>846829.06784444116</c:v>
                </c:pt>
                <c:pt idx="94">
                  <c:v>931511.97462888528</c:v>
                </c:pt>
                <c:pt idx="95">
                  <c:v>1024663.1720917738</c:v>
                </c:pt>
                <c:pt idx="96">
                  <c:v>1127129.4893009514</c:v>
                </c:pt>
                <c:pt idx="97">
                  <c:v>1239842.4382310465</c:v>
                </c:pt>
                <c:pt idx="98">
                  <c:v>1363826.6820541513</c:v>
                </c:pt>
                <c:pt idx="99">
                  <c:v>1500209.3502595664</c:v>
                </c:pt>
                <c:pt idx="100">
                  <c:v>1650230.2852855234</c:v>
                </c:pt>
                <c:pt idx="101">
                  <c:v>1815253.3138140757</c:v>
                </c:pt>
                <c:pt idx="102">
                  <c:v>1996778.6451954835</c:v>
                </c:pt>
                <c:pt idx="103">
                  <c:v>2196456.5097150323</c:v>
                </c:pt>
                <c:pt idx="104">
                  <c:v>2416102.1606865358</c:v>
                </c:pt>
                <c:pt idx="105">
                  <c:v>2657712.3767551892</c:v>
                </c:pt>
                <c:pt idx="106">
                  <c:v>2923483.6144307083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687.81083481349913</c:v>
                </c:pt>
                <c:pt idx="18">
                  <c:v>859.76354351687382</c:v>
                </c:pt>
                <c:pt idx="19">
                  <c:v>1074.7044293960923</c:v>
                </c:pt>
                <c:pt idx="20">
                  <c:v>1343.3805367451155</c:v>
                </c:pt>
                <c:pt idx="21">
                  <c:v>1679.2256709313942</c:v>
                </c:pt>
                <c:pt idx="22">
                  <c:v>2099.032088664243</c:v>
                </c:pt>
                <c:pt idx="23">
                  <c:v>2623.7901108303035</c:v>
                </c:pt>
                <c:pt idx="24">
                  <c:v>3279.7376385378793</c:v>
                </c:pt>
                <c:pt idx="25">
                  <c:v>4099.6720481723496</c:v>
                </c:pt>
                <c:pt idx="26">
                  <c:v>5124.590060215437</c:v>
                </c:pt>
                <c:pt idx="27">
                  <c:v>6405.737575269296</c:v>
                </c:pt>
                <c:pt idx="28">
                  <c:v>8007.1719690866194</c:v>
                </c:pt>
                <c:pt idx="29">
                  <c:v>10008.964961358275</c:v>
                </c:pt>
                <c:pt idx="30">
                  <c:v>12511.206201697843</c:v>
                </c:pt>
                <c:pt idx="31">
                  <c:v>15639.007752122305</c:v>
                </c:pt>
                <c:pt idx="32">
                  <c:v>19548.759690152881</c:v>
                </c:pt>
                <c:pt idx="33">
                  <c:v>24435.9496126911</c:v>
                </c:pt>
                <c:pt idx="34">
                  <c:v>30544.937015863878</c:v>
                </c:pt>
                <c:pt idx="35">
                  <c:v>38181.171269829851</c:v>
                </c:pt>
                <c:pt idx="36">
                  <c:v>47726.464087287313</c:v>
                </c:pt>
                <c:pt idx="37">
                  <c:v>59658.080109109134</c:v>
                </c:pt>
                <c:pt idx="38">
                  <c:v>74572.60013638642</c:v>
                </c:pt>
                <c:pt idx="39">
                  <c:v>93215.750170483021</c:v>
                </c:pt>
                <c:pt idx="40">
                  <c:v>116519.68771310378</c:v>
                </c:pt>
                <c:pt idx="41">
                  <c:v>145649.60964137971</c:v>
                </c:pt>
                <c:pt idx="42">
                  <c:v>182062.01205172465</c:v>
                </c:pt>
                <c:pt idx="43">
                  <c:v>227577.5150646558</c:v>
                </c:pt>
                <c:pt idx="44">
                  <c:v>284471.89383081975</c:v>
                </c:pt>
                <c:pt idx="45">
                  <c:v>355589.86728852469</c:v>
                </c:pt>
                <c:pt idx="46">
                  <c:v>444487.33411065582</c:v>
                </c:pt>
                <c:pt idx="47">
                  <c:v>555609.16763831978</c:v>
                </c:pt>
                <c:pt idx="48">
                  <c:v>694511.45954789978</c:v>
                </c:pt>
                <c:pt idx="49">
                  <c:v>868139.3244348747</c:v>
                </c:pt>
                <c:pt idx="50">
                  <c:v>1085174.1555435935</c:v>
                </c:pt>
                <c:pt idx="51">
                  <c:v>1356467.6944294919</c:v>
                </c:pt>
                <c:pt idx="52">
                  <c:v>1695584.6180368648</c:v>
                </c:pt>
                <c:pt idx="53">
                  <c:v>2119480.7725460809</c:v>
                </c:pt>
                <c:pt idx="54">
                  <c:v>2649350.9656826011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770.34813499111897</c:v>
                </c:pt>
                <c:pt idx="18">
                  <c:v>1078.4873889875664</c:v>
                </c:pt>
                <c:pt idx="19">
                  <c:v>1509.8823445825929</c:v>
                </c:pt>
                <c:pt idx="20">
                  <c:v>2113.83528241563</c:v>
                </c:pt>
                <c:pt idx="21">
                  <c:v>2959.369395381882</c:v>
                </c:pt>
                <c:pt idx="22">
                  <c:v>4143.1171535346348</c:v>
                </c:pt>
                <c:pt idx="23">
                  <c:v>5800.3640149484872</c:v>
                </c:pt>
                <c:pt idx="24">
                  <c:v>8120.5096209278827</c:v>
                </c:pt>
                <c:pt idx="25">
                  <c:v>11368.713469299035</c:v>
                </c:pt>
                <c:pt idx="26">
                  <c:v>15916.19885701865</c:v>
                </c:pt>
                <c:pt idx="27">
                  <c:v>22282.678399826109</c:v>
                </c:pt>
                <c:pt idx="28">
                  <c:v>31195.749759756549</c:v>
                </c:pt>
                <c:pt idx="29">
                  <c:v>43674.049663659163</c:v>
                </c:pt>
                <c:pt idx="30">
                  <c:v>61143.669529122824</c:v>
                </c:pt>
                <c:pt idx="31">
                  <c:v>85601.137340771951</c:v>
                </c:pt>
                <c:pt idx="32">
                  <c:v>119841.59227708072</c:v>
                </c:pt>
                <c:pt idx="33">
                  <c:v>167778.22918791301</c:v>
                </c:pt>
                <c:pt idx="34">
                  <c:v>234889.52086307816</c:v>
                </c:pt>
                <c:pt idx="35">
                  <c:v>328845.32920830941</c:v>
                </c:pt>
                <c:pt idx="36">
                  <c:v>460383.46089163318</c:v>
                </c:pt>
                <c:pt idx="37">
                  <c:v>644536.84524828638</c:v>
                </c:pt>
                <c:pt idx="38">
                  <c:v>902351.58334760088</c:v>
                </c:pt>
                <c:pt idx="39">
                  <c:v>1263292.2166866411</c:v>
                </c:pt>
                <c:pt idx="40">
                  <c:v>1768609.1033612976</c:v>
                </c:pt>
                <c:pt idx="41">
                  <c:v>2476052.7447058167</c:v>
                </c:pt>
                <c:pt idx="42">
                  <c:v>3135055.5701598581</c:v>
                </c:pt>
                <c:pt idx="43">
                  <c:v>3135055.5701598581</c:v>
                </c:pt>
                <c:pt idx="44">
                  <c:v>3135055.5701598581</c:v>
                </c:pt>
                <c:pt idx="45">
                  <c:v>3135055.5701598581</c:v>
                </c:pt>
                <c:pt idx="46">
                  <c:v>3135055.5701598581</c:v>
                </c:pt>
                <c:pt idx="47">
                  <c:v>3135055.5701598581</c:v>
                </c:pt>
                <c:pt idx="48">
                  <c:v>3135055.5701598581</c:v>
                </c:pt>
                <c:pt idx="49">
                  <c:v>3135055.5701598581</c:v>
                </c:pt>
                <c:pt idx="50">
                  <c:v>3135055.5701598581</c:v>
                </c:pt>
                <c:pt idx="51">
                  <c:v>3135055.5701598581</c:v>
                </c:pt>
                <c:pt idx="52">
                  <c:v>3135055.5701598581</c:v>
                </c:pt>
                <c:pt idx="53">
                  <c:v>3135055.5701598581</c:v>
                </c:pt>
                <c:pt idx="54">
                  <c:v>3135055.5701598581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1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695.80943071353124</c:v>
                </c:pt>
                <c:pt idx="18">
                  <c:v>879.8763034918727</c:v>
                </c:pt>
                <c:pt idx="19">
                  <c:v>1112.6355511632285</c:v>
                </c:pt>
                <c:pt idx="20">
                  <c:v>1406.9680758526486</c:v>
                </c:pt>
                <c:pt idx="21">
                  <c:v>1779.1622462529908</c:v>
                </c:pt>
                <c:pt idx="22">
                  <c:v>2249.8152963233983</c:v>
                </c:pt>
                <c:pt idx="23">
                  <c:v>2844.9731766908171</c:v>
                </c:pt>
                <c:pt idx="24">
                  <c:v>3597.5719381573581</c:v>
                </c:pt>
                <c:pt idx="25">
                  <c:v>4549.2604135099873</c:v>
                </c:pt>
                <c:pt idx="26">
                  <c:v>5752.7050648858567</c:v>
                </c:pt>
                <c:pt idx="27">
                  <c:v>7274.5045469995348</c:v>
                </c:pt>
                <c:pt idx="28">
                  <c:v>9198.8752782282445</c:v>
                </c:pt>
                <c:pt idx="29">
                  <c:v>11632.311979143802</c:v>
                </c:pt>
                <c:pt idx="30">
                  <c:v>14709.481092800946</c:v>
                </c:pt>
                <c:pt idx="31">
                  <c:v>18600.673228796462</c:v>
                </c:pt>
                <c:pt idx="32">
                  <c:v>23521.22704952495</c:v>
                </c:pt>
                <c:pt idx="33">
                  <c:v>29743.446116713567</c:v>
                </c:pt>
                <c:pt idx="34">
                  <c:v>37611.668176797386</c:v>
                </c:pt>
                <c:pt idx="35">
                  <c:v>47561.320819734938</c:v>
                </c:pt>
                <c:pt idx="36">
                  <c:v>60143.018051861545</c:v>
                </c:pt>
                <c:pt idx="37">
                  <c:v>76053.031287676989</c:v>
                </c:pt>
                <c:pt idx="38">
                  <c:v>96171.821025954428</c:v>
                </c:pt>
                <c:pt idx="39">
                  <c:v>121612.76155401378</c:v>
                </c:pt>
                <c:pt idx="40">
                  <c:v>153783.75510641566</c:v>
                </c:pt>
                <c:pt idx="41">
                  <c:v>194465.14520703669</c:v>
                </c:pt>
                <c:pt idx="42">
                  <c:v>245908.24092067062</c:v>
                </c:pt>
                <c:pt idx="43">
                  <c:v>310959.90434850659</c:v>
                </c:pt>
                <c:pt idx="44">
                  <c:v>393220.09604235383</c:v>
                </c:pt>
                <c:pt idx="45">
                  <c:v>497241.09690446185</c:v>
                </c:pt>
                <c:pt idx="46">
                  <c:v>628779.43151746038</c:v>
                </c:pt>
                <c:pt idx="47">
                  <c:v>795114.43434729706</c:v>
                </c:pt>
                <c:pt idx="48">
                  <c:v>1005451.0882801779</c:v>
                </c:pt>
                <c:pt idx="49">
                  <c:v>1271429.4285874206</c:v>
                </c:pt>
                <c:pt idx="50">
                  <c:v>1607768.7027453629</c:v>
                </c:pt>
                <c:pt idx="51">
                  <c:v>2033081.93392959</c:v>
                </c:pt>
                <c:pt idx="52">
                  <c:v>2570905.9661460086</c:v>
                </c:pt>
                <c:pt idx="53">
                  <c:v>3135055.5701598581</c:v>
                </c:pt>
                <c:pt idx="54">
                  <c:v>3135055.5701598581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30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138638.7757655241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5242.6000000000004</c:v>
                </c:pt>
                <c:pt idx="18">
                  <c:v>5766.8600000000006</c:v>
                </c:pt>
                <c:pt idx="19">
                  <c:v>6343.5460000000012</c:v>
                </c:pt>
                <c:pt idx="20">
                  <c:v>6977.9006000000018</c:v>
                </c:pt>
                <c:pt idx="21">
                  <c:v>7675.6906600000029</c:v>
                </c:pt>
                <c:pt idx="22">
                  <c:v>8443.2597260000039</c:v>
                </c:pt>
                <c:pt idx="23">
                  <c:v>9287.5856986000053</c:v>
                </c:pt>
                <c:pt idx="24">
                  <c:v>10216.344268460007</c:v>
                </c:pt>
                <c:pt idx="25">
                  <c:v>11237.978695306008</c:v>
                </c:pt>
                <c:pt idx="26">
                  <c:v>12361.776564836609</c:v>
                </c:pt>
                <c:pt idx="27">
                  <c:v>13597.954221320271</c:v>
                </c:pt>
                <c:pt idx="28">
                  <c:v>14957.7496434523</c:v>
                </c:pt>
                <c:pt idx="29">
                  <c:v>16453.524607797532</c:v>
                </c:pt>
                <c:pt idx="30">
                  <c:v>18098.877068577287</c:v>
                </c:pt>
                <c:pt idx="31">
                  <c:v>19908.764775435018</c:v>
                </c:pt>
                <c:pt idx="32">
                  <c:v>21899.641252978523</c:v>
                </c:pt>
                <c:pt idx="33">
                  <c:v>24089.605378276377</c:v>
                </c:pt>
                <c:pt idx="34">
                  <c:v>26498.565916104017</c:v>
                </c:pt>
                <c:pt idx="35">
                  <c:v>29148.422507714422</c:v>
                </c:pt>
                <c:pt idx="36">
                  <c:v>32063.264758485868</c:v>
                </c:pt>
                <c:pt idx="37">
                  <c:v>35269.591234334461</c:v>
                </c:pt>
                <c:pt idx="38">
                  <c:v>38796.550357767912</c:v>
                </c:pt>
                <c:pt idx="39">
                  <c:v>42676.205393544704</c:v>
                </c:pt>
                <c:pt idx="40">
                  <c:v>46943.825932899177</c:v>
                </c:pt>
                <c:pt idx="41">
                  <c:v>51638.208526189097</c:v>
                </c:pt>
                <c:pt idx="42">
                  <c:v>56802.029378808009</c:v>
                </c:pt>
                <c:pt idx="43">
                  <c:v>62482.232316688816</c:v>
                </c:pt>
                <c:pt idx="44">
                  <c:v>68730.455548357699</c:v>
                </c:pt>
                <c:pt idx="45">
                  <c:v>75603.50110319347</c:v>
                </c:pt>
                <c:pt idx="46">
                  <c:v>83163.851213512826</c:v>
                </c:pt>
                <c:pt idx="47">
                  <c:v>91480.236334864123</c:v>
                </c:pt>
                <c:pt idx="48">
                  <c:v>100628.25996835054</c:v>
                </c:pt>
                <c:pt idx="49">
                  <c:v>110691.0859651856</c:v>
                </c:pt>
                <c:pt idx="50">
                  <c:v>121760.19456170416</c:v>
                </c:pt>
                <c:pt idx="51">
                  <c:v>133936.21401787459</c:v>
                </c:pt>
                <c:pt idx="52">
                  <c:v>147329.83541966206</c:v>
                </c:pt>
                <c:pt idx="53">
                  <c:v>162062.81896162828</c:v>
                </c:pt>
                <c:pt idx="54">
                  <c:v>178269.10085779111</c:v>
                </c:pt>
                <c:pt idx="55">
                  <c:v>196096.01094357023</c:v>
                </c:pt>
                <c:pt idx="56">
                  <c:v>215705.61203792726</c:v>
                </c:pt>
                <c:pt idx="57">
                  <c:v>237276.17324172001</c:v>
                </c:pt>
                <c:pt idx="58">
                  <c:v>261003.79056589204</c:v>
                </c:pt>
                <c:pt idx="59">
                  <c:v>287104.16962248128</c:v>
                </c:pt>
                <c:pt idx="60">
                  <c:v>315814.58658472943</c:v>
                </c:pt>
                <c:pt idx="61">
                  <c:v>347396.04524320242</c:v>
                </c:pt>
                <c:pt idx="62">
                  <c:v>382135.6497675227</c:v>
                </c:pt>
                <c:pt idx="63">
                  <c:v>420349.21474427503</c:v>
                </c:pt>
                <c:pt idx="64">
                  <c:v>462384.1362187026</c:v>
                </c:pt>
                <c:pt idx="65">
                  <c:v>508622.54984057287</c:v>
                </c:pt>
                <c:pt idx="66">
                  <c:v>559484.80482463015</c:v>
                </c:pt>
                <c:pt idx="67">
                  <c:v>615433.28530709317</c:v>
                </c:pt>
                <c:pt idx="68">
                  <c:v>676976.61383780255</c:v>
                </c:pt>
                <c:pt idx="69">
                  <c:v>744674.27522158285</c:v>
                </c:pt>
                <c:pt idx="70">
                  <c:v>819141.70274374122</c:v>
                </c:pt>
                <c:pt idx="71">
                  <c:v>901055.87301811541</c:v>
                </c:pt>
                <c:pt idx="72">
                  <c:v>991161.46031992708</c:v>
                </c:pt>
                <c:pt idx="73">
                  <c:v>1090277.6063519199</c:v>
                </c:pt>
                <c:pt idx="74">
                  <c:v>1199305.366987112</c:v>
                </c:pt>
                <c:pt idx="75">
                  <c:v>1319235.9036858233</c:v>
                </c:pt>
                <c:pt idx="76">
                  <c:v>1451159.4940544057</c:v>
                </c:pt>
                <c:pt idx="77">
                  <c:v>1596275.4434598463</c:v>
                </c:pt>
                <c:pt idx="78">
                  <c:v>1755902.987805831</c:v>
                </c:pt>
                <c:pt idx="79">
                  <c:v>1931493.2865864143</c:v>
                </c:pt>
                <c:pt idx="80">
                  <c:v>2124642.6152450559</c:v>
                </c:pt>
                <c:pt idx="81">
                  <c:v>2337106.8767695618</c:v>
                </c:pt>
                <c:pt idx="82">
                  <c:v>2570817.5644465182</c:v>
                </c:pt>
                <c:pt idx="83">
                  <c:v>2827899.3208911703</c:v>
                </c:pt>
                <c:pt idx="84">
                  <c:v>3110689.2529802877</c:v>
                </c:pt>
                <c:pt idx="85">
                  <c:v>3421758.1782783167</c:v>
                </c:pt>
                <c:pt idx="86">
                  <c:v>3763933.9961061487</c:v>
                </c:pt>
                <c:pt idx="87">
                  <c:v>4140327.395716764</c:v>
                </c:pt>
                <c:pt idx="88">
                  <c:v>4554360.1352884406</c:v>
                </c:pt>
                <c:pt idx="89">
                  <c:v>5009796.148817285</c:v>
                </c:pt>
                <c:pt idx="90">
                  <c:v>5510775.7636990137</c:v>
                </c:pt>
                <c:pt idx="91">
                  <c:v>6061853.3400689159</c:v>
                </c:pt>
                <c:pt idx="92">
                  <c:v>6668038.6740758084</c:v>
                </c:pt>
                <c:pt idx="93">
                  <c:v>7334842.5414833901</c:v>
                </c:pt>
                <c:pt idx="94">
                  <c:v>8068326.79563173</c:v>
                </c:pt>
                <c:pt idx="95">
                  <c:v>8875159.4751949031</c:v>
                </c:pt>
                <c:pt idx="96">
                  <c:v>9762675.4227143936</c:v>
                </c:pt>
                <c:pt idx="97">
                  <c:v>10738942.964985834</c:v>
                </c:pt>
                <c:pt idx="98">
                  <c:v>11812837.261484418</c:v>
                </c:pt>
                <c:pt idx="99">
                  <c:v>12994120.987632861</c:v>
                </c:pt>
                <c:pt idx="100">
                  <c:v>14293533.086396148</c:v>
                </c:pt>
                <c:pt idx="101">
                  <c:v>15722886.395035764</c:v>
                </c:pt>
                <c:pt idx="102">
                  <c:v>17295175.034539342</c:v>
                </c:pt>
                <c:pt idx="103">
                  <c:v>19024692.537993278</c:v>
                </c:pt>
                <c:pt idx="104">
                  <c:v>20927161.791792609</c:v>
                </c:pt>
                <c:pt idx="105">
                  <c:v>23019877.970971871</c:v>
                </c:pt>
                <c:pt idx="106">
                  <c:v>25321865.768069059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5957.5</c:v>
                </c:pt>
                <c:pt idx="18">
                  <c:v>7446.875</c:v>
                </c:pt>
                <c:pt idx="19">
                  <c:v>9308.59375</c:v>
                </c:pt>
                <c:pt idx="20">
                  <c:v>11635.7421875</c:v>
                </c:pt>
                <c:pt idx="21">
                  <c:v>14544.677734375</c:v>
                </c:pt>
                <c:pt idx="22">
                  <c:v>18180.84716796875</c:v>
                </c:pt>
                <c:pt idx="23">
                  <c:v>22726.058959960938</c:v>
                </c:pt>
                <c:pt idx="24">
                  <c:v>28407.573699951172</c:v>
                </c:pt>
                <c:pt idx="25">
                  <c:v>35509.467124938965</c:v>
                </c:pt>
                <c:pt idx="26">
                  <c:v>44386.833906173706</c:v>
                </c:pt>
                <c:pt idx="27">
                  <c:v>55483.542382717133</c:v>
                </c:pt>
                <c:pt idx="28">
                  <c:v>69354.427978396416</c:v>
                </c:pt>
                <c:pt idx="29">
                  <c:v>86693.03497299552</c:v>
                </c:pt>
                <c:pt idx="30">
                  <c:v>108366.2937162444</c:v>
                </c:pt>
                <c:pt idx="31">
                  <c:v>135457.8671453055</c:v>
                </c:pt>
                <c:pt idx="32">
                  <c:v>169322.33393163187</c:v>
                </c:pt>
                <c:pt idx="33">
                  <c:v>211652.91741453984</c:v>
                </c:pt>
                <c:pt idx="34">
                  <c:v>264566.14676817483</c:v>
                </c:pt>
                <c:pt idx="35">
                  <c:v>330707.68346021854</c:v>
                </c:pt>
                <c:pt idx="36">
                  <c:v>413384.60432527319</c:v>
                </c:pt>
                <c:pt idx="37">
                  <c:v>516730.75540659146</c:v>
                </c:pt>
                <c:pt idx="38">
                  <c:v>645913.44425823935</c:v>
                </c:pt>
                <c:pt idx="39">
                  <c:v>807391.80532279913</c:v>
                </c:pt>
                <c:pt idx="40">
                  <c:v>1009239.7566534989</c:v>
                </c:pt>
                <c:pt idx="41">
                  <c:v>1261549.6958168736</c:v>
                </c:pt>
                <c:pt idx="42">
                  <c:v>1576937.119771092</c:v>
                </c:pt>
                <c:pt idx="43">
                  <c:v>1971171.399713865</c:v>
                </c:pt>
                <c:pt idx="44">
                  <c:v>2463964.2496423312</c:v>
                </c:pt>
                <c:pt idx="45">
                  <c:v>3079955.3120529139</c:v>
                </c:pt>
                <c:pt idx="46">
                  <c:v>3849944.1400661422</c:v>
                </c:pt>
                <c:pt idx="47">
                  <c:v>4812430.175082678</c:v>
                </c:pt>
                <c:pt idx="48">
                  <c:v>6015537.718853347</c:v>
                </c:pt>
                <c:pt idx="49">
                  <c:v>7519422.1485666838</c:v>
                </c:pt>
                <c:pt idx="50">
                  <c:v>9399277.6857083552</c:v>
                </c:pt>
                <c:pt idx="51">
                  <c:v>11749097.107135445</c:v>
                </c:pt>
                <c:pt idx="52">
                  <c:v>14686371.383919306</c:v>
                </c:pt>
                <c:pt idx="53">
                  <c:v>18357964.229899131</c:v>
                </c:pt>
                <c:pt idx="54">
                  <c:v>22947455.287373915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6672.4</c:v>
                </c:pt>
                <c:pt idx="18">
                  <c:v>9341.3599999999988</c:v>
                </c:pt>
                <c:pt idx="19">
                  <c:v>13077.903999999997</c:v>
                </c:pt>
                <c:pt idx="20">
                  <c:v>18309.065599999994</c:v>
                </c:pt>
                <c:pt idx="21">
                  <c:v>25632.691839999992</c:v>
                </c:pt>
                <c:pt idx="22">
                  <c:v>35885.768575999988</c:v>
                </c:pt>
                <c:pt idx="23">
                  <c:v>50240.076006399977</c:v>
                </c:pt>
                <c:pt idx="24">
                  <c:v>70336.106408959968</c:v>
                </c:pt>
                <c:pt idx="25">
                  <c:v>98470.548972543955</c:v>
                </c:pt>
                <c:pt idx="26">
                  <c:v>137858.76856156153</c:v>
                </c:pt>
                <c:pt idx="27">
                  <c:v>193002.27598618614</c:v>
                </c:pt>
                <c:pt idx="28">
                  <c:v>270203.18638066057</c:v>
                </c:pt>
                <c:pt idx="29">
                  <c:v>378284.46093292476</c:v>
                </c:pt>
                <c:pt idx="30">
                  <c:v>529598.24530609464</c:v>
                </c:pt>
                <c:pt idx="31">
                  <c:v>741437.54342853243</c:v>
                </c:pt>
                <c:pt idx="32">
                  <c:v>1038012.5607999454</c:v>
                </c:pt>
                <c:pt idx="33">
                  <c:v>1453217.5851199233</c:v>
                </c:pt>
                <c:pt idx="34">
                  <c:v>2034504.6191678925</c:v>
                </c:pt>
                <c:pt idx="35">
                  <c:v>2848306.4668350494</c:v>
                </c:pt>
                <c:pt idx="36">
                  <c:v>3987629.0535690691</c:v>
                </c:pt>
                <c:pt idx="37">
                  <c:v>5582680.6749966964</c:v>
                </c:pt>
                <c:pt idx="38">
                  <c:v>7815752.9449953744</c:v>
                </c:pt>
                <c:pt idx="39">
                  <c:v>10942054.122993523</c:v>
                </c:pt>
                <c:pt idx="40">
                  <c:v>15318875.772190932</c:v>
                </c:pt>
                <c:pt idx="41">
                  <c:v>21446426.081067305</c:v>
                </c:pt>
                <c:pt idx="42">
                  <c:v>27154404.400000002</c:v>
                </c:pt>
                <c:pt idx="43">
                  <c:v>27154404.400000002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(26%)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6026.7801460264327</c:v>
                </c:pt>
                <c:pt idx="18">
                  <c:v>7621.0824440911438</c:v>
                </c:pt>
                <c:pt idx="19">
                  <c:v>9637.1356200753489</c:v>
                </c:pt>
                <c:pt idx="20">
                  <c:v>12186.50810315448</c:v>
                </c:pt>
                <c:pt idx="21">
                  <c:v>15410.282225237444</c:v>
                </c:pt>
                <c:pt idx="22">
                  <c:v>19486.861720462668</c:v>
                </c:pt>
                <c:pt idx="23">
                  <c:v>24641.844591952769</c:v>
                </c:pt>
                <c:pt idx="24">
                  <c:v>31160.507710501424</c:v>
                </c:pt>
                <c:pt idx="25">
                  <c:v>39403.594043171121</c:v>
                </c:pt>
                <c:pt idx="26">
                  <c:v>49827.276177395957</c:v>
                </c:pt>
                <c:pt idx="27">
                  <c:v>63008.400922472894</c:v>
                </c:pt>
                <c:pt idx="28">
                  <c:v>79676.412025269252</c:v>
                </c:pt>
                <c:pt idx="29">
                  <c:v>100753.71760396863</c:v>
                </c:pt>
                <c:pt idx="30">
                  <c:v>127406.7362345682</c:v>
                </c:pt>
                <c:pt idx="31">
                  <c:v>161110.44658172937</c:v>
                </c:pt>
                <c:pt idx="32">
                  <c:v>203730.01275203918</c:v>
                </c:pt>
                <c:pt idx="33">
                  <c:v>257624.00251861138</c:v>
                </c:pt>
                <c:pt idx="34">
                  <c:v>325774.91051595274</c:v>
                </c:pt>
                <c:pt idx="35">
                  <c:v>411954.20956170413</c:v>
                </c:pt>
                <c:pt idx="36">
                  <c:v>520931.0640492008</c:v>
                </c:pt>
                <c:pt idx="37">
                  <c:v>658736.25561480224</c:v>
                </c:pt>
                <c:pt idx="38">
                  <c:v>832995.92673249764</c:v>
                </c:pt>
                <c:pt idx="39">
                  <c:v>1053353.6116139963</c:v>
                </c:pt>
                <c:pt idx="40">
                  <c:v>1332003.909614031</c:v>
                </c:pt>
                <c:pt idx="41">
                  <c:v>1684367.3346394103</c:v>
                </c:pt>
                <c:pt idx="42">
                  <c:v>2129943.6867436548</c:v>
                </c:pt>
                <c:pt idx="43">
                  <c:v>2693391.1715109111</c:v>
                </c:pt>
                <c:pt idx="44">
                  <c:v>3405890.9857206955</c:v>
                </c:pt>
                <c:pt idx="45">
                  <c:v>4306872.8854955696</c:v>
                </c:pt>
                <c:pt idx="46">
                  <c:v>5446197.2299127728</c:v>
                </c:pt>
                <c:pt idx="47">
                  <c:v>6886914.2544235112</c:v>
                </c:pt>
                <c:pt idx="48">
                  <c:v>8708753.2723344639</c:v>
                </c:pt>
                <c:pt idx="49">
                  <c:v>11012534.896841813</c:v>
                </c:pt>
                <c:pt idx="50">
                  <c:v>13925750.456086759</c:v>
                </c:pt>
                <c:pt idx="51">
                  <c:v>17609617.366190143</c:v>
                </c:pt>
                <c:pt idx="52">
                  <c:v>22268000.906772353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5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6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7"/>
          <c:tx>
            <c:strRef>
              <c:f>Projections_Data!$F$5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D-4F96-B115-63E8B4896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4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0.43925233644859807</c:v>
                </c:pt>
                <c:pt idx="1">
                  <c:v>0.43925233644859807</c:v>
                </c:pt>
                <c:pt idx="2">
                  <c:v>0.32199226601439279</c:v>
                </c:pt>
                <c:pt idx="3">
                  <c:v>0.3322290961318255</c:v>
                </c:pt>
                <c:pt idx="4">
                  <c:v>0.29400027687703489</c:v>
                </c:pt>
                <c:pt idx="5">
                  <c:v>0.2739199362727387</c:v>
                </c:pt>
                <c:pt idx="6">
                  <c:v>0.22911524453248044</c:v>
                </c:pt>
                <c:pt idx="7">
                  <c:v>0.24661789739564544</c:v>
                </c:pt>
                <c:pt idx="8">
                  <c:v>0.25093929874985577</c:v>
                </c:pt>
                <c:pt idx="9">
                  <c:v>0.29768583396252413</c:v>
                </c:pt>
                <c:pt idx="10">
                  <c:v>0.29648131138297362</c:v>
                </c:pt>
                <c:pt idx="11">
                  <c:v>0.278211578840591</c:v>
                </c:pt>
                <c:pt idx="12">
                  <c:v>0.26876036963610472</c:v>
                </c:pt>
                <c:pt idx="13">
                  <c:v>0.26424670212945167</c:v>
                </c:pt>
                <c:pt idx="14">
                  <c:v>0.22935843129129352</c:v>
                </c:pt>
                <c:pt idx="15">
                  <c:v>0.23441183506947327</c:v>
                </c:pt>
                <c:pt idx="16">
                  <c:v>0.26453632942224781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7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7554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96067409749301691"/>
          <c:h val="0.12663423546977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</a:t>
            </a:r>
            <a:r>
              <a:rPr lang="en-GB" baseline="0"/>
              <a:t> of cases country by day since 100th infection</a:t>
            </a:r>
            <a:endParaRPr lang="en-GB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2780846534149513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Days_Since_100!$I$6:$HC$6</c:f>
              <c:numCache>
                <c:formatCode>General</c:formatCode>
                <c:ptCount val="203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Days_Since_100!$I$7:$GT$7</c:f>
              <c:numCache>
                <c:formatCode>General</c:formatCode>
                <c:ptCount val="194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chemeClr val="bg2">
                  <a:lumMod val="7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Days_Since_100!$I$8:$HL$8</c:f>
              <c:numCache>
                <c:formatCode>General</c:formatCode>
                <c:ptCount val="212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4445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Days_Since_100!$I$9:$GE$9</c:f>
              <c:numCache>
                <c:formatCode>General</c:formatCode>
                <c:ptCount val="17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  <c:pt idx="20">
                  <c:v>12726</c:v>
                </c:pt>
                <c:pt idx="21">
                  <c:v>14431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444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Days_Since_100!$I$10:$GH$10</c:f>
              <c:numCache>
                <c:formatCode>General</c:formatCode>
                <c:ptCount val="182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Days_Since_100!$I$11:$GK$11</c:f>
              <c:numCache>
                <c:formatCode>General</c:formatCode>
                <c:ptCount val="185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Japan</c:v>
                </c:pt>
              </c:strCache>
            </c:strRef>
          </c:tx>
          <c:spPr>
            <a:ln w="44450" cap="rnd" cmpd="sng" algn="ctr">
              <a:solidFill>
                <a:schemeClr val="accent2">
                  <a:lumMod val="20000"/>
                  <a:lumOff val="8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Days_Since_100!$I$12:$GB$12</c:f>
              <c:numCache>
                <c:formatCode>General</c:formatCode>
                <c:ptCount val="176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Days_Since_100!$I$13:$FV$13</c:f>
              <c:numCache>
                <c:formatCode>General</c:formatCode>
                <c:ptCount val="170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Days_Since_100!$I$14:$FS$14</c:f>
              <c:numCache>
                <c:formatCode>General</c:formatCode>
                <c:ptCount val="167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Days_Since_100!$I$15:$FS$15</c:f>
              <c:numCache>
                <c:formatCode>General</c:formatCode>
                <c:ptCount val="167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Days_Since_100!$I$16:$FG$16</c:f>
              <c:numCache>
                <c:formatCode>General</c:formatCode>
                <c:ptCount val="155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Days_Since_100!$I$17:$FS$17</c:f>
              <c:numCache>
                <c:formatCode>General</c:formatCode>
                <c:ptCount val="167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Days_Since_100!$I$18:$FV$18</c:f>
              <c:numCache>
                <c:formatCode>General</c:formatCode>
                <c:ptCount val="170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Days_Since_100!$I$19:$HI$19</c:f>
              <c:numCache>
                <c:formatCode>General</c:formatCode>
                <c:ptCount val="20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Days_Since_100!$I$20:$IP$20</c:f>
              <c:numCache>
                <c:formatCode>General</c:formatCode>
                <c:ptCount val="242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Days_Since_100!$I$21:$FS$21</c:f>
              <c:numCache>
                <c:formatCode>General</c:formatCode>
                <c:ptCount val="167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Days_Since_100!$I$22:$FM$22</c:f>
              <c:numCache>
                <c:formatCode>General</c:formatCode>
                <c:ptCount val="161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Days_Since_100!$I$23:$FD$23</c:f>
              <c:numCache>
                <c:formatCode>General</c:formatCode>
                <c:ptCount val="152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Days_Since_100!$I$24:$FG$24</c:f>
              <c:numCache>
                <c:formatCode>General</c:formatCode>
                <c:ptCount val="155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Days_Since_100!$I$25:$GK$25</c:f>
              <c:numCache>
                <c:formatCode>General</c:formatCode>
                <c:ptCount val="185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Days_Since_100!$I$26:$FJ$26</c:f>
              <c:numCache>
                <c:formatCode>General</c:formatCode>
                <c:ptCount val="158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Days_Since_100!$I$27:$FD$27</c:f>
              <c:numCache>
                <c:formatCode>General</c:formatCode>
                <c:ptCount val="152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Days_Since_100!$I$28:$EX$28</c:f>
              <c:numCache>
                <c:formatCode>General</c:formatCode>
                <c:ptCount val="146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  <c:pt idx="9">
                  <c:v>705</c:v>
                </c:pt>
                <c:pt idx="10">
                  <c:v>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Days_Since_100!$I$29:$FG$29</c:f>
              <c:numCache>
                <c:formatCode>General</c:formatCode>
                <c:ptCount val="155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Days_Since_100!$I$30:$FD$30</c:f>
              <c:numCache>
                <c:formatCode>General</c:formatCode>
                <c:ptCount val="152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chemeClr val="accent2">
                  <a:lumMod val="20000"/>
                  <a:lumOff val="80000"/>
                  <a:alpha val="1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Days_Since_100!$I$31:$EX$31</c:f>
              <c:numCache>
                <c:formatCode>General</c:formatCode>
                <c:ptCount val="146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  <c:pt idx="38">
                  <c:v>712</c:v>
                </c:pt>
                <c:pt idx="39">
                  <c:v>712</c:v>
                </c:pt>
                <c:pt idx="40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Days_Since_100!$I$32:$EX$32</c:f>
              <c:numCache>
                <c:formatCode>General</c:formatCode>
                <c:ptCount val="146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Turkey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Days_Since_100!$I$33:$EX$33</c:f>
              <c:numCache>
                <c:formatCode>General</c:formatCode>
                <c:ptCount val="146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Days_Since_100!$I$34:$EX$34</c:f>
              <c:numCache>
                <c:formatCode>General</c:formatCode>
                <c:ptCount val="146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Days_Since_100!$I$35:$FA$35</c:f>
              <c:numCache>
                <c:formatCode>General</c:formatCode>
                <c:ptCount val="14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E7E6E6">
                  <a:lumMod val="75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Days_Since_100!$I$36:$EX$36</c:f>
              <c:numCache>
                <c:formatCode>General</c:formatCode>
                <c:ptCount val="146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Days_Since_100!$I$37:$EX$37</c:f>
              <c:numCache>
                <c:formatCode>General</c:formatCode>
                <c:ptCount val="146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Ecuador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Days_Since_100!$I$38:$EU$38</c:f>
              <c:numCache>
                <c:formatCode>General</c:formatCode>
                <c:ptCount val="143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Days_Since_100!$I$39:$EU$39</c:f>
              <c:numCache>
                <c:formatCode>General</c:formatCode>
                <c:ptCount val="143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Days_Since_100!$I$40:$EU$40</c:f>
              <c:numCache>
                <c:formatCode>General</c:formatCode>
                <c:ptCount val="143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Days_Since_100!$I$41:$EI$41</c:f>
              <c:numCache>
                <c:formatCode>General</c:formatCode>
                <c:ptCount val="131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Days_Since_100!$I$42:$EU$42</c:f>
              <c:numCache>
                <c:formatCode>General</c:formatCode>
                <c:ptCount val="143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Days_Since_100!$I$43:$EU$43</c:f>
              <c:numCache>
                <c:formatCode>General</c:formatCode>
                <c:ptCount val="143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Days_Since_100!$I$44:$EU$44</c:f>
              <c:numCache>
                <c:formatCode>General</c:formatCode>
                <c:ptCount val="143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Days_Since_100!$I$45:$ER$45</c:f>
              <c:numCache>
                <c:formatCode>General</c:formatCode>
                <c:ptCount val="140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Days_Since_100!$I$46:$EU$46</c:f>
              <c:numCache>
                <c:formatCode>General</c:formatCode>
                <c:ptCount val="143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Days_Since_100!$I$47:$ER$47</c:f>
              <c:numCache>
                <c:formatCode>General</c:formatCode>
                <c:ptCount val="140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Peru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Days_Since_100!$I$48:$ER$48</c:f>
              <c:numCache>
                <c:formatCode>General</c:formatCode>
                <c:ptCount val="140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Days_Since_100!$I$49:$ER$49</c:f>
              <c:numCache>
                <c:formatCode>General</c:formatCode>
                <c:ptCount val="140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Days_Since_100!$I$50:$EU$50</c:f>
              <c:numCache>
                <c:formatCode>General</c:formatCode>
                <c:ptCount val="143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Days_Since_100!$I$51:$EU$51</c:f>
              <c:numCache>
                <c:formatCode>General</c:formatCode>
                <c:ptCount val="143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Days_Since_100!$I$52:$EI$52</c:f>
              <c:numCache>
                <c:formatCode>General</c:formatCode>
                <c:ptCount val="131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Days_Since_100!$H$53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Days_Since_100!$I$53:$EK$53</c:f>
              <c:numCache>
                <c:formatCode>General</c:formatCode>
                <c:ptCount val="133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Days_Since_100!$H$54</c:f>
              <c:strCache>
                <c:ptCount val="1"/>
                <c:pt idx="0">
                  <c:v>South Africa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Days_Since_100!$I$54:$EI$54</c:f>
              <c:numCache>
                <c:formatCode>General</c:formatCode>
                <c:ptCount val="131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Days_Since_100!$H$55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Days_Since_100!$I$55:$EI$55</c:f>
              <c:numCache>
                <c:formatCode>General</c:formatCode>
                <c:ptCount val="131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Days_Since_100!$H$56</c:f>
              <c:strCache>
                <c:ptCount val="1"/>
                <c:pt idx="0">
                  <c:v>Croatia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Days_Since_100!$I$56:$EK$56</c:f>
              <c:numCache>
                <c:formatCode>General</c:formatCode>
                <c:ptCount val="133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Days_Since_100!$I$57:$EJ$57</c:f>
              <c:numCache>
                <c:formatCode>General</c:formatCode>
                <c:ptCount val="132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Days_Since_100!$H$58</c:f>
              <c:strCache>
                <c:ptCount val="1"/>
                <c:pt idx="0">
                  <c:v>Panama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Days_Since_100!$I$58:$EH$58</c:f>
              <c:numCache>
                <c:formatCode>General</c:formatCode>
                <c:ptCount val="130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15604572511713"/>
          <c:y val="5.8569922112763968E-2"/>
          <c:w val="0.18884395427488299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536219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2619278" y="33844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37</xdr:col>
      <xdr:colOff>218669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4752081" y="34558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37</xdr:col>
      <xdr:colOff>218669</xdr:colOff>
      <xdr:row>5</xdr:row>
      <xdr:rowOff>28154</xdr:rowOff>
    </xdr:from>
    <xdr:ext cx="1447802" cy="489857"/>
    <xdr:sp macro="[0]!FormatData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4752081" y="924625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33</xdr:col>
      <xdr:colOff>536219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2619278" y="95239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51" zoomScaleNormal="51" workbookViewId="0">
      <selection activeCell="Z6" sqref="Z6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32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32" x14ac:dyDescent="0.25">
      <c r="A2" s="48"/>
      <c r="B2" s="83" t="str">
        <f>C7&amp;" Covid-19 Active Case Projections"</f>
        <v>United Kingdom Covid-19 Active Case Projections</v>
      </c>
      <c r="C2" s="84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32" x14ac:dyDescent="0.25">
      <c r="A3" s="48"/>
      <c r="B3" s="85"/>
      <c r="C3" s="86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  <c r="W3" s="113" t="s">
        <v>550</v>
      </c>
      <c r="X3" s="114"/>
      <c r="Y3" s="115"/>
      <c r="Z3" s="122" t="s">
        <v>349</v>
      </c>
      <c r="AA3" s="123"/>
      <c r="AB3" s="123"/>
      <c r="AC3" s="124"/>
    </row>
    <row r="4" spans="1:32" x14ac:dyDescent="0.25">
      <c r="A4" s="48"/>
      <c r="B4" s="85"/>
      <c r="C4" s="86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  <c r="W4" s="116"/>
      <c r="X4" s="117"/>
      <c r="Y4" s="118"/>
      <c r="Z4" s="125"/>
      <c r="AA4" s="126"/>
      <c r="AB4" s="126"/>
      <c r="AC4" s="127"/>
    </row>
    <row r="5" spans="1:32" x14ac:dyDescent="0.25">
      <c r="A5" s="48"/>
      <c r="B5" s="87"/>
      <c r="C5" s="88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  <c r="W5" s="119"/>
      <c r="X5" s="120"/>
      <c r="Y5" s="121"/>
      <c r="Z5" s="128"/>
      <c r="AA5" s="129"/>
      <c r="AB5" s="129"/>
      <c r="AC5" s="130"/>
    </row>
    <row r="6" spans="1:32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32" x14ac:dyDescent="0.25">
      <c r="A7" s="48"/>
      <c r="B7" s="91" t="s">
        <v>479</v>
      </c>
      <c r="C7" s="89" t="str">
        <f>Z3</f>
        <v>United Kingdom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32" ht="13.8" customHeight="1" x14ac:dyDescent="0.25">
      <c r="A8" s="48"/>
      <c r="B8" s="92"/>
      <c r="C8" s="90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W8" s="113" t="s">
        <v>549</v>
      </c>
      <c r="X8" s="114"/>
      <c r="Y8" s="115"/>
      <c r="Z8" s="122">
        <v>5</v>
      </c>
      <c r="AA8" s="124"/>
      <c r="AB8" s="131" t="s">
        <v>558</v>
      </c>
      <c r="AC8" s="132"/>
      <c r="AD8" s="132"/>
      <c r="AE8" s="132"/>
      <c r="AF8" s="132"/>
    </row>
    <row r="9" spans="1:32" ht="17.399999999999999" x14ac:dyDescent="0.3">
      <c r="A9" s="48"/>
      <c r="B9" s="73"/>
      <c r="C9" s="73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  <c r="W9" s="116"/>
      <c r="X9" s="117"/>
      <c r="Y9" s="118"/>
      <c r="Z9" s="125"/>
      <c r="AA9" s="127"/>
      <c r="AB9" s="131"/>
      <c r="AC9" s="132"/>
      <c r="AD9" s="132"/>
      <c r="AE9" s="132"/>
      <c r="AF9" s="132"/>
    </row>
    <row r="10" spans="1:32" ht="15.6" customHeight="1" x14ac:dyDescent="0.25">
      <c r="A10" s="48"/>
      <c r="B10" s="91" t="s">
        <v>509</v>
      </c>
      <c r="C10" s="99">
        <f>Projections_Data!C4</f>
        <v>5067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  <c r="W10" s="119"/>
      <c r="X10" s="120"/>
      <c r="Y10" s="121"/>
      <c r="Z10" s="128"/>
      <c r="AA10" s="130"/>
      <c r="AB10" s="131"/>
      <c r="AC10" s="132"/>
      <c r="AD10" s="132"/>
      <c r="AE10" s="132"/>
      <c r="AF10" s="132"/>
    </row>
    <row r="11" spans="1:32" ht="15.6" customHeight="1" x14ac:dyDescent="0.25">
      <c r="A11" s="48"/>
      <c r="B11" s="92"/>
      <c r="C11" s="10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</row>
    <row r="12" spans="1:32" ht="15.6" customHeight="1" x14ac:dyDescent="0.25">
      <c r="A12" s="48"/>
      <c r="B12" s="91" t="s">
        <v>510</v>
      </c>
      <c r="C12" s="97">
        <f>Projections_Data!C6</f>
        <v>4766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32" ht="15.6" customHeight="1" x14ac:dyDescent="0.25">
      <c r="A13" s="48"/>
      <c r="B13" s="92"/>
      <c r="C13" s="98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  <c r="W13" s="141" t="s">
        <v>551</v>
      </c>
      <c r="X13" s="141"/>
      <c r="Y13" s="141"/>
      <c r="Z13" s="141"/>
      <c r="AA13" s="141"/>
    </row>
    <row r="14" spans="1:32" ht="15.6" customHeight="1" x14ac:dyDescent="0.25">
      <c r="A14" s="48"/>
      <c r="B14" s="91" t="s">
        <v>512</v>
      </c>
      <c r="C14" s="95">
        <f>Projections_Data!C7</f>
        <v>67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  <c r="W14" s="141"/>
      <c r="X14" s="141"/>
      <c r="Y14" s="141"/>
      <c r="Z14" s="141"/>
      <c r="AA14" s="141"/>
    </row>
    <row r="15" spans="1:32" ht="15.6" customHeight="1" x14ac:dyDescent="0.25">
      <c r="A15" s="48"/>
      <c r="B15" s="92"/>
      <c r="C15" s="96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W15" s="142" t="s">
        <v>552</v>
      </c>
      <c r="X15" s="142"/>
      <c r="Y15" s="142"/>
      <c r="Z15" s="143">
        <v>0.4</v>
      </c>
      <c r="AA15" s="144"/>
    </row>
    <row r="16" spans="1:32" ht="15.6" customHeight="1" x14ac:dyDescent="0.25">
      <c r="A16" s="48"/>
      <c r="B16" s="91" t="s">
        <v>519</v>
      </c>
      <c r="C16" s="93">
        <f>Projections_Data!C8</f>
        <v>234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W16" s="142"/>
      <c r="X16" s="142"/>
      <c r="Y16" s="142"/>
      <c r="Z16" s="144"/>
      <c r="AA16" s="144"/>
    </row>
    <row r="17" spans="1:42" ht="15.6" customHeight="1" x14ac:dyDescent="0.25">
      <c r="A17" s="48"/>
      <c r="B17" s="92"/>
      <c r="C17" s="94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W17" s="142" t="s">
        <v>553</v>
      </c>
      <c r="X17" s="142"/>
      <c r="Y17" s="142"/>
      <c r="Z17" s="143">
        <v>0.25</v>
      </c>
      <c r="AA17" s="144"/>
    </row>
    <row r="18" spans="1:42" ht="15.6" customHeight="1" x14ac:dyDescent="0.25">
      <c r="A18" s="48"/>
      <c r="B18" s="91" t="s">
        <v>511</v>
      </c>
      <c r="C18" s="137">
        <f>Projections_Data!C14</f>
        <v>6420.6459952549976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W18" s="142"/>
      <c r="X18" s="142"/>
      <c r="Y18" s="142"/>
      <c r="Z18" s="144"/>
      <c r="AA18" s="144"/>
    </row>
    <row r="19" spans="1:42" ht="15.6" customHeight="1" x14ac:dyDescent="0.25">
      <c r="A19" s="48"/>
      <c r="B19" s="92"/>
      <c r="C19" s="138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W19" s="142" t="s">
        <v>554</v>
      </c>
      <c r="X19" s="142"/>
      <c r="Y19" s="142"/>
      <c r="Z19" s="143">
        <v>0.1</v>
      </c>
      <c r="AA19" s="144"/>
    </row>
    <row r="20" spans="1:42" ht="19.8" customHeight="1" x14ac:dyDescent="0.25">
      <c r="A20" s="48"/>
      <c r="B20" s="133" t="s">
        <v>534</v>
      </c>
      <c r="C20" s="135">
        <f>Projections_Data!C11</f>
        <v>0.26453632942224781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W20" s="142"/>
      <c r="X20" s="142"/>
      <c r="Y20" s="142"/>
      <c r="Z20" s="144"/>
      <c r="AA20" s="144"/>
    </row>
    <row r="21" spans="1:42" ht="19.8" customHeight="1" x14ac:dyDescent="0.25">
      <c r="A21" s="48"/>
      <c r="B21" s="134"/>
      <c r="C21" s="136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42" ht="19.8" customHeight="1" x14ac:dyDescent="0.25">
      <c r="A22" s="48"/>
      <c r="B22" s="105" t="s">
        <v>508</v>
      </c>
      <c r="C22" s="101">
        <f>Projections_Data!C23</f>
        <v>43904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501</v>
      </c>
    </row>
    <row r="23" spans="1:42" ht="19.8" customHeight="1" x14ac:dyDescent="0.25">
      <c r="A23" s="48"/>
      <c r="B23" s="106"/>
      <c r="C23" s="102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42" ht="18.600000000000001" customHeight="1" x14ac:dyDescent="0.25">
      <c r="A24" s="48"/>
      <c r="B24" s="91" t="s">
        <v>507</v>
      </c>
      <c r="C24" s="101">
        <f>Projections_Data!C24</f>
        <v>43910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42" ht="18.600000000000001" customHeight="1" x14ac:dyDescent="0.25">
      <c r="A25" s="48"/>
      <c r="B25" s="92"/>
      <c r="C25" s="102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42" ht="15.6" customHeight="1" x14ac:dyDescent="0.25">
      <c r="A26" s="48"/>
      <c r="B26" s="139" t="s">
        <v>535</v>
      </c>
      <c r="C26" s="13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42" ht="15.6" customHeight="1" x14ac:dyDescent="0.25">
      <c r="A27" s="48"/>
      <c r="B27" s="140"/>
      <c r="C27" s="140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42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42" ht="15.6" customHeight="1" x14ac:dyDescent="0.25">
      <c r="A29" s="48"/>
      <c r="B29" s="83" t="str">
        <f>Projections_Data!B35</f>
        <v xml:space="preserve">United Kingdom critically ill projections </v>
      </c>
      <c r="C29" s="84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42" ht="15.6" customHeight="1" x14ac:dyDescent="0.25">
      <c r="A30" s="48"/>
      <c r="B30" s="85"/>
      <c r="C30" s="86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42" ht="15.6" customHeight="1" x14ac:dyDescent="0.25">
      <c r="A31" s="48"/>
      <c r="B31" s="85"/>
      <c r="C31" s="86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42" ht="15.6" customHeight="1" x14ac:dyDescent="0.25">
      <c r="A32" s="48"/>
      <c r="B32" s="87"/>
      <c r="C32" s="88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  <c r="W32" s="141" t="s">
        <v>555</v>
      </c>
      <c r="X32" s="141"/>
      <c r="Y32" s="141"/>
      <c r="Z32" s="145"/>
      <c r="AA32" s="145"/>
      <c r="AB32" s="146" t="s">
        <v>556</v>
      </c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</row>
    <row r="33" spans="1:43" ht="15.6" customHeight="1" x14ac:dyDescent="0.25">
      <c r="A33" s="48"/>
      <c r="B33" s="75"/>
      <c r="C33" s="75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  <c r="W33" s="141"/>
      <c r="X33" s="141"/>
      <c r="Y33" s="141"/>
      <c r="Z33" s="145"/>
      <c r="AA33" s="145"/>
      <c r="AB33" s="146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</row>
    <row r="34" spans="1:43" ht="15.6" customHeight="1" x14ac:dyDescent="0.25">
      <c r="A34" s="48"/>
      <c r="B34" s="110" t="s">
        <v>467</v>
      </c>
      <c r="C34" s="112">
        <f>Projections_Data!C16</f>
        <v>4480.4767259999999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  <c r="W34" s="141"/>
      <c r="X34" s="141"/>
      <c r="Y34" s="141"/>
      <c r="Z34" s="145"/>
      <c r="AA34" s="145"/>
      <c r="AB34" s="146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</row>
    <row r="35" spans="1:43" ht="18" customHeight="1" x14ac:dyDescent="0.25">
      <c r="A35" s="48"/>
      <c r="B35" s="110"/>
      <c r="C35" s="112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  <c r="W35" s="141"/>
      <c r="X35" s="141"/>
      <c r="Y35" s="141"/>
      <c r="Z35" s="145"/>
      <c r="AA35" s="145"/>
      <c r="AB35" s="146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</row>
    <row r="36" spans="1:43" ht="18" customHeight="1" x14ac:dyDescent="0.25">
      <c r="A36" s="48"/>
      <c r="B36" s="104" t="s">
        <v>524</v>
      </c>
      <c r="C36" s="103">
        <f>Projections_Data!C15</f>
        <v>0.11545293072824156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  <c r="W36" s="141"/>
      <c r="X36" s="141"/>
      <c r="Y36" s="141"/>
      <c r="Z36" s="145"/>
      <c r="AA36" s="145"/>
      <c r="AB36" s="146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</row>
    <row r="37" spans="1:43" ht="20.399999999999999" customHeight="1" x14ac:dyDescent="0.25">
      <c r="A37" s="48"/>
      <c r="B37" s="104"/>
      <c r="C37" s="103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43" ht="20.399999999999999" customHeight="1" x14ac:dyDescent="0.25">
      <c r="A38" s="48"/>
      <c r="B38" s="104" t="s">
        <v>523</v>
      </c>
      <c r="C38" s="112">
        <f>Projections!C12*Projections!C36</f>
        <v>550.24866785079928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43" ht="20.399999999999999" customHeight="1" x14ac:dyDescent="0.25">
      <c r="A39" s="48"/>
      <c r="B39" s="104"/>
      <c r="C39" s="112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  <c r="W39" s="141" t="s">
        <v>467</v>
      </c>
      <c r="X39" s="141"/>
      <c r="Y39" s="141"/>
      <c r="Z39" s="149"/>
      <c r="AA39" s="149"/>
      <c r="AB39" s="148" t="s">
        <v>557</v>
      </c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</row>
    <row r="40" spans="1:43" ht="20.399999999999999" customHeight="1" x14ac:dyDescent="0.25">
      <c r="A40" s="48"/>
      <c r="B40" s="104" t="s">
        <v>490</v>
      </c>
      <c r="C40" s="111">
        <f ca="1">Projections_Data!D31</f>
        <v>43920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  <c r="W40" s="141"/>
      <c r="X40" s="141"/>
      <c r="Y40" s="141"/>
      <c r="Z40" s="149"/>
      <c r="AA40" s="149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</row>
    <row r="41" spans="1:43" ht="20.399999999999999" customHeight="1" x14ac:dyDescent="0.25">
      <c r="A41" s="48"/>
      <c r="B41" s="104"/>
      <c r="C41" s="111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  <c r="W41" s="141"/>
      <c r="X41" s="141"/>
      <c r="Y41" s="141"/>
      <c r="Z41" s="149"/>
      <c r="AA41" s="149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</row>
    <row r="42" spans="1:43" ht="20.399999999999999" customHeight="1" x14ac:dyDescent="0.25">
      <c r="A42" s="48"/>
      <c r="B42" s="110" t="s">
        <v>491</v>
      </c>
      <c r="C42" s="109">
        <f ca="1">IFERROR(C40-TODAY(),"N/A")</f>
        <v>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  <c r="W42" s="141"/>
      <c r="X42" s="141"/>
      <c r="Y42" s="141"/>
      <c r="Z42" s="149"/>
      <c r="AA42" s="149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</row>
    <row r="43" spans="1:43" ht="18" customHeight="1" x14ac:dyDescent="0.25">
      <c r="A43" s="48"/>
      <c r="B43" s="110"/>
      <c r="C43" s="10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43" ht="18" customHeight="1" x14ac:dyDescent="0.25">
      <c r="A44" s="48"/>
      <c r="B44" s="10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07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43" ht="15.6" customHeight="1" x14ac:dyDescent="0.25">
      <c r="A45" s="48"/>
      <c r="B45" s="108"/>
      <c r="C45" s="108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  <c r="W45" s="113" t="s">
        <v>549</v>
      </c>
      <c r="X45" s="114"/>
      <c r="Y45" s="115"/>
      <c r="Z45" s="122"/>
      <c r="AA45" s="124"/>
    </row>
    <row r="46" spans="1:43" ht="15.6" customHeight="1" x14ac:dyDescent="0.25">
      <c r="A46" s="48"/>
      <c r="B46" s="108"/>
      <c r="C46" s="108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  <c r="W46" s="116"/>
      <c r="X46" s="117"/>
      <c r="Y46" s="118"/>
      <c r="Z46" s="125"/>
      <c r="AA46" s="127"/>
    </row>
    <row r="47" spans="1:43" ht="13.8" customHeight="1" x14ac:dyDescent="0.25">
      <c r="A47" s="48"/>
      <c r="B47" s="108"/>
      <c r="C47" s="108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  <c r="W47" s="119"/>
      <c r="X47" s="120"/>
      <c r="Y47" s="121"/>
      <c r="Z47" s="128"/>
      <c r="AA47" s="130"/>
    </row>
    <row r="48" spans="1:43" ht="14.4" customHeight="1" x14ac:dyDescent="0.25">
      <c r="A48" s="48"/>
      <c r="B48" s="108"/>
      <c r="C48" s="108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80" t="str">
        <f>"Source: Analysis of John Hopkins University and WHO data.
Data updated: "&amp;TEXT(Projections_Data!C2,"DD/MM/YYYY")&amp;"."</f>
        <v>Source: Analysis of John Hopkins University and WHO data.
Data updated: 21/03/2020.</v>
      </c>
      <c r="C49" s="80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81"/>
      <c r="C50" s="81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81"/>
      <c r="C51" s="81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81"/>
      <c r="C52" s="81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82"/>
      <c r="C53" s="8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53">
    <mergeCell ref="W45:Y47"/>
    <mergeCell ref="Z45:AA47"/>
    <mergeCell ref="AB32:AP36"/>
    <mergeCell ref="AB39:AQ42"/>
    <mergeCell ref="Z39:AA42"/>
    <mergeCell ref="W39:Y42"/>
    <mergeCell ref="Z19:AA20"/>
    <mergeCell ref="W32:Y36"/>
    <mergeCell ref="Z32:AA36"/>
    <mergeCell ref="Z8:AA10"/>
    <mergeCell ref="W8:Y10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Days_Since_100!$C$5:$C$65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2:O67"/>
  <sheetViews>
    <sheetView workbookViewId="0">
      <selection sqref="A1:G43"/>
    </sheetView>
  </sheetViews>
  <sheetFormatPr defaultColWidth="9" defaultRowHeight="13.2" customHeight="1" x14ac:dyDescent="0.2"/>
  <cols>
    <col min="1" max="1" width="2.21875" style="60" customWidth="1"/>
    <col min="2" max="2" width="3.88671875" style="59" customWidth="1"/>
    <col min="3" max="3" width="14" style="60" bestFit="1" customWidth="1"/>
    <col min="4" max="4" width="9.21875" style="60" customWidth="1"/>
    <col min="5" max="5" width="10.33203125" style="60" customWidth="1"/>
    <col min="6" max="6" width="11.5546875" style="59" customWidth="1"/>
    <col min="7" max="7" width="3" style="60" customWidth="1"/>
    <col min="8" max="8" width="16" style="60" customWidth="1"/>
    <col min="9" max="9" width="14" style="60" bestFit="1" customWidth="1"/>
    <col min="10" max="10" width="17.6640625" style="60" bestFit="1" customWidth="1"/>
    <col min="11" max="11" width="11.44140625" style="60" bestFit="1" customWidth="1"/>
    <col min="12" max="12" width="9" style="60"/>
    <col min="13" max="13" width="0" style="60" hidden="1" customWidth="1"/>
    <col min="14" max="16384" width="9" style="60"/>
  </cols>
  <sheetData>
    <row r="2" spans="2:15" ht="30.6" customHeight="1" thickBot="1" x14ac:dyDescent="0.25">
      <c r="B2" s="150" t="s">
        <v>567</v>
      </c>
      <c r="C2" s="150"/>
      <c r="D2" s="150"/>
      <c r="E2" s="150"/>
      <c r="F2" s="150"/>
    </row>
    <row r="3" spans="2:15" ht="34.799999999999997" thickBot="1" x14ac:dyDescent="0.25">
      <c r="B3" s="65" t="s">
        <v>515</v>
      </c>
      <c r="C3" s="66" t="s">
        <v>479</v>
      </c>
      <c r="D3" s="66" t="s">
        <v>566</v>
      </c>
      <c r="E3" s="66" t="s">
        <v>506</v>
      </c>
      <c r="F3" s="67" t="s">
        <v>545</v>
      </c>
      <c r="H3" s="76" t="s">
        <v>547</v>
      </c>
      <c r="I3" s="66" t="s">
        <v>520</v>
      </c>
      <c r="J3" s="66" t="s">
        <v>480</v>
      </c>
      <c r="K3" s="67" t="s">
        <v>521</v>
      </c>
      <c r="O3" s="77" t="s">
        <v>548</v>
      </c>
    </row>
    <row r="4" spans="2:15" s="61" customFormat="1" ht="13.8" customHeight="1" x14ac:dyDescent="0.3">
      <c r="B4" s="68">
        <v>1</v>
      </c>
      <c r="C4" s="64" t="s">
        <v>103</v>
      </c>
      <c r="D4" s="63">
        <f>VLOOKUP(C4,Country_Data!B:F,5,FALSE)</f>
        <v>506</v>
      </c>
      <c r="E4" s="63">
        <f>D4*Projections_Data!$C$15</f>
        <v>58.419182948490231</v>
      </c>
      <c r="F4" s="74">
        <f>IFERROR(VLOOKUP(C4,Days_Since_100!C:G,5,FALSE)-1,0)</f>
        <v>0.65809412060866146</v>
      </c>
      <c r="H4" s="71" t="str">
        <f>IFERROR(LOG((K4/E4),1+F4),"")</f>
        <v/>
      </c>
      <c r="I4" s="70"/>
      <c r="J4" s="63">
        <f>VLOOKUP(C4,Country_Data!C:K,9,FALSE)</f>
        <v>17643054</v>
      </c>
      <c r="K4" s="62"/>
      <c r="M4" s="61">
        <f t="array" ref="M4">IF(OR(C4=$O$4:$O$22),1,0)</f>
        <v>0</v>
      </c>
      <c r="O4" s="61" t="s">
        <v>41</v>
      </c>
    </row>
    <row r="5" spans="2:15" s="61" customFormat="1" ht="13.8" customHeight="1" x14ac:dyDescent="0.3">
      <c r="B5" s="68">
        <f t="shared" ref="B5:B36" si="0">B4+1</f>
        <v>2</v>
      </c>
      <c r="C5" s="64" t="s">
        <v>99</v>
      </c>
      <c r="D5" s="63">
        <f>VLOOKUP(C5,Country_Data!B:F,5,FALSE)</f>
        <v>670</v>
      </c>
      <c r="E5" s="63">
        <f>D5*Projections_Data!$C$15</f>
        <v>77.353463587921851</v>
      </c>
      <c r="F5" s="74">
        <f>IFERROR(VLOOKUP(C5,Days_Since_100!C:G,5,FALSE)-1,0)</f>
        <v>0.47906306400435006</v>
      </c>
      <c r="H5" s="71">
        <f>IFERROR(LOG((K5/E5),1+F5),"")</f>
        <v>1.7797333626894825</v>
      </c>
      <c r="I5" s="70">
        <v>24.8</v>
      </c>
      <c r="J5" s="63">
        <f>VLOOKUP(C5,Country_Data!C:K,9,FALSE)</f>
        <v>625978</v>
      </c>
      <c r="K5" s="62">
        <f>(J5/100000)*I5</f>
        <v>155.24254400000001</v>
      </c>
      <c r="M5" s="61">
        <f t="array" ref="M5">IF(OR(C5=$O$4:$O$22),1,0)</f>
        <v>0</v>
      </c>
      <c r="O5" s="61" t="s">
        <v>38</v>
      </c>
    </row>
    <row r="6" spans="2:15" s="61" customFormat="1" ht="13.8" customHeight="1" x14ac:dyDescent="0.3">
      <c r="B6" s="68">
        <f t="shared" si="0"/>
        <v>3</v>
      </c>
      <c r="C6" s="64" t="s">
        <v>38</v>
      </c>
      <c r="D6" s="63">
        <f>VLOOKUP(C6,Country_Data!B:F,5,FALSE)</f>
        <v>25489</v>
      </c>
      <c r="E6" s="63">
        <f>D6*Projections_Data!$C$15</f>
        <v>2942.7797513321493</v>
      </c>
      <c r="F6" s="74">
        <f>IFERROR(VLOOKUP(C6,Days_Since_100!C:G,5,FALSE)-1,0)</f>
        <v>0.40642587983568079</v>
      </c>
      <c r="H6" s="71" t="str">
        <f>IFERROR(LOG((K6/E6),1+F6),"")</f>
        <v/>
      </c>
      <c r="I6" s="70"/>
      <c r="J6" s="63">
        <f>VLOOKUP(C6,Country_Data!C:K,9,FALSE)</f>
        <v>331002651</v>
      </c>
      <c r="K6" s="62">
        <f>(J6/100000)*I6</f>
        <v>0</v>
      </c>
      <c r="M6" s="61">
        <f t="array" ref="M6">IF(OR(C6=$O$4:$O$22),1,0)</f>
        <v>1</v>
      </c>
      <c r="O6" s="61" t="s">
        <v>349</v>
      </c>
    </row>
    <row r="7" spans="2:15" s="61" customFormat="1" ht="13.8" customHeight="1" x14ac:dyDescent="0.3">
      <c r="B7" s="68">
        <f t="shared" si="0"/>
        <v>4</v>
      </c>
      <c r="C7" s="64" t="s">
        <v>80</v>
      </c>
      <c r="D7" s="63">
        <f>VLOOKUP(C7,Country_Data!B:F,5,FALSE)</f>
        <v>730</v>
      </c>
      <c r="E7" s="63">
        <f>D7*Projections_Data!$C$15</f>
        <v>84.280639431616336</v>
      </c>
      <c r="F7" s="74">
        <f>IFERROR(VLOOKUP(C7,Days_Since_100!C:G,5,FALSE)-1,0)</f>
        <v>0.39944807910436042</v>
      </c>
      <c r="H7" s="71">
        <f>IFERROR(LOG((K7/E7),1+F7),"")</f>
        <v>19.768319427937463</v>
      </c>
      <c r="I7" s="70">
        <v>29.3</v>
      </c>
      <c r="J7" s="63">
        <f>VLOOKUP(C7,Country_Data!C:K,9,FALSE)</f>
        <v>220892340</v>
      </c>
      <c r="K7" s="62">
        <f>(J7/100000)*I7</f>
        <v>64721.455620000008</v>
      </c>
      <c r="M7" s="61">
        <f t="array" ref="M7">IF(OR(C7=$O$4:$O$22),1,0)</f>
        <v>0</v>
      </c>
      <c r="O7" s="61" t="s">
        <v>58</v>
      </c>
    </row>
    <row r="8" spans="2:15" s="61" customFormat="1" ht="13.8" customHeight="1" x14ac:dyDescent="0.3">
      <c r="B8" s="68">
        <f t="shared" si="0"/>
        <v>5</v>
      </c>
      <c r="C8" s="64" t="s">
        <v>81</v>
      </c>
      <c r="D8" s="63">
        <f>VLOOKUP(C8,Country_Data!B:F,5,FALSE)</f>
        <v>1021</v>
      </c>
      <c r="E8" s="63">
        <f>D8*Projections_Data!$C$15</f>
        <v>117.87744227353463</v>
      </c>
      <c r="F8" s="74">
        <f>IFERROR(VLOOKUP(C8,Days_Since_100!C:G,5,FALSE)-1,0)</f>
        <v>0.38547645363095229</v>
      </c>
      <c r="H8" s="71" t="str">
        <f>IFERROR(LOG((K8/E8),1+F8),"")</f>
        <v/>
      </c>
      <c r="I8" s="70"/>
      <c r="J8" s="63">
        <f>VLOOKUP(C8,Country_Data!C:K,9,FALSE)</f>
        <v>212559417</v>
      </c>
      <c r="K8" s="62">
        <f>(J8/100000)*I8</f>
        <v>0</v>
      </c>
      <c r="M8" s="61">
        <f t="array" ref="M8">IF(OR(C8=$O$4:$O$22),1,0)</f>
        <v>0</v>
      </c>
      <c r="O8" s="61" t="s">
        <v>60</v>
      </c>
    </row>
    <row r="9" spans="2:15" s="61" customFormat="1" ht="13.8" customHeight="1" x14ac:dyDescent="0.3">
      <c r="B9" s="68">
        <f t="shared" si="0"/>
        <v>6</v>
      </c>
      <c r="C9" s="64" t="s">
        <v>98</v>
      </c>
      <c r="D9" s="63">
        <f>VLOOKUP(C9,Country_Data!B:F,5,FALSE)</f>
        <v>785</v>
      </c>
      <c r="E9" s="63">
        <f>D9*Projections_Data!$C$15</f>
        <v>90.630550621669627</v>
      </c>
      <c r="F9" s="74">
        <f>IFERROR(VLOOKUP(C9,Days_Since_100!C:G,5,FALSE)-1,0)</f>
        <v>0.35955440213552681</v>
      </c>
      <c r="H9" s="71">
        <f>IFERROR(LOG((K9/E9),1+F9),"")</f>
        <v>2.6950234238651838</v>
      </c>
      <c r="I9" s="70">
        <v>4.2</v>
      </c>
      <c r="J9" s="63">
        <f>VLOOKUP(C9,Country_Data!C:K,9,FALSE)</f>
        <v>4937786</v>
      </c>
      <c r="K9" s="62">
        <f>(J9/100000)*I9</f>
        <v>207.387012</v>
      </c>
      <c r="M9" s="61">
        <f t="array" ref="M9">IF(OR(C9=$O$4:$O$22),1,0)</f>
        <v>0</v>
      </c>
      <c r="O9" s="61" t="s">
        <v>53</v>
      </c>
    </row>
    <row r="10" spans="2:15" s="61" customFormat="1" ht="13.8" customHeight="1" x14ac:dyDescent="0.3">
      <c r="B10" s="68">
        <f t="shared" si="0"/>
        <v>7</v>
      </c>
      <c r="C10" s="64" t="s">
        <v>108</v>
      </c>
      <c r="D10" s="63">
        <f>VLOOKUP(C10,Country_Data!B:F,5,FALSE)</f>
        <v>1280</v>
      </c>
      <c r="E10" s="63">
        <f>D10*Projections_Data!$C$15</f>
        <v>147.7797513321492</v>
      </c>
      <c r="F10" s="74">
        <f>IFERROR(VLOOKUP(C10,Days_Since_100!C:G,5,FALSE)-1,0)</f>
        <v>0.31061880552024679</v>
      </c>
      <c r="H10" s="71" t="str">
        <f>IFERROR(LOG((K10/E10),1+F10),"")</f>
        <v/>
      </c>
      <c r="I10" s="70"/>
      <c r="J10" s="63">
        <f>VLOOKUP(C10,Country_Data!C:K,9,FALSE)</f>
        <v>10196709</v>
      </c>
      <c r="K10" s="62">
        <f>(J10/100000)*I10</f>
        <v>0</v>
      </c>
      <c r="M10" s="61">
        <f t="array" ref="M10">IF(OR(C10=$O$4:$O$22),1,0)</f>
        <v>0</v>
      </c>
    </row>
    <row r="11" spans="2:15" s="61" customFormat="1" ht="13.8" customHeight="1" x14ac:dyDescent="0.3">
      <c r="B11" s="68">
        <f t="shared" si="0"/>
        <v>8</v>
      </c>
      <c r="C11" s="64" t="s">
        <v>160</v>
      </c>
      <c r="D11" s="63">
        <f>VLOOKUP(C11,Country_Data!B:F,5,FALSE)</f>
        <v>318</v>
      </c>
      <c r="E11" s="63">
        <f>D11*Projections_Data!$C$15</f>
        <v>36.714031971580816</v>
      </c>
      <c r="F11" s="74">
        <f>IFERROR(VLOOKUP(C11,Days_Since_100!C:G,5,FALSE)-1,0)</f>
        <v>0.28398607731402503</v>
      </c>
      <c r="H11" s="71">
        <f>IFERROR(LOG((K11/E11),1+F11),"")</f>
        <v>16.269523998195734</v>
      </c>
      <c r="I11" s="70">
        <v>6.5</v>
      </c>
      <c r="J11" s="63">
        <f>VLOOKUP(C11,Country_Data!C:K,9,FALSE)</f>
        <v>32971854</v>
      </c>
      <c r="K11" s="62">
        <f>(J11/100000)*I11</f>
        <v>2143.1705099999999</v>
      </c>
      <c r="M11" s="61">
        <f t="array" ref="M11">IF(OR(C11=$O$4:$O$22),1,0)</f>
        <v>0</v>
      </c>
    </row>
    <row r="12" spans="2:15" s="61" customFormat="1" ht="13.8" customHeight="1" x14ac:dyDescent="0.2">
      <c r="B12" s="68">
        <f t="shared" si="0"/>
        <v>9</v>
      </c>
      <c r="C12" s="64" t="s">
        <v>199</v>
      </c>
      <c r="D12" s="63">
        <f>VLOOKUP(C12,Country_Data!B:F,5,FALSE)</f>
        <v>163</v>
      </c>
      <c r="E12" s="63">
        <f>D12*Projections_Data!$C$15</f>
        <v>18.818827708703374</v>
      </c>
      <c r="F12" s="74">
        <f>IFERROR(VLOOKUP(C12,Days_Since_100!C:G,5,FALSE)-1,0)</f>
        <v>0.2834645669291338</v>
      </c>
      <c r="G12" s="60"/>
      <c r="H12" s="71" t="str">
        <f>IFERROR(LOG((K12/E12),1+F12),"")</f>
        <v/>
      </c>
      <c r="I12" s="70">
        <v>12.2</v>
      </c>
      <c r="J12" s="63">
        <f>VLOOKUP(C12,Country_Data!C:K,9,FALSE)</f>
        <v>6948445</v>
      </c>
      <c r="K12" s="62"/>
      <c r="M12" s="61">
        <f t="array" ref="M12">IF(OR(C12=$O$4:$O$22),1,0)</f>
        <v>0</v>
      </c>
    </row>
    <row r="13" spans="2:15" s="61" customFormat="1" ht="13.8" customHeight="1" x14ac:dyDescent="0.3">
      <c r="B13" s="68">
        <f t="shared" si="0"/>
        <v>10</v>
      </c>
      <c r="C13" s="64" t="s">
        <v>124</v>
      </c>
      <c r="D13" s="63">
        <f>VLOOKUP(C13,Country_Data!B:F,5,FALSE)</f>
        <v>537</v>
      </c>
      <c r="E13" s="63">
        <f>D13*Projections_Data!$C$15</f>
        <v>61.99822380106572</v>
      </c>
      <c r="F13" s="74">
        <f>IFERROR(VLOOKUP(C13,Days_Since_100!C:G,5,FALSE)-1,0)</f>
        <v>0.28211953543140589</v>
      </c>
      <c r="H13" s="71" t="str">
        <f>IFERROR(LOG((K13/E13),1+F13),"")</f>
        <v/>
      </c>
      <c r="I13" s="70">
        <v>9.1999999999999993</v>
      </c>
      <c r="J13" s="63">
        <f>VLOOKUP(C13,Country_Data!C:K,9,FALSE)</f>
        <v>19116201</v>
      </c>
      <c r="K13" s="62"/>
      <c r="M13" s="61">
        <f t="array" ref="M13">IF(OR(C13=$O$4:$O$22),1,0)</f>
        <v>0</v>
      </c>
    </row>
    <row r="14" spans="2:15" s="61" customFormat="1" ht="13.8" customHeight="1" x14ac:dyDescent="0.3">
      <c r="B14" s="68">
        <f t="shared" si="0"/>
        <v>11</v>
      </c>
      <c r="C14" s="64" t="s">
        <v>79</v>
      </c>
      <c r="D14" s="63">
        <f>VLOOKUP(C14,Country_Data!B:F,5,FALSE)</f>
        <v>883</v>
      </c>
      <c r="E14" s="63">
        <f>D14*Projections_Data!$C$15</f>
        <v>101.9449378330373</v>
      </c>
      <c r="F14" s="74">
        <f>IFERROR(VLOOKUP(C14,Days_Since_100!C:G,5,FALSE)-1,0)</f>
        <v>0.28198842691342341</v>
      </c>
      <c r="H14" s="71">
        <f>IFERROR(LOG((K14/E14),1+F14),"")</f>
        <v>12.924156971317455</v>
      </c>
      <c r="I14" s="70">
        <v>29.2</v>
      </c>
      <c r="J14" s="63">
        <f>VLOOKUP(C14,Country_Data!C:K,9,FALSE)</f>
        <v>8655535</v>
      </c>
      <c r="K14" s="62">
        <f>(J14/100000)*I14</f>
        <v>2527.4162200000001</v>
      </c>
      <c r="M14" s="61">
        <f t="array" ref="M14">IF(OR(C14=$O$4:$O$22),1,0)</f>
        <v>0</v>
      </c>
    </row>
    <row r="15" spans="2:15" s="61" customFormat="1" ht="13.8" customHeight="1" x14ac:dyDescent="0.3">
      <c r="B15" s="68">
        <f t="shared" si="0"/>
        <v>12</v>
      </c>
      <c r="C15" s="64" t="s">
        <v>344</v>
      </c>
      <c r="D15" s="63">
        <f>VLOOKUP(C15,Country_Data!B:F,5,FALSE)</f>
        <v>306</v>
      </c>
      <c r="E15" s="63">
        <f>D15*Projections_Data!$C$15</f>
        <v>35.328596802841915</v>
      </c>
      <c r="F15" s="74">
        <f>IFERROR(VLOOKUP(C15,Days_Since_100!C:G,5,FALSE)-1,0)</f>
        <v>0.27998282950133779</v>
      </c>
      <c r="H15" s="71" t="str">
        <f>IFERROR(LOG((K15/E15),1+F15),"")</f>
        <v/>
      </c>
      <c r="I15" s="70"/>
      <c r="J15" s="63">
        <f>VLOOKUP(C15,Country_Data!C:K,9,FALSE)</f>
        <v>145934462</v>
      </c>
      <c r="K15" s="62">
        <f>(J15/100000)*I15</f>
        <v>0</v>
      </c>
      <c r="M15" s="61">
        <f t="array" ref="M15">IF(OR(C15=$O$4:$O$22),1,0)</f>
        <v>0</v>
      </c>
    </row>
    <row r="16" spans="2:15" s="61" customFormat="1" ht="13.8" customHeight="1" x14ac:dyDescent="0.3">
      <c r="B16" s="68">
        <f t="shared" si="0"/>
        <v>13</v>
      </c>
      <c r="C16" s="64" t="s">
        <v>145</v>
      </c>
      <c r="D16" s="63">
        <f>VLOOKUP(C16,Country_Data!B:F,5,FALSE)</f>
        <v>240</v>
      </c>
      <c r="E16" s="63">
        <f>D16*Projections_Data!$C$15</f>
        <v>27.708703374777976</v>
      </c>
      <c r="F16" s="74">
        <f>IFERROR(VLOOKUP(C16,Days_Since_100!C:G,5,FALSE)-1,0)</f>
        <v>0.27423956033405839</v>
      </c>
      <c r="H16" s="71">
        <f>IFERROR(LOG((K16/E16),1+F16),"")</f>
        <v>20.61120069245699</v>
      </c>
      <c r="I16" s="70">
        <v>6.9</v>
      </c>
      <c r="J16" s="63">
        <f>VLOOKUP(C16,Country_Data!C:K,9,FALSE)</f>
        <v>59308690</v>
      </c>
      <c r="K16" s="62">
        <f>(J16/100000)*I16</f>
        <v>4092.2996100000005</v>
      </c>
      <c r="M16" s="61">
        <f t="array" ref="M16">IF(OR(C16=$O$4:$O$22),1,0)</f>
        <v>0</v>
      </c>
    </row>
    <row r="17" spans="2:13" s="61" customFormat="1" ht="13.8" customHeight="1" x14ac:dyDescent="0.3">
      <c r="B17" s="68">
        <f t="shared" si="0"/>
        <v>14</v>
      </c>
      <c r="C17" s="64" t="s">
        <v>107</v>
      </c>
      <c r="D17" s="63">
        <f>VLOOKUP(C17,Country_Data!B:F,5,FALSE)</f>
        <v>450</v>
      </c>
      <c r="E17" s="63">
        <f>D17*Projections_Data!$C$15</f>
        <v>51.953818827708702</v>
      </c>
      <c r="F17" s="74">
        <f>IFERROR(VLOOKUP(C17,Days_Since_100!C:G,5,FALSE)-1,0)</f>
        <v>0.27415288842488139</v>
      </c>
      <c r="H17" s="71" t="str">
        <f>IFERROR(LOG((K17/E17),1+F17),"")</f>
        <v/>
      </c>
      <c r="I17" s="70"/>
      <c r="J17" s="63">
        <f>VLOOKUP(C17,Country_Data!C:K,9,FALSE)</f>
        <v>273523615</v>
      </c>
      <c r="K17" s="62">
        <f>(J17/100000)*I17</f>
        <v>0</v>
      </c>
      <c r="M17" s="61">
        <f t="array" ref="M17">IF(OR(C17=$O$4:$O$22),1,0)</f>
        <v>0</v>
      </c>
    </row>
    <row r="18" spans="2:13" s="61" customFormat="1" ht="13.8" customHeight="1" x14ac:dyDescent="0.3">
      <c r="B18" s="68">
        <f t="shared" si="0"/>
        <v>15</v>
      </c>
      <c r="C18" s="64" t="s">
        <v>113</v>
      </c>
      <c r="D18" s="63">
        <f>VLOOKUP(C18,Country_Data!B:F,5,FALSE)</f>
        <v>392</v>
      </c>
      <c r="E18" s="63">
        <f>D18*Projections_Data!$C$15</f>
        <v>45.257548845470694</v>
      </c>
      <c r="F18" s="74">
        <f>IFERROR(VLOOKUP(C18,Days_Since_100!C:G,5,FALSE)-1,0)</f>
        <v>0.27139591569100419</v>
      </c>
      <c r="H18" s="71">
        <f>IFERROR(LOG((K18/E18),1+F18),"")</f>
        <v>17.959517060750279</v>
      </c>
      <c r="I18" s="70">
        <v>9.6999999999999993</v>
      </c>
      <c r="J18" s="63">
        <f>VLOOKUP(C18,Country_Data!C:K,9,FALSE)</f>
        <v>34813871</v>
      </c>
      <c r="K18" s="62">
        <f>(J18/100000)*I18</f>
        <v>3376.945487</v>
      </c>
      <c r="M18" s="61">
        <f t="array" ref="M18">IF(OR(C18=$O$4:$O$22),1,0)</f>
        <v>0</v>
      </c>
    </row>
    <row r="19" spans="2:13" s="61" customFormat="1" ht="13.8" customHeight="1" x14ac:dyDescent="0.3">
      <c r="B19" s="68">
        <f t="shared" si="0"/>
        <v>16</v>
      </c>
      <c r="C19" s="64" t="s">
        <v>349</v>
      </c>
      <c r="D19" s="63">
        <f>VLOOKUP(C19,Country_Data!B:F,5,FALSE)</f>
        <v>5067</v>
      </c>
      <c r="E19" s="63">
        <f>D19*Projections_Data!$C$15</f>
        <v>585</v>
      </c>
      <c r="F19" s="74">
        <f>IFERROR(VLOOKUP(C19,Days_Since_100!C:G,5,FALSE)-1,0)</f>
        <v>0.26714939712946473</v>
      </c>
      <c r="H19" s="71">
        <f>IFERROR(LOG((K19/E19),1+F19),"")</f>
        <v>13.644954254712601</v>
      </c>
      <c r="I19" s="70">
        <v>21.8</v>
      </c>
      <c r="J19" s="63">
        <f>VLOOKUP(C19,Country_Data!C:K,9,FALSE)</f>
        <v>67886011</v>
      </c>
      <c r="K19" s="62">
        <f>(J19/100000)*I19</f>
        <v>14799.150398</v>
      </c>
      <c r="M19" s="61">
        <f t="array" ref="M19">IF(OR(C19=$O$4:$O$22),1,0)</f>
        <v>1</v>
      </c>
    </row>
    <row r="20" spans="2:13" s="61" customFormat="1" ht="13.8" customHeight="1" x14ac:dyDescent="0.3">
      <c r="B20" s="68">
        <f t="shared" si="0"/>
        <v>17</v>
      </c>
      <c r="C20" s="64" t="s">
        <v>45</v>
      </c>
      <c r="D20" s="63">
        <f>VLOOKUP(C20,Country_Data!B:F,5,FALSE)</f>
        <v>1278</v>
      </c>
      <c r="E20" s="63">
        <f>D20*Projections_Data!$C$15</f>
        <v>147.54884547069273</v>
      </c>
      <c r="F20" s="74">
        <f>IFERROR(VLOOKUP(C20,Days_Since_100!C:G,5,FALSE)-1,0)</f>
        <v>0.25226589075982608</v>
      </c>
      <c r="H20" s="71" t="str">
        <f>IFERROR(LOG((K20/E20),1+F20),"")</f>
        <v/>
      </c>
      <c r="I20" s="70"/>
      <c r="J20" s="63">
        <f>VLOOKUP(C20,Country_Data!C:K,9,FALSE)</f>
        <v>37742154</v>
      </c>
      <c r="K20" s="62">
        <f>(J20/100000)*I20</f>
        <v>0</v>
      </c>
      <c r="M20" s="61">
        <f t="array" ref="M20">IF(OR(C20=$O$4:$O$22),1,0)</f>
        <v>0</v>
      </c>
    </row>
    <row r="21" spans="2:13" s="61" customFormat="1" ht="13.8" customHeight="1" x14ac:dyDescent="0.3">
      <c r="B21" s="68">
        <f t="shared" si="0"/>
        <v>18</v>
      </c>
      <c r="C21" s="64" t="s">
        <v>53</v>
      </c>
      <c r="D21" s="63">
        <f>VLOOKUP(C21,Country_Data!B:F,5,FALSE)</f>
        <v>22213</v>
      </c>
      <c r="E21" s="63">
        <f>D21*Projections_Data!$C$15</f>
        <v>2564.5559502664296</v>
      </c>
      <c r="F21" s="74">
        <f>IFERROR(VLOOKUP(C21,Days_Since_100!C:G,5,FALSE)-1,0)</f>
        <v>0.25023216896561684</v>
      </c>
      <c r="H21" s="71" t="str">
        <f>IFERROR(LOG((K21/E21),1+F21),"")</f>
        <v/>
      </c>
      <c r="I21" s="70"/>
      <c r="J21" s="63">
        <f>VLOOKUP(C21,Country_Data!C:K,9,FALSE)</f>
        <v>83783942</v>
      </c>
      <c r="K21" s="62">
        <f>(J21/100000)*I21</f>
        <v>0</v>
      </c>
      <c r="M21" s="61">
        <f t="array" ref="M21">IF(OR(C21=$O$4:$O$22),1,0)</f>
        <v>1</v>
      </c>
    </row>
    <row r="22" spans="2:13" s="61" customFormat="1" ht="13.8" customHeight="1" x14ac:dyDescent="0.3">
      <c r="B22" s="68">
        <f t="shared" si="0"/>
        <v>19</v>
      </c>
      <c r="C22" s="64" t="s">
        <v>137</v>
      </c>
      <c r="D22" s="63">
        <f>VLOOKUP(C22,Country_Data!B:F,5,FALSE)</f>
        <v>536</v>
      </c>
      <c r="E22" s="63">
        <f>D22*Projections_Data!$C$15</f>
        <v>61.882770870337474</v>
      </c>
      <c r="F22" s="74">
        <f>IFERROR(VLOOKUP(C22,Days_Since_100!C:G,5,FALSE)-1,0)</f>
        <v>0.24806816232004536</v>
      </c>
      <c r="H22" s="71" t="str">
        <f>IFERROR(LOG((K22/E22),1+F22),"")</f>
        <v/>
      </c>
      <c r="I22" s="70"/>
      <c r="J22" s="63">
        <f>VLOOKUP(C22,Country_Data!C:K,9,FALSE)</f>
        <v>37846611</v>
      </c>
      <c r="K22" s="62">
        <f>(J22/100000)*I22</f>
        <v>0</v>
      </c>
      <c r="M22" s="61">
        <f t="array" ref="M22">IF(OR(C22=$O$4:$O$22),1,0)</f>
        <v>0</v>
      </c>
    </row>
    <row r="23" spans="2:13" s="61" customFormat="1" ht="13.8" customHeight="1" x14ac:dyDescent="0.3">
      <c r="B23" s="68">
        <f t="shared" si="0"/>
        <v>20</v>
      </c>
      <c r="C23" s="64" t="s">
        <v>77</v>
      </c>
      <c r="D23" s="63">
        <f>VLOOKUP(C23,Country_Data!B:F,5,FALSE)</f>
        <v>6575</v>
      </c>
      <c r="E23" s="63">
        <f>D23*Projections_Data!$C$15</f>
        <v>759.10301953818828</v>
      </c>
      <c r="F23" s="74">
        <f>IFERROR(VLOOKUP(C23,Days_Since_100!C:G,5,FALSE)-1,0)</f>
        <v>0.24478577089441855</v>
      </c>
      <c r="H23" s="71" t="str">
        <f>IFERROR(LOG((K23/E23),1+F23),"")</f>
        <v/>
      </c>
      <c r="I23" s="70"/>
      <c r="J23" s="63">
        <f>VLOOKUP(C23,Country_Data!C:K,9,FALSE)</f>
        <v>8654622</v>
      </c>
      <c r="K23" s="62">
        <f>(J23/100000)*I23</f>
        <v>0</v>
      </c>
      <c r="M23" s="61">
        <f t="array" ref="M23">IF(OR(C23=$O$4:$O$22),1,0)</f>
        <v>0</v>
      </c>
    </row>
    <row r="24" spans="2:13" s="61" customFormat="1" ht="13.8" customHeight="1" x14ac:dyDescent="0.3">
      <c r="B24" s="68">
        <f t="shared" si="0"/>
        <v>21</v>
      </c>
      <c r="C24" s="64" t="s">
        <v>48</v>
      </c>
      <c r="D24" s="63">
        <f>VLOOKUP(C24,Country_Data!B:F,5,FALSE)</f>
        <v>1071</v>
      </c>
      <c r="E24" s="63">
        <f>D24*Projections_Data!$C$15</f>
        <v>123.65008880994671</v>
      </c>
      <c r="F24" s="74">
        <f>IFERROR(VLOOKUP(C24,Days_Since_100!C:G,5,FALSE)-1,0)</f>
        <v>0.23222388889495549</v>
      </c>
      <c r="H24" s="71" t="str">
        <f>IFERROR(LOG((K24/E24),1+F24),"")</f>
        <v/>
      </c>
      <c r="I24" s="70"/>
      <c r="J24" s="63">
        <f>VLOOKUP(C24,Country_Data!C:K,9,FALSE)</f>
        <v>25499884</v>
      </c>
      <c r="K24" s="62">
        <f>(J24/100000)*I24</f>
        <v>0</v>
      </c>
      <c r="M24" s="61">
        <f t="array" ref="M24">IF(OR(C24=$O$4:$O$22),1,0)</f>
        <v>0</v>
      </c>
    </row>
    <row r="25" spans="2:13" s="61" customFormat="1" ht="13.8" customHeight="1" x14ac:dyDescent="0.3">
      <c r="B25" s="68">
        <f t="shared" si="0"/>
        <v>22</v>
      </c>
      <c r="C25" s="64" t="s">
        <v>35</v>
      </c>
      <c r="D25" s="63">
        <f>VLOOKUP(C25,Country_Data!B:F,5,FALSE)</f>
        <v>411</v>
      </c>
      <c r="E25" s="63">
        <f>D25*Projections_Data!$C$15</f>
        <v>47.451154529307281</v>
      </c>
      <c r="F25" s="74">
        <f>IFERROR(VLOOKUP(C25,Days_Since_100!C:G,5,FALSE)-1,0)</f>
        <v>0.22830126021260289</v>
      </c>
      <c r="H25" s="71">
        <f>IFERROR(LOG((K25/E25),1+F25),"")</f>
        <v>24.993774760884776</v>
      </c>
      <c r="I25" s="70">
        <v>11.6</v>
      </c>
      <c r="J25" s="63">
        <f>VLOOKUP(C25,Country_Data!C:K,9,FALSE)</f>
        <v>69799978</v>
      </c>
      <c r="K25" s="62">
        <f>(J25/100000)*I25</f>
        <v>8096.7974479999993</v>
      </c>
      <c r="M25" s="61">
        <f t="array" ref="M25">IF(OR(C25=$O$4:$O$22),1,0)</f>
        <v>0</v>
      </c>
    </row>
    <row r="26" spans="2:13" s="61" customFormat="1" ht="13.8" customHeight="1" x14ac:dyDescent="0.3">
      <c r="B26" s="68">
        <f t="shared" si="0"/>
        <v>23</v>
      </c>
      <c r="C26" s="64" t="s">
        <v>57</v>
      </c>
      <c r="D26" s="63">
        <f>VLOOKUP(C26,Country_Data!B:F,5,FALSE)</f>
        <v>330</v>
      </c>
      <c r="E26" s="63">
        <f>D26*Projections_Data!$C$15</f>
        <v>38.099467140319717</v>
      </c>
      <c r="F26" s="74">
        <f>IFERROR(VLOOKUP(C26,Days_Since_100!C:G,5,FALSE)-1,0)</f>
        <v>0.22629059000337914</v>
      </c>
      <c r="H26" s="71" t="str">
        <f>IFERROR(LOG((K26/E26),1+F26),"")</f>
        <v/>
      </c>
      <c r="I26" s="70"/>
      <c r="J26" s="63">
        <f>VLOOKUP(C26,Country_Data!C:K,9,FALSE)</f>
        <v>1380004385</v>
      </c>
      <c r="K26" s="62">
        <f>(J26/100000)*I26</f>
        <v>0</v>
      </c>
      <c r="M26" s="61">
        <f t="array" ref="M26">IF(OR(C26=$O$4:$O$22),1,0)</f>
        <v>0</v>
      </c>
    </row>
    <row r="27" spans="2:13" s="61" customFormat="1" ht="13.8" customHeight="1" x14ac:dyDescent="0.3">
      <c r="B27" s="68">
        <f t="shared" si="0"/>
        <v>24</v>
      </c>
      <c r="C27" s="64" t="s">
        <v>78</v>
      </c>
      <c r="D27" s="63">
        <f>VLOOKUP(C27,Country_Data!B:F,5,FALSE)</f>
        <v>2814</v>
      </c>
      <c r="E27" s="63">
        <f>D27*Projections_Data!$C$15</f>
        <v>324.88454706927178</v>
      </c>
      <c r="F27" s="74">
        <f>IFERROR(VLOOKUP(C27,Days_Since_100!C:G,5,FALSE)-1,0)</f>
        <v>0.22550549530964448</v>
      </c>
      <c r="H27" s="71">
        <f>IFERROR(LOG((K27/E27),1+F27),"")</f>
        <v>2.970789040941026</v>
      </c>
      <c r="I27" s="70">
        <v>6.6</v>
      </c>
      <c r="J27" s="63">
        <f>VLOOKUP(C27,Country_Data!C:K,9,FALSE)</f>
        <v>9006398</v>
      </c>
      <c r="K27" s="62">
        <f>(J27/100000)*I27</f>
        <v>594.42226799999992</v>
      </c>
      <c r="M27" s="61">
        <f t="array" ref="M27">IF(OR(C27=$O$4:$O$22),1,0)</f>
        <v>0</v>
      </c>
    </row>
    <row r="28" spans="2:13" s="61" customFormat="1" ht="13.8" customHeight="1" x14ac:dyDescent="0.3">
      <c r="B28" s="68">
        <f t="shared" si="0"/>
        <v>25</v>
      </c>
      <c r="C28" s="64" t="s">
        <v>63</v>
      </c>
      <c r="D28" s="63">
        <f>VLOOKUP(C28,Country_Data!B:F,5,FALSE)</f>
        <v>2815</v>
      </c>
      <c r="E28" s="63">
        <f>D28*Projections_Data!$C$15</f>
        <v>325</v>
      </c>
      <c r="F28" s="74">
        <f>IFERROR(VLOOKUP(C28,Days_Since_100!C:G,5,FALSE)-1,0)</f>
        <v>0.21618192974615047</v>
      </c>
      <c r="H28" s="71" t="str">
        <f>IFERROR(LOG((K28/E28),1+F28),"")</f>
        <v/>
      </c>
      <c r="I28" s="70"/>
      <c r="J28" s="63">
        <f>VLOOKUP(C28,Country_Data!C:K,9,FALSE)</f>
        <v>11589623</v>
      </c>
      <c r="K28" s="62">
        <f>(J28/100000)*I28</f>
        <v>0</v>
      </c>
      <c r="M28" s="61">
        <f t="array" ref="M28">IF(OR(C28=$O$4:$O$22),1,0)</f>
        <v>0</v>
      </c>
    </row>
    <row r="29" spans="2:13" s="61" customFormat="1" ht="13.8" customHeight="1" x14ac:dyDescent="0.3">
      <c r="B29" s="68">
        <f t="shared" si="0"/>
        <v>26</v>
      </c>
      <c r="C29" s="64" t="s">
        <v>92</v>
      </c>
      <c r="D29" s="63">
        <f>VLOOKUP(C29,Country_Data!B:F,5,FALSE)</f>
        <v>473</v>
      </c>
      <c r="E29" s="63">
        <f>D29*Projections_Data!$C$15</f>
        <v>54.609236234458258</v>
      </c>
      <c r="F29" s="74">
        <f>IFERROR(VLOOKUP(C29,Days_Since_100!C:G,5,FALSE)-1,0)</f>
        <v>0.21315900749930705</v>
      </c>
      <c r="H29" s="71">
        <f>IFERROR(LOG((K29/E29),1+F29),"")</f>
        <v>-10.039291386968181</v>
      </c>
      <c r="I29" s="70">
        <v>2.2999999999999998</v>
      </c>
      <c r="J29" s="63">
        <f>VLOOKUP(C29,Country_Data!C:K,9,FALSE)</f>
        <v>341243</v>
      </c>
      <c r="K29" s="62">
        <f>(J29/100000)*I29</f>
        <v>7.8485889999999996</v>
      </c>
      <c r="M29" s="61">
        <f t="array" ref="M29">IF(OR(C29=$O$4:$O$22),1,0)</f>
        <v>0</v>
      </c>
    </row>
    <row r="30" spans="2:13" s="61" customFormat="1" ht="13.8" customHeight="1" x14ac:dyDescent="0.3">
      <c r="B30" s="68">
        <f t="shared" si="0"/>
        <v>27</v>
      </c>
      <c r="C30" s="64" t="s">
        <v>92</v>
      </c>
      <c r="D30" s="63">
        <f>VLOOKUP(C30,Country_Data!B:F,5,FALSE)</f>
        <v>473</v>
      </c>
      <c r="E30" s="63">
        <f>D30*Projections_Data!$C$15</f>
        <v>54.609236234458258</v>
      </c>
      <c r="F30" s="74">
        <f>IFERROR(VLOOKUP(C30,Days_Since_100!C:G,5,FALSE)-1,0)</f>
        <v>0.21315900749930705</v>
      </c>
      <c r="H30" s="71" t="str">
        <f>IFERROR(LOG((K30/E30),1+F30),"")</f>
        <v/>
      </c>
      <c r="I30" s="70"/>
      <c r="J30" s="63">
        <f>VLOOKUP(C30,Country_Data!C:K,9,FALSE)</f>
        <v>341243</v>
      </c>
      <c r="K30" s="62"/>
      <c r="M30" s="61">
        <f t="array" ref="M30">IF(OR(C30=$O$4:$O$22),1,0)</f>
        <v>0</v>
      </c>
    </row>
    <row r="31" spans="2:13" s="61" customFormat="1" ht="13.8" customHeight="1" x14ac:dyDescent="0.3">
      <c r="B31" s="68">
        <f t="shared" si="0"/>
        <v>28</v>
      </c>
      <c r="C31" s="64" t="s">
        <v>89</v>
      </c>
      <c r="D31" s="63">
        <f>VLOOKUP(C31,Country_Data!B:F,5,FALSE)</f>
        <v>3640</v>
      </c>
      <c r="E31" s="63">
        <f>D31*Projections_Data!$C$15</f>
        <v>420.24866785079928</v>
      </c>
      <c r="F31" s="74">
        <f>IFERROR(VLOOKUP(C31,Days_Since_100!C:G,5,FALSE)-1,0)</f>
        <v>0.20783504408109477</v>
      </c>
      <c r="H31" s="71">
        <f>IFERROR(LOG((K31/E31),1+F31),"")</f>
        <v>9.8987335986284766</v>
      </c>
      <c r="I31" s="70">
        <v>15.9</v>
      </c>
      <c r="J31" s="63">
        <f>VLOOKUP(C31,Country_Data!C:K,9,FALSE)</f>
        <v>17134872</v>
      </c>
      <c r="K31" s="62">
        <f>(J31/100000)*I31</f>
        <v>2724.4446479999997</v>
      </c>
      <c r="M31" s="61">
        <f t="array" ref="M31">IF(OR(C31=$O$4:$O$22),1,0)</f>
        <v>0</v>
      </c>
    </row>
    <row r="32" spans="2:13" s="61" customFormat="1" ht="13.8" customHeight="1" x14ac:dyDescent="0.3">
      <c r="B32" s="68">
        <f t="shared" si="0"/>
        <v>29</v>
      </c>
      <c r="C32" s="64" t="s">
        <v>60</v>
      </c>
      <c r="D32" s="63">
        <f>VLOOKUP(C32,Country_Data!B:F,5,FALSE)</f>
        <v>25374</v>
      </c>
      <c r="E32" s="63">
        <f>D32*Projections_Data!$C$15</f>
        <v>2929.5026642984012</v>
      </c>
      <c r="F32" s="74">
        <f>IFERROR(VLOOKUP(C32,Days_Since_100!C:G,5,FALSE)-1,0)</f>
        <v>0.20609921652025731</v>
      </c>
      <c r="H32" s="71" t="str">
        <f>IFERROR(LOG((K32/E32),1+F32),"")</f>
        <v/>
      </c>
      <c r="I32" s="70"/>
      <c r="J32" s="63">
        <f>VLOOKUP(C32,Country_Data!C:K,9,FALSE)</f>
        <v>46754778</v>
      </c>
      <c r="K32" s="62">
        <f>(J32/100000)*I32</f>
        <v>0</v>
      </c>
      <c r="M32" s="61">
        <f t="array" ref="M32">IF(OR(C32=$O$4:$O$22),1,0)</f>
        <v>1</v>
      </c>
    </row>
    <row r="33" spans="2:13" s="61" customFormat="1" ht="13.8" customHeight="1" x14ac:dyDescent="0.3">
      <c r="B33" s="68">
        <f t="shared" si="0"/>
        <v>30</v>
      </c>
      <c r="C33" s="64" t="s">
        <v>162</v>
      </c>
      <c r="D33" s="63">
        <f>VLOOKUP(C33,Country_Data!B:F,5,FALSE)</f>
        <v>178</v>
      </c>
      <c r="E33" s="63">
        <f>D33*Projections_Data!$C$15</f>
        <v>20.550621669626999</v>
      </c>
      <c r="F33" s="74">
        <f>IFERROR(VLOOKUP(C33,Days_Since_100!C:G,5,FALSE)-1,0)</f>
        <v>0.19236778642527219</v>
      </c>
      <c r="H33" s="71">
        <f>IFERROR(LOG((K33/E33),1+F33),"")</f>
        <v>22.964894543013681</v>
      </c>
      <c r="I33" s="70">
        <v>21.4</v>
      </c>
      <c r="J33" s="63">
        <f>VLOOKUP(C33,Country_Data!C:K,9,FALSE)</f>
        <v>5459642</v>
      </c>
      <c r="K33" s="62">
        <f>(J33/100000)*I33</f>
        <v>1168.363388</v>
      </c>
      <c r="M33" s="61">
        <f t="array" ref="M33">IF(OR(C33=$O$4:$O$22),1,0)</f>
        <v>0</v>
      </c>
    </row>
    <row r="34" spans="2:13" s="61" customFormat="1" ht="13.8" customHeight="1" x14ac:dyDescent="0.2">
      <c r="B34" s="68">
        <f t="shared" si="0"/>
        <v>31</v>
      </c>
      <c r="C34" s="64" t="s">
        <v>86</v>
      </c>
      <c r="D34" s="63">
        <f>VLOOKUP(C34,Country_Data!B:F,5,FALSE)</f>
        <v>367</v>
      </c>
      <c r="E34" s="63">
        <f>D34*Projections_Data!$C$15</f>
        <v>42.371225577264653</v>
      </c>
      <c r="F34" s="74">
        <f>IFERROR(VLOOKUP(C34,Days_Since_100!C:G,5,FALSE)-1,0)</f>
        <v>0.18359138515330531</v>
      </c>
      <c r="G34" s="60"/>
      <c r="H34" s="71" t="str">
        <f>IFERROR(LOG((K34/E34),1+F34),"")</f>
        <v/>
      </c>
      <c r="I34" s="70">
        <v>9.1</v>
      </c>
      <c r="J34" s="63">
        <f>VLOOKUP(C34,Country_Data!C:K,9,FALSE)</f>
        <v>19237691</v>
      </c>
      <c r="K34" s="62"/>
      <c r="M34" s="61">
        <f t="array" ref="M34">IF(OR(C34=$O$4:$O$22),1,0)</f>
        <v>0</v>
      </c>
    </row>
    <row r="35" spans="2:13" s="61" customFormat="1" ht="13.8" customHeight="1" x14ac:dyDescent="0.3">
      <c r="B35" s="68">
        <f t="shared" si="0"/>
        <v>32</v>
      </c>
      <c r="C35" s="64" t="s">
        <v>41</v>
      </c>
      <c r="D35" s="63">
        <f>VLOOKUP(C35,Country_Data!B:F,5,FALSE)</f>
        <v>14431</v>
      </c>
      <c r="E35" s="63">
        <f>D35*Projections_Data!$C$15</f>
        <v>1666.1012433392539</v>
      </c>
      <c r="F35" s="74">
        <f>IFERROR(VLOOKUP(C35,Days_Since_100!C:G,5,FALSE)-1,0)</f>
        <v>0.16697127792616384</v>
      </c>
      <c r="H35" s="71" t="str">
        <f>IFERROR(LOG((K35/E35),1+F35),"")</f>
        <v/>
      </c>
      <c r="I35" s="70"/>
      <c r="J35" s="63">
        <f>VLOOKUP(C35,Country_Data!C:K,9,FALSE)</f>
        <v>65273511</v>
      </c>
      <c r="K35" s="62">
        <f>(J35/100000)*I35</f>
        <v>0</v>
      </c>
      <c r="M35" s="61">
        <f t="array" ref="M35">IF(OR(C35=$O$4:$O$22),1,0)</f>
        <v>1</v>
      </c>
    </row>
    <row r="36" spans="2:13" s="61" customFormat="1" ht="13.8" customHeight="1" x14ac:dyDescent="0.3">
      <c r="B36" s="68">
        <f t="shared" si="0"/>
        <v>33</v>
      </c>
      <c r="C36" s="64" t="s">
        <v>56</v>
      </c>
      <c r="D36" s="63">
        <f>VLOOKUP(C36,Country_Data!B:F,5,FALSE)</f>
        <v>307</v>
      </c>
      <c r="E36" s="63">
        <f>D36*Projections_Data!$C$15</f>
        <v>35.444049733570161</v>
      </c>
      <c r="F36" s="74">
        <f>IFERROR(VLOOKUP(C36,Days_Since_100!C:G,5,FALSE)-1,0)</f>
        <v>0.16672903619864954</v>
      </c>
      <c r="H36" s="71">
        <f>IFERROR(LOG((K36/E36),1+F36),"")</f>
        <v>38.630760101206185</v>
      </c>
      <c r="I36" s="70">
        <v>12.5</v>
      </c>
      <c r="J36" s="63">
        <f>VLOOKUP(C36,Country_Data!C:K,9,FALSE)</f>
        <v>109581078</v>
      </c>
      <c r="K36" s="62">
        <f>(J36/100000)*I36</f>
        <v>13697.634750000001</v>
      </c>
      <c r="M36" s="61">
        <f t="array" ref="M36">IF(OR(C36=$O$4:$O$22),1,0)</f>
        <v>0</v>
      </c>
    </row>
    <row r="37" spans="2:13" s="61" customFormat="1" ht="13.8" customHeight="1" x14ac:dyDescent="0.3">
      <c r="B37" s="68">
        <f t="shared" ref="B37:B59" si="1">B36+1</f>
        <v>34</v>
      </c>
      <c r="C37" s="64" t="s">
        <v>43</v>
      </c>
      <c r="D37" s="63">
        <f>VLOOKUP(C37,Country_Data!B:F,5,FALSE)</f>
        <v>1183</v>
      </c>
      <c r="E37" s="63">
        <f>D37*Projections_Data!$C$15</f>
        <v>136.58081705150977</v>
      </c>
      <c r="F37" s="74">
        <f>IFERROR(VLOOKUP(C37,Days_Since_100!C:G,5,FALSE)-1,0)</f>
        <v>0.15886717786354909</v>
      </c>
      <c r="H37" s="71">
        <f>IFERROR(LOG((K37/E37),1+F37),"")</f>
        <v>16.252413323724781</v>
      </c>
      <c r="I37" s="70"/>
      <c r="J37" s="63">
        <f>VLOOKUP(C37,Country_Data!C:K,9,FALSE)</f>
        <v>32365999</v>
      </c>
      <c r="K37" s="62">
        <v>1500</v>
      </c>
      <c r="M37" s="61">
        <f t="array" ref="M37">IF(OR(C37=$O$4:$O$22),1,0)</f>
        <v>0</v>
      </c>
    </row>
    <row r="38" spans="2:13" s="61" customFormat="1" ht="13.8" customHeight="1" x14ac:dyDescent="0.3">
      <c r="B38" s="68">
        <f t="shared" si="1"/>
        <v>35</v>
      </c>
      <c r="C38" s="64" t="s">
        <v>342</v>
      </c>
      <c r="D38" s="63">
        <f>VLOOKUP(C38,Country_Data!B:F,5,FALSE)</f>
        <v>153</v>
      </c>
      <c r="E38" s="63">
        <f>D38*Projections_Data!$C$15</f>
        <v>17.664298401420957</v>
      </c>
      <c r="F38" s="74">
        <f>IFERROR(VLOOKUP(C38,Days_Since_100!C:G,5,FALSE)-1,0)</f>
        <v>0.15229535251108728</v>
      </c>
      <c r="H38" s="71">
        <f>IFERROR(LOG((K38/E38),1+F38),"")</f>
        <v>30.991223629247418</v>
      </c>
      <c r="I38" s="70">
        <v>6</v>
      </c>
      <c r="J38" s="63">
        <f>VLOOKUP(C38,Country_Data!C:K,9,FALSE)</f>
        <v>23816775</v>
      </c>
      <c r="K38" s="62">
        <f>(J38/100000)*I38</f>
        <v>1429.0065</v>
      </c>
      <c r="M38" s="61">
        <f t="array" ref="M38">IF(OR(C38=$O$4:$O$22),1,0)</f>
        <v>0</v>
      </c>
    </row>
    <row r="39" spans="2:13" s="61" customFormat="1" ht="13.8" customHeight="1" x14ac:dyDescent="0.3">
      <c r="B39" s="68">
        <f t="shared" si="1"/>
        <v>36</v>
      </c>
      <c r="C39" s="64" t="s">
        <v>65</v>
      </c>
      <c r="D39" s="63">
        <f>VLOOKUP(C39,Country_Data!B:F,5,FALSE)</f>
        <v>294</v>
      </c>
      <c r="E39" s="63">
        <f>D39*Projections_Data!$C$15</f>
        <v>33.943161634103021</v>
      </c>
      <c r="F39" s="74">
        <f>IFERROR(VLOOKUP(C39,Days_Since_100!C:G,5,FALSE)-1,0)</f>
        <v>0.14406635585872296</v>
      </c>
      <c r="H39" s="71">
        <f>IFERROR(LOG((K39/E39),1+F39),"")</f>
        <v>43.124203473560421</v>
      </c>
      <c r="I39" s="70">
        <v>11</v>
      </c>
      <c r="J39" s="63">
        <f>VLOOKUP(C39,Country_Data!C:K,9,FALSE)</f>
        <v>102334404</v>
      </c>
      <c r="K39" s="62">
        <f>(J39/100000)*I39</f>
        <v>11256.784439999999</v>
      </c>
      <c r="M39" s="61">
        <f t="array" ref="M39">IF(OR(C39=$O$4:$O$22),1,0)</f>
        <v>0</v>
      </c>
    </row>
    <row r="40" spans="2:13" s="61" customFormat="1" ht="13.8" customHeight="1" x14ac:dyDescent="0.3">
      <c r="B40" s="68">
        <f t="shared" si="1"/>
        <v>37</v>
      </c>
      <c r="C40" s="64" t="s">
        <v>58</v>
      </c>
      <c r="D40" s="63">
        <f>VLOOKUP(C40,Country_Data!B:F,5,FALSE)</f>
        <v>53578</v>
      </c>
      <c r="E40" s="63">
        <f>D40*Projections_Data!$C$15</f>
        <v>6185.7371225577263</v>
      </c>
      <c r="F40" s="74">
        <f>IFERROR(VLOOKUP(C40,Days_Since_100!C:G,5,FALSE)-1,0)</f>
        <v>0.13874834172187622</v>
      </c>
      <c r="H40" s="71">
        <f>IFERROR(LOG((K40/E40),1+F40),"")</f>
        <v>-3.979962616342827</v>
      </c>
      <c r="I40" s="70">
        <v>6.1</v>
      </c>
      <c r="J40" s="63">
        <f>VLOOKUP(C40,Country_Data!C:K,9,FALSE)</f>
        <v>60461826</v>
      </c>
      <c r="K40" s="62">
        <f>(J40/100000)*I40</f>
        <v>3688.1713859999995</v>
      </c>
      <c r="M40" s="61">
        <f t="array" ref="M40">IF(OR(C40=$O$4:$O$22),1,0)</f>
        <v>1</v>
      </c>
    </row>
    <row r="41" spans="2:13" s="61" customFormat="1" ht="13.8" customHeight="1" x14ac:dyDescent="0.3">
      <c r="B41" s="68">
        <f t="shared" si="1"/>
        <v>38</v>
      </c>
      <c r="C41" s="64" t="s">
        <v>67</v>
      </c>
      <c r="D41" s="63">
        <f>VLOOKUP(C41,Country_Data!B:F,5,FALSE)</f>
        <v>187</v>
      </c>
      <c r="E41" s="63">
        <f>D41*Projections_Data!$C$15</f>
        <v>21.589698046181173</v>
      </c>
      <c r="F41" s="74">
        <f>IFERROR(VLOOKUP(C41,Days_Since_100!C:G,5,FALSE)-1,0)</f>
        <v>0.13564157249607756</v>
      </c>
      <c r="H41" s="71">
        <f>IFERROR(LOG((K41/E41),1+F41),"")</f>
        <v>23.642904737685864</v>
      </c>
      <c r="I41" s="70">
        <v>6.4</v>
      </c>
      <c r="J41" s="63">
        <f>VLOOKUP(C41,Country_Data!C:K,9,FALSE)</f>
        <v>6825445</v>
      </c>
      <c r="K41" s="62">
        <f>(J41/100000)*I41</f>
        <v>436.82848000000007</v>
      </c>
      <c r="M41" s="61">
        <f t="array" ref="M41">IF(OR(C41=$O$4:$O$22),1,0)</f>
        <v>0</v>
      </c>
    </row>
    <row r="42" spans="2:13" s="61" customFormat="1" ht="13.8" customHeight="1" x14ac:dyDescent="0.3">
      <c r="B42" s="68">
        <f t="shared" si="1"/>
        <v>39</v>
      </c>
      <c r="C42" s="64" t="s">
        <v>54</v>
      </c>
      <c r="D42" s="63">
        <f>VLOOKUP(C42,Country_Data!B:F,5,FALSE)</f>
        <v>523</v>
      </c>
      <c r="E42" s="63">
        <f>D42*Projections_Data!$C$15</f>
        <v>60.381882770870334</v>
      </c>
      <c r="F42" s="74">
        <f>IFERROR(VLOOKUP(C42,Days_Since_100!C:G,5,FALSE)-1,0)</f>
        <v>0.13554509047841545</v>
      </c>
      <c r="H42" s="71" t="str">
        <f>IFERROR(LOG((K42/E42),1+F42),"")</f>
        <v/>
      </c>
      <c r="I42" s="70"/>
      <c r="J42" s="63">
        <f>VLOOKUP(C42,Country_Data!C:K,9,FALSE)</f>
        <v>5540720</v>
      </c>
      <c r="K42" s="62">
        <f>(J42/100000)*I42</f>
        <v>0</v>
      </c>
      <c r="M42" s="61">
        <f t="array" ref="M42">IF(OR(C42=$O$4:$O$22),1,0)</f>
        <v>0</v>
      </c>
    </row>
    <row r="43" spans="2:13" s="61" customFormat="1" ht="13.8" customHeight="1" x14ac:dyDescent="0.3">
      <c r="B43" s="68">
        <f t="shared" si="1"/>
        <v>40</v>
      </c>
      <c r="C43" s="64" t="s">
        <v>40</v>
      </c>
      <c r="D43" s="63">
        <f>VLOOKUP(C43,Country_Data!B:F,5,FALSE)</f>
        <v>432</v>
      </c>
      <c r="E43" s="63">
        <f>D43*Projections_Data!$C$15</f>
        <v>49.875666074600353</v>
      </c>
      <c r="F43" s="74">
        <f>IFERROR(VLOOKUP(C43,Days_Since_100!C:G,5,FALSE)-1,0)</f>
        <v>0.12195514544619956</v>
      </c>
      <c r="H43" s="71" t="str">
        <f>IFERROR(LOG((K43/E43),1+F43),"")</f>
        <v/>
      </c>
      <c r="I43" s="70"/>
      <c r="J43" s="63">
        <f>VLOOKUP(C43,Country_Data!C:K,9,FALSE)</f>
        <v>5850342</v>
      </c>
      <c r="K43" s="62">
        <f>(J43/100000)*I43</f>
        <v>0</v>
      </c>
      <c r="M43" s="61">
        <f t="array" ref="M43">IF(OR(C43=$O$4:$O$22),1,0)</f>
        <v>0</v>
      </c>
    </row>
    <row r="44" spans="2:13" s="61" customFormat="1" ht="13.8" customHeight="1" x14ac:dyDescent="0.2">
      <c r="B44" s="68">
        <f t="shared" si="1"/>
        <v>41</v>
      </c>
      <c r="C44" s="64" t="s">
        <v>111</v>
      </c>
      <c r="D44" s="63">
        <f>VLOOKUP(C44,Country_Data!B:F,5,FALSE)</f>
        <v>124</v>
      </c>
      <c r="E44" s="63">
        <f>D44*Projections_Data!$C$15</f>
        <v>14.316163410301954</v>
      </c>
      <c r="F44" s="74">
        <f>IFERROR(VLOOKUP(C44,Days_Since_100!C:G,5,FALSE)-1,0)</f>
        <v>0.11711711711711703</v>
      </c>
      <c r="G44" s="60"/>
      <c r="H44" s="71" t="str">
        <f>IFERROR(LOG((K44/E44),1+F44),"")</f>
        <v/>
      </c>
      <c r="I44" s="70">
        <v>9.6999999999999993</v>
      </c>
      <c r="J44" s="63">
        <f>VLOOKUP(C44,Country_Data!C:K,9,FALSE)</f>
        <v>1886198</v>
      </c>
      <c r="K44" s="62"/>
      <c r="M44" s="61">
        <f t="array" ref="M44">IF(OR(C44=$O$4:$O$22),1,0)</f>
        <v>0</v>
      </c>
    </row>
    <row r="45" spans="2:13" s="61" customFormat="1" ht="13.8" customHeight="1" x14ac:dyDescent="0.3">
      <c r="B45" s="68">
        <f t="shared" si="1"/>
        <v>42</v>
      </c>
      <c r="C45" s="64" t="s">
        <v>70</v>
      </c>
      <c r="D45" s="63">
        <f>VLOOKUP(C45,Country_Data!B:F,5,FALSE)</f>
        <v>214</v>
      </c>
      <c r="E45" s="63">
        <f>D45*Projections_Data!$C$15</f>
        <v>24.706927175843695</v>
      </c>
      <c r="F45" s="74">
        <f>IFERROR(VLOOKUP(C45,Days_Since_100!C:G,5,FALSE)-1,0)</f>
        <v>0.11531724586667913</v>
      </c>
      <c r="H45" s="71">
        <f>IFERROR(LOG((K45/E45),1+F45),"")</f>
        <v>50.128321236256404</v>
      </c>
      <c r="I45" s="70">
        <v>14.6</v>
      </c>
      <c r="J45" s="63">
        <f>VLOOKUP(C45,Country_Data!C:K,9,FALSE)</f>
        <v>40222493</v>
      </c>
      <c r="K45" s="62">
        <f>(J45/100000)*I45</f>
        <v>5872.4839779999993</v>
      </c>
      <c r="M45" s="61">
        <f t="array" ref="M45">IF(OR(C45=$O$4:$O$22),1,0)</f>
        <v>0</v>
      </c>
    </row>
    <row r="46" spans="2:13" s="61" customFormat="1" ht="13.8" customHeight="1" x14ac:dyDescent="0.3">
      <c r="B46" s="68">
        <f t="shared" si="1"/>
        <v>43</v>
      </c>
      <c r="C46" s="64" t="s">
        <v>55</v>
      </c>
      <c r="D46" s="63">
        <f>VLOOKUP(C46,Country_Data!B:F,5,FALSE)</f>
        <v>153</v>
      </c>
      <c r="E46" s="63">
        <f>D46*Projections_Data!$C$15</f>
        <v>17.664298401420957</v>
      </c>
      <c r="F46" s="74">
        <f>IFERROR(VLOOKUP(C46,Days_Since_100!C:G,5,FALSE)-1,0)</f>
        <v>0.10629511772593192</v>
      </c>
      <c r="H46" s="71" t="str">
        <f>IFERROR(LOG((K46/E46),1+F46),"")</f>
        <v/>
      </c>
      <c r="I46" s="70"/>
      <c r="J46" s="63">
        <f>VLOOKUP(C46,Country_Data!C:K,9,FALSE)</f>
        <v>9890402</v>
      </c>
      <c r="K46" s="62">
        <f>(J46/100000)*I46</f>
        <v>0</v>
      </c>
      <c r="M46" s="61">
        <f t="array" ref="M46">IF(OR(C46=$O$4:$O$22),1,0)</f>
        <v>0</v>
      </c>
    </row>
    <row r="47" spans="2:13" s="61" customFormat="1" ht="13.8" customHeight="1" x14ac:dyDescent="0.3">
      <c r="B47" s="68">
        <f t="shared" si="1"/>
        <v>44</v>
      </c>
      <c r="C47" s="64" t="s">
        <v>83</v>
      </c>
      <c r="D47" s="63">
        <f>VLOOKUP(C47,Country_Data!B:F,5,FALSE)</f>
        <v>530</v>
      </c>
      <c r="E47" s="63">
        <f>D47*Projections_Data!$C$15</f>
        <v>61.190053285968027</v>
      </c>
      <c r="F47" s="74">
        <f>IFERROR(VLOOKUP(C47,Days_Since_100!C:G,5,FALSE)-1,0)</f>
        <v>9.8726438895578195E-2</v>
      </c>
      <c r="H47" s="71" t="str">
        <f>IFERROR(LOG((K47/E47),1+F47),"")</f>
        <v/>
      </c>
      <c r="I47" s="70"/>
      <c r="J47" s="63">
        <f>VLOOKUP(C47,Country_Data!C:K,9,FALSE)</f>
        <v>10423054</v>
      </c>
      <c r="K47" s="62"/>
      <c r="M47" s="61">
        <f t="array" ref="M47">IF(OR(C47=$O$4:$O$22),1,0)</f>
        <v>0</v>
      </c>
    </row>
    <row r="48" spans="2:13" s="61" customFormat="1" ht="13.8" customHeight="1" x14ac:dyDescent="0.3">
      <c r="B48" s="68">
        <f t="shared" si="1"/>
        <v>45</v>
      </c>
      <c r="C48" s="64" t="s">
        <v>59</v>
      </c>
      <c r="D48" s="63">
        <f>VLOOKUP(C48,Country_Data!B:F,5,FALSE)</f>
        <v>1763</v>
      </c>
      <c r="E48" s="63">
        <f>D48*Projections_Data!$C$15</f>
        <v>203.54351687388987</v>
      </c>
      <c r="F48" s="74">
        <f>IFERROR(VLOOKUP(C48,Days_Since_100!C:G,5,FALSE)-1,0)</f>
        <v>9.8336357425356402E-2</v>
      </c>
      <c r="H48" s="71">
        <f>IFERROR(LOG((K48/E48),1+F48),"")</f>
        <v>12.807234231021987</v>
      </c>
      <c r="I48" s="70">
        <v>6.7</v>
      </c>
      <c r="J48" s="63">
        <f>VLOOKUP(C48,Country_Data!C:K,9,FALSE)</f>
        <v>10099265</v>
      </c>
      <c r="K48" s="62">
        <f>(J48/100000)*I48</f>
        <v>676.650755</v>
      </c>
      <c r="M48" s="61">
        <f t="array" ref="M48">IF(OR(C48=$O$4:$O$22),1,0)</f>
        <v>0</v>
      </c>
    </row>
    <row r="49" spans="2:13" s="61" customFormat="1" ht="13.8" customHeight="1" x14ac:dyDescent="0.3">
      <c r="B49" s="68">
        <f t="shared" si="1"/>
        <v>46</v>
      </c>
      <c r="C49" s="64" t="s">
        <v>85</v>
      </c>
      <c r="D49" s="63">
        <f>VLOOKUP(C49,Country_Data!B:F,5,FALSE)</f>
        <v>2118</v>
      </c>
      <c r="E49" s="63">
        <f>D49*Projections_Data!$C$15</f>
        <v>244.52930728241563</v>
      </c>
      <c r="F49" s="74">
        <f>IFERROR(VLOOKUP(C49,Days_Since_100!C:G,5,FALSE)-1,0)</f>
        <v>9.7031659770915546E-2</v>
      </c>
      <c r="H49" s="71">
        <f>IFERROR(LOG((K49/E49),1+F49),"")</f>
        <v>2.7150190783958972</v>
      </c>
      <c r="I49" s="70">
        <v>5.8</v>
      </c>
      <c r="J49" s="63">
        <f>VLOOKUP(C49,Country_Data!C:K,9,FALSE)</f>
        <v>5421241</v>
      </c>
      <c r="K49" s="62">
        <f>(J49/100000)*I49</f>
        <v>314.43197799999996</v>
      </c>
      <c r="M49" s="61">
        <f t="array" ref="M49">IF(OR(C49=$O$4:$O$22),1,0)</f>
        <v>0</v>
      </c>
    </row>
    <row r="50" spans="2:13" s="61" customFormat="1" ht="13.8" customHeight="1" x14ac:dyDescent="0.3">
      <c r="B50" s="68">
        <f t="shared" si="1"/>
        <v>47</v>
      </c>
      <c r="C50" s="64" t="s">
        <v>87</v>
      </c>
      <c r="D50" s="63">
        <f>VLOOKUP(C50,Country_Data!B:F,5,FALSE)</f>
        <v>1420</v>
      </c>
      <c r="E50" s="63">
        <f>D50*Projections_Data!$C$15</f>
        <v>163.94316163410301</v>
      </c>
      <c r="F50" s="74">
        <f>IFERROR(VLOOKUP(C50,Days_Since_100!C:G,5,FALSE)-1,0)</f>
        <v>8.763040555921453E-2</v>
      </c>
      <c r="H50" s="71" t="str">
        <f>IFERROR(LOG((K50/E50),1+F50),"")</f>
        <v/>
      </c>
      <c r="I50" s="70"/>
      <c r="J50" s="63">
        <f>VLOOKUP(C50,Country_Data!C:K,9,FALSE)</f>
        <v>5792202</v>
      </c>
      <c r="K50" s="62">
        <f>(J50/100000)*I50</f>
        <v>0</v>
      </c>
      <c r="M50" s="61">
        <f t="array" ref="M50">IF(OR(C50=$O$4:$O$22),1,0)</f>
        <v>0</v>
      </c>
    </row>
    <row r="51" spans="2:13" s="61" customFormat="1" ht="13.8" customHeight="1" x14ac:dyDescent="0.3">
      <c r="B51" s="68">
        <f t="shared" si="1"/>
        <v>48</v>
      </c>
      <c r="C51" s="64" t="s">
        <v>141</v>
      </c>
      <c r="D51" s="63">
        <f>VLOOKUP(C51,Country_Data!B:F,5,FALSE)</f>
        <v>383</v>
      </c>
      <c r="E51" s="63">
        <f>D51*Projections_Data!$C$15</f>
        <v>44.218472468916517</v>
      </c>
      <c r="F51" s="74">
        <f>IFERROR(VLOOKUP(C51,Days_Since_100!C:G,5,FALSE)-1,0)</f>
        <v>8.64647755633281E-2</v>
      </c>
      <c r="H51" s="71">
        <f>IFERROR(LOG((K51/E51),1+F51),"")</f>
        <v>15.974382800379802</v>
      </c>
      <c r="I51" s="70">
        <v>8</v>
      </c>
      <c r="J51" s="63">
        <f>VLOOKUP(C51,Country_Data!C:K,9,FALSE)</f>
        <v>2078938</v>
      </c>
      <c r="K51" s="62">
        <f>(J51/100000)*I51</f>
        <v>166.31504000000001</v>
      </c>
      <c r="M51" s="61">
        <f t="array" ref="M51">IF(OR(C51=$O$4:$O$22),1,0)</f>
        <v>0</v>
      </c>
    </row>
    <row r="52" spans="2:13" s="61" customFormat="1" ht="13.8" customHeight="1" x14ac:dyDescent="0.3">
      <c r="B52" s="68">
        <f t="shared" si="1"/>
        <v>49</v>
      </c>
      <c r="C52" s="64" t="s">
        <v>88</v>
      </c>
      <c r="D52" s="63">
        <f>VLOOKUP(C52,Country_Data!B:F,5,FALSE)</f>
        <v>306</v>
      </c>
      <c r="E52" s="63">
        <f>D52*Projections_Data!$C$15</f>
        <v>35.328596802841915</v>
      </c>
      <c r="F52" s="74">
        <f>IFERROR(VLOOKUP(C52,Days_Since_100!C:G,5,FALSE)-1,0)</f>
        <v>8.3411679462869648E-2</v>
      </c>
      <c r="H52" s="71" t="str">
        <f>IFERROR(LOG((K52/E52),1+F52),"")</f>
        <v/>
      </c>
      <c r="I52" s="70"/>
      <c r="J52" s="63">
        <f>VLOOKUP(C52,Country_Data!C:K,9,FALSE)</f>
        <v>1326535</v>
      </c>
      <c r="K52" s="62">
        <f>(J52/100000)*I52</f>
        <v>0</v>
      </c>
      <c r="M52" s="61">
        <f t="array" ref="M52">IF(OR(C52=$O$4:$O$22),1,0)</f>
        <v>0</v>
      </c>
    </row>
    <row r="53" spans="2:13" s="61" customFormat="1" ht="13.8" customHeight="1" x14ac:dyDescent="0.3">
      <c r="B53" s="68">
        <f t="shared" si="1"/>
        <v>50</v>
      </c>
      <c r="C53" s="64" t="s">
        <v>74</v>
      </c>
      <c r="D53" s="63">
        <f>VLOOKUP(C53,Country_Data!B:F,5,FALSE)</f>
        <v>176</v>
      </c>
      <c r="E53" s="63">
        <f>D53*Projections_Data!$C$15</f>
        <v>20.319715808170514</v>
      </c>
      <c r="F53" s="74">
        <f>IFERROR(VLOOKUP(C53,Days_Since_100!C:G,5,FALSE)-1,0)</f>
        <v>7.4289945934173041E-2</v>
      </c>
      <c r="H53" s="71" t="str">
        <f>IFERROR(LOG((K53/E53),1+F53),"")</f>
        <v/>
      </c>
      <c r="I53" s="70"/>
      <c r="J53" s="63">
        <f>VLOOKUP(C53,Country_Data!C:K,9,FALSE)</f>
        <v>4270571</v>
      </c>
      <c r="K53" s="62">
        <f>(J53/100000)*I53</f>
        <v>0</v>
      </c>
      <c r="M53" s="61">
        <f t="array" ref="M53">IF(OR(C53=$O$4:$O$22),1,0)</f>
        <v>0</v>
      </c>
    </row>
    <row r="54" spans="2:13" s="61" customFormat="1" ht="13.8" customHeight="1" x14ac:dyDescent="0.3">
      <c r="B54" s="68">
        <f t="shared" si="1"/>
        <v>51</v>
      </c>
      <c r="C54" s="64" t="s">
        <v>73</v>
      </c>
      <c r="D54" s="63">
        <f>VLOOKUP(C54,Country_Data!B:F,5,FALSE)</f>
        <v>305</v>
      </c>
      <c r="E54" s="63">
        <f>D54*Projections_Data!$C$15</f>
        <v>35.213143872113676</v>
      </c>
      <c r="F54" s="74">
        <f>IFERROR(VLOOKUP(C54,Days_Since_100!C:G,5,FALSE)-1,0)</f>
        <v>7.3438612563242023E-2</v>
      </c>
      <c r="H54" s="71" t="str">
        <f>IFERROR(LOG((K54/E54),1+F54),"")</f>
        <v/>
      </c>
      <c r="I54" s="70"/>
      <c r="J54" s="63">
        <f>VLOOKUP(C54,Country_Data!C:K,9,FALSE)</f>
        <v>1701575</v>
      </c>
      <c r="K54" s="62">
        <f>(J54/100000)*I54</f>
        <v>0</v>
      </c>
      <c r="M54" s="61">
        <f t="array" ref="M54">IF(OR(C54=$O$4:$O$22),1,0)</f>
        <v>0</v>
      </c>
    </row>
    <row r="55" spans="2:13" s="61" customFormat="1" ht="13.8" customHeight="1" x14ac:dyDescent="0.3">
      <c r="B55" s="68">
        <f t="shared" si="1"/>
        <v>52</v>
      </c>
      <c r="C55" s="64" t="s">
        <v>338</v>
      </c>
      <c r="D55" s="63">
        <f>VLOOKUP(C55,Country_Data!B:F,5,FALSE)</f>
        <v>20610</v>
      </c>
      <c r="E55" s="63">
        <f>D55*Projections_Data!$C$15</f>
        <v>2379.4849023090587</v>
      </c>
      <c r="F55" s="74">
        <f>IFERROR(VLOOKUP(C55,Days_Since_100!C:G,5,FALSE)-1,0)</f>
        <v>6.57356104592135E-2</v>
      </c>
      <c r="H55" s="71" t="str">
        <f>IFERROR(LOG((K55/E55),1+F55),"")</f>
        <v/>
      </c>
      <c r="I55" s="70"/>
      <c r="J55" s="63">
        <f>VLOOKUP(C55,Country_Data!C:K,9,FALSE)</f>
        <v>83992949</v>
      </c>
      <c r="K55" s="62">
        <f>(J55/100000)*I55</f>
        <v>0</v>
      </c>
      <c r="M55" s="61">
        <f t="array" ref="M55">IF(OR(C55=$O$4:$O$22),1,0)</f>
        <v>0</v>
      </c>
    </row>
    <row r="56" spans="2:13" s="61" customFormat="1" ht="13.8" customHeight="1" x14ac:dyDescent="0.3">
      <c r="B56" s="68">
        <f t="shared" si="1"/>
        <v>53</v>
      </c>
      <c r="C56" s="64" t="s">
        <v>90</v>
      </c>
      <c r="D56" s="63">
        <f>VLOOKUP(C56,Country_Data!B:F,5,FALSE)</f>
        <v>144</v>
      </c>
      <c r="E56" s="63">
        <f>D56*Projections_Data!$C$15</f>
        <v>16.625222024866783</v>
      </c>
      <c r="F56" s="74">
        <f>IFERROR(VLOOKUP(C56,Days_Since_100!C:G,5,FALSE)-1,0)</f>
        <v>5.7273139331287082E-2</v>
      </c>
      <c r="H56" s="71" t="str">
        <f>IFERROR(LOG((K56/E56),1+F56),"")</f>
        <v/>
      </c>
      <c r="I56" s="70"/>
      <c r="J56" s="63">
        <f>VLOOKUP(C56,Country_Data!C:K,9,FALSE)</f>
        <v>33931</v>
      </c>
      <c r="K56" s="62">
        <f>(J56/100000)*I56</f>
        <v>0</v>
      </c>
      <c r="M56" s="61">
        <f t="array" ref="M56">IF(OR(C56=$O$4:$O$22),1,0)</f>
        <v>0</v>
      </c>
    </row>
    <row r="57" spans="2:13" s="61" customFormat="1" ht="13.8" customHeight="1" x14ac:dyDescent="0.3">
      <c r="B57" s="68">
        <f t="shared" si="1"/>
        <v>54</v>
      </c>
      <c r="C57" s="64" t="s">
        <v>36</v>
      </c>
      <c r="D57" s="63">
        <f>VLOOKUP(C57,Country_Data!B:F,5,FALSE)</f>
        <v>1007</v>
      </c>
      <c r="E57" s="63">
        <f>D57*Projections_Data!$C$15</f>
        <v>116.26110124333925</v>
      </c>
      <c r="F57" s="74">
        <f>IFERROR(VLOOKUP(C57,Days_Since_100!C:G,5,FALSE)-1,0)</f>
        <v>4.0674958577313625E-2</v>
      </c>
      <c r="H57" s="71">
        <f>IFERROR(LOG((K57/E57),1+F57),"")</f>
        <v>109.72490195214537</v>
      </c>
      <c r="I57" s="70">
        <v>7.3</v>
      </c>
      <c r="J57" s="63">
        <f>VLOOKUP(C57,Country_Data!C:K,9,FALSE)</f>
        <v>126476461</v>
      </c>
      <c r="K57" s="62">
        <f>(J57/100000)*I57</f>
        <v>9232.781653</v>
      </c>
      <c r="M57" s="61">
        <f t="array" ref="M57">IF(OR(C57=$O$4:$O$22),1,0)</f>
        <v>0</v>
      </c>
    </row>
    <row r="58" spans="2:13" s="61" customFormat="1" ht="13.8" customHeight="1" x14ac:dyDescent="0.3">
      <c r="B58" s="68">
        <f t="shared" si="1"/>
        <v>55</v>
      </c>
      <c r="C58" s="64" t="s">
        <v>101</v>
      </c>
      <c r="D58" s="63">
        <f>VLOOKUP(C58,Country_Data!B:F,5,FALSE)</f>
        <v>481</v>
      </c>
      <c r="E58" s="63">
        <f>D58*Projections_Data!$C$15</f>
        <v>55.53285968028419</v>
      </c>
      <c r="F58" s="74">
        <f>IFERROR(VLOOKUP(C58,Days_Since_100!C:G,5,FALSE)-1,0)</f>
        <v>1.8441554770704194E-2</v>
      </c>
      <c r="H58" s="71" t="str">
        <f>IFERROR(LOG((K58/E58),1+F58),"")</f>
        <v/>
      </c>
      <c r="I58" s="70"/>
      <c r="J58" s="63">
        <f>VLOOKUP(C58,Country_Data!C:K,9,FALSE)</f>
        <v>2881053</v>
      </c>
      <c r="K58" s="62">
        <f>(J58/100000)*I58</f>
        <v>0</v>
      </c>
      <c r="M58" s="61">
        <f t="array" ref="M58">IF(OR(C58=$O$4:$O$22),1,0)</f>
        <v>0</v>
      </c>
    </row>
    <row r="59" spans="2:13" s="61" customFormat="1" ht="13.8" customHeight="1" x14ac:dyDescent="0.3">
      <c r="B59" s="68">
        <f t="shared" si="1"/>
        <v>56</v>
      </c>
      <c r="C59" s="64" t="s">
        <v>340</v>
      </c>
      <c r="D59" s="63">
        <f>VLOOKUP(C59,Country_Data!B:F,5,FALSE)</f>
        <v>712</v>
      </c>
      <c r="E59" s="63">
        <f>D59*Projections_Data!$C$15</f>
        <v>82.202486678507995</v>
      </c>
      <c r="F59" s="74">
        <f>IFERROR(VLOOKUP(C59,Days_Since_100!C:G,5,FALSE)-1,0)</f>
        <v>4.5559973556712485E-3</v>
      </c>
      <c r="H59" s="71" t="str">
        <f>IFERROR(LOG((K59/E59),1+F59),"")</f>
        <v/>
      </c>
      <c r="I59" s="70"/>
      <c r="J59" s="63" t="e">
        <f>VLOOKUP(C59,Country_Data!C:K,9,FALSE)</f>
        <v>#N/A</v>
      </c>
      <c r="K59" s="62" t="e">
        <f>(J59/100000)*I59</f>
        <v>#N/A</v>
      </c>
      <c r="M59" s="61">
        <f t="array" ref="M59">IF(OR(C59=$O$4:$O$22),1,0)</f>
        <v>0</v>
      </c>
    </row>
    <row r="60" spans="2:13" ht="13.2" customHeight="1" x14ac:dyDescent="0.2">
      <c r="B60" s="68">
        <f t="shared" ref="B60:B66" si="2">B59+1</f>
        <v>57</v>
      </c>
      <c r="C60" s="64" t="s">
        <v>337</v>
      </c>
      <c r="D60" s="63">
        <f>VLOOKUP(C60,Country_Data!B:F,5,FALSE)</f>
        <v>81305</v>
      </c>
      <c r="E60" s="63">
        <f>D60*Projections_Data!$C$15</f>
        <v>9386.9005328596795</v>
      </c>
      <c r="F60" s="74">
        <f>IFERROR(VLOOKUP(C60,Days_Since_100!C:G,5,FALSE)-1,0)</f>
        <v>6.7043187219040234E-4</v>
      </c>
      <c r="G60" s="61"/>
      <c r="H60" s="71">
        <f>IFERROR(LOG((K60/E60),1+F60),"")</f>
        <v>2549.0282710143829</v>
      </c>
      <c r="I60" s="70">
        <v>3.6</v>
      </c>
      <c r="J60" s="63">
        <f>VLOOKUP(C60,Country_Data!C:K,9,FALSE)</f>
        <v>1439323776</v>
      </c>
      <c r="K60" s="62">
        <f>(J60/100000)*I60</f>
        <v>51815.655936000003</v>
      </c>
      <c r="M60" s="61">
        <f t="array" ref="M60">IF(OR(C60=$O$4:$O$22),1,0)</f>
        <v>0</v>
      </c>
    </row>
    <row r="61" spans="2:13" ht="13.2" customHeight="1" x14ac:dyDescent="0.2">
      <c r="B61" s="68">
        <f t="shared" si="2"/>
        <v>58</v>
      </c>
      <c r="C61" s="64" t="s">
        <v>481</v>
      </c>
      <c r="D61" s="63">
        <f>VLOOKUP(C61,Country_Data!B:F,5,FALSE)</f>
        <v>995</v>
      </c>
      <c r="E61" s="63">
        <f>D61*Projections_Data!$C$15</f>
        <v>114.87566607460035</v>
      </c>
      <c r="F61" s="74">
        <f>IFERROR(VLOOKUP(C61,Days_Since_100!C:G,5,FALSE)-1,0)</f>
        <v>0</v>
      </c>
      <c r="G61" s="61"/>
      <c r="H61" s="71" t="str">
        <f>IFERROR(LOG((K61/E61),1+F61),"")</f>
        <v/>
      </c>
      <c r="I61" s="70">
        <v>11.6</v>
      </c>
      <c r="J61" s="63" t="e">
        <f>VLOOKUP(C61,Country_Data!C:K,9,FALSE)</f>
        <v>#N/A</v>
      </c>
      <c r="K61" s="62" t="e">
        <f>(J61/100000)*I61</f>
        <v>#N/A</v>
      </c>
      <c r="M61" s="61">
        <f t="array" ref="M61">IF(OR(C61=$O$4:$O$22),1,0)</f>
        <v>0</v>
      </c>
    </row>
    <row r="62" spans="2:13" ht="13.2" customHeight="1" x14ac:dyDescent="0.2">
      <c r="B62" s="68">
        <f t="shared" si="2"/>
        <v>59</v>
      </c>
      <c r="C62" s="64" t="s">
        <v>478</v>
      </c>
      <c r="D62" s="63">
        <f>VLOOKUP(C62,Country_Data!B:F,5,FALSE)</f>
        <v>8799</v>
      </c>
      <c r="E62" s="63">
        <f>D62*Projections_Data!$C$15</f>
        <v>1015.8703374777975</v>
      </c>
      <c r="F62" s="74">
        <f>IFERROR(VLOOKUP(C62,Days_Since_100!C:G,5,FALSE)-1,0)</f>
        <v>0</v>
      </c>
      <c r="G62" s="61"/>
      <c r="H62" s="71" t="str">
        <f>IFERROR(LOG((K62/E62),1+F62),"")</f>
        <v/>
      </c>
      <c r="I62" s="70">
        <v>10.6</v>
      </c>
      <c r="J62" s="63" t="e">
        <f>VLOOKUP(C62,Country_Data!C:K,9,FALSE)</f>
        <v>#N/A</v>
      </c>
      <c r="K62" s="62">
        <v>1500</v>
      </c>
      <c r="M62" s="61">
        <f t="array" ref="M62">IF(OR(C62=$O$4:$O$22),1,0)</f>
        <v>0</v>
      </c>
    </row>
    <row r="63" spans="2:13" ht="13.2" customHeight="1" x14ac:dyDescent="0.2">
      <c r="B63" s="68">
        <f t="shared" si="2"/>
        <v>60</v>
      </c>
      <c r="C63" s="64" t="s">
        <v>231</v>
      </c>
      <c r="D63" s="63">
        <f>VLOOKUP(C63,Country_Data!B:F,5,FALSE)</f>
        <v>84</v>
      </c>
      <c r="E63" s="63">
        <f>D63*Projections_Data!$C$15</f>
        <v>9.6980461811722911</v>
      </c>
      <c r="F63" s="74">
        <f>IFERROR(VLOOKUP(C63,Days_Since_100!C:G,5,FALSE)-1,0)</f>
        <v>0</v>
      </c>
      <c r="H63" s="71" t="str">
        <f>IFERROR(LOG((K63/E63),1+F63),"")</f>
        <v/>
      </c>
      <c r="I63" s="70">
        <v>11.4</v>
      </c>
      <c r="J63" s="63">
        <f>VLOOKUP(C63,Country_Data!C:K,9,FALSE)</f>
        <v>1207359</v>
      </c>
      <c r="K63" s="62"/>
      <c r="M63" s="61">
        <f t="array" ref="M63">IF(OR(C63=$O$4:$O$22),1,0)</f>
        <v>0</v>
      </c>
    </row>
    <row r="64" spans="2:13" ht="13.2" customHeight="1" x14ac:dyDescent="0.2">
      <c r="B64" s="68">
        <f t="shared" si="2"/>
        <v>61</v>
      </c>
      <c r="C64" s="64" t="s">
        <v>76</v>
      </c>
      <c r="D64" s="63"/>
      <c r="E64" s="63"/>
      <c r="F64" s="69"/>
      <c r="H64" s="71" t="str">
        <f>IFERROR(LOG((K64/E64),1+F64),"")</f>
        <v/>
      </c>
      <c r="I64" s="70">
        <v>14.7</v>
      </c>
      <c r="J64" s="63">
        <f>VLOOKUP(C64,Country_Data!C:K,9,FALSE)</f>
        <v>4105267</v>
      </c>
      <c r="K64" s="62"/>
      <c r="M64" s="61">
        <f t="array" ref="M64">IF(OR(C64=$O$4:$O$22),1,0)</f>
        <v>0</v>
      </c>
    </row>
    <row r="65" spans="2:13" ht="13.2" customHeight="1" x14ac:dyDescent="0.2">
      <c r="B65" s="68">
        <f t="shared" si="2"/>
        <v>62</v>
      </c>
      <c r="C65" s="64" t="s">
        <v>132</v>
      </c>
      <c r="D65" s="63"/>
      <c r="E65" s="63"/>
      <c r="F65" s="69"/>
      <c r="H65" s="71" t="str">
        <f>IFERROR(LOG((K65/E65),1+F65),"")</f>
        <v/>
      </c>
      <c r="I65" s="70">
        <v>13.8</v>
      </c>
      <c r="J65" s="63">
        <f>VLOOKUP(C65,Country_Data!C:K,9,FALSE)</f>
        <v>9660351</v>
      </c>
      <c r="K65" s="62"/>
      <c r="M65" s="61">
        <f t="array" ref="M65">IF(OR(C65=$O$4:$O$22),1,0)</f>
        <v>0</v>
      </c>
    </row>
    <row r="66" spans="2:13" ht="13.2" customHeight="1" x14ac:dyDescent="0.2">
      <c r="B66" s="68">
        <f t="shared" si="2"/>
        <v>63</v>
      </c>
      <c r="C66" s="64" t="s">
        <v>93</v>
      </c>
      <c r="D66" s="63"/>
      <c r="E66" s="63"/>
      <c r="F66" s="69"/>
      <c r="H66" s="71" t="str">
        <f>IFERROR(LOG((K66/E66),1+F66),"")</f>
        <v/>
      </c>
      <c r="I66" s="70">
        <v>15.5</v>
      </c>
      <c r="J66" s="63">
        <f>VLOOKUP(C66,Country_Data!C:K,9,FALSE)</f>
        <v>2722289</v>
      </c>
      <c r="K66" s="62"/>
      <c r="M66" s="61">
        <f t="array" ref="M66">IF(OR(C66=$O$4:$O$22),1,0)</f>
        <v>0</v>
      </c>
    </row>
    <row r="67" spans="2:13" ht="13.2" customHeight="1" x14ac:dyDescent="0.2">
      <c r="J67" s="63"/>
    </row>
  </sheetData>
  <mergeCells count="1">
    <mergeCell ref="B2:F2"/>
  </mergeCells>
  <conditionalFormatting sqref="B4:F66">
    <cfRule type="expression" dxfId="2" priority="3">
      <formula>ISEVEN(ROW())</formula>
    </cfRule>
  </conditionalFormatting>
  <conditionalFormatting sqref="K38:K66 J38:J67 H4:K37 H38:I66">
    <cfRule type="expression" dxfId="1" priority="2">
      <formula>ISEVEN(ROW())</formula>
    </cfRule>
  </conditionalFormatting>
  <conditionalFormatting sqref="B4:F66">
    <cfRule type="expression" dxfId="0" priority="1">
      <formula>$M4=1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R19" sqref="R19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426</v>
      </c>
      <c r="S4" s="5">
        <v>0</v>
      </c>
    </row>
    <row r="5" spans="12:19" x14ac:dyDescent="0.3">
      <c r="R5" t="s">
        <v>427</v>
      </c>
      <c r="S5" s="5">
        <v>50000</v>
      </c>
    </row>
    <row r="6" spans="12:19" x14ac:dyDescent="0.3">
      <c r="L6" s="5"/>
    </row>
    <row r="7" spans="12:19" x14ac:dyDescent="0.3">
      <c r="R7" t="s">
        <v>428</v>
      </c>
      <c r="S7" s="5">
        <v>1</v>
      </c>
    </row>
    <row r="8" spans="12:19" x14ac:dyDescent="0.3">
      <c r="R8" t="s">
        <v>429</v>
      </c>
      <c r="S8" s="5">
        <v>30</v>
      </c>
    </row>
    <row r="10" spans="12:19" x14ac:dyDescent="0.3">
      <c r="R10">
        <v>1</v>
      </c>
      <c r="S10" t="s">
        <v>349</v>
      </c>
    </row>
    <row r="11" spans="12:19" x14ac:dyDescent="0.3">
      <c r="R11">
        <v>2</v>
      </c>
      <c r="S11" t="s">
        <v>38</v>
      </c>
    </row>
    <row r="12" spans="12:19" x14ac:dyDescent="0.3">
      <c r="R12">
        <v>3</v>
      </c>
      <c r="S12" s="17" t="s">
        <v>58</v>
      </c>
    </row>
    <row r="13" spans="12:19" x14ac:dyDescent="0.3">
      <c r="R13">
        <v>4</v>
      </c>
      <c r="S13" s="17" t="s">
        <v>337</v>
      </c>
    </row>
    <row r="14" spans="12:19" x14ac:dyDescent="0.3">
      <c r="R14">
        <v>5</v>
      </c>
      <c r="S14" s="17" t="s">
        <v>41</v>
      </c>
    </row>
    <row r="15" spans="12:19" x14ac:dyDescent="0.3">
      <c r="R15">
        <v>6</v>
      </c>
      <c r="S15" s="17" t="s">
        <v>53</v>
      </c>
    </row>
    <row r="16" spans="12:19" x14ac:dyDescent="0.3">
      <c r="R16">
        <v>7</v>
      </c>
      <c r="S16" s="17"/>
    </row>
    <row r="17" spans="18:19" x14ac:dyDescent="0.3">
      <c r="R17">
        <v>8</v>
      </c>
      <c r="S17" s="17" t="s">
        <v>339</v>
      </c>
    </row>
    <row r="18" spans="18:19" x14ac:dyDescent="0.3">
      <c r="R18">
        <v>9</v>
      </c>
      <c r="S18" s="17" t="s">
        <v>36</v>
      </c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H4" activePane="bottomRight" state="frozen"/>
      <selection pane="topRight" activeCell="G1" sqref="G1"/>
      <selection pane="bottomLeft" activeCell="A4" sqref="A4"/>
      <selection pane="bottomRight" activeCell="M26" sqref="M26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43911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5067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456</v>
      </c>
      <c r="C5" s="21">
        <f>COUNTIF(G5:BL5,"&gt;"&amp;0)</f>
        <v>17</v>
      </c>
      <c r="F5" s="19" t="s">
        <v>510</v>
      </c>
      <c r="G5" s="21">
        <f>IF(VLOOKUP($B$2,Days_Since_100_active!$H:$KU,Projections_Data!G$4+2,FALSE)=0,#N/A,VLOOKUP($B$2,Days_Since_100_active!$H:$KU,Projections_Data!G$4+2,FALSE))</f>
        <v>107</v>
      </c>
      <c r="H5" s="21">
        <f>IF(VLOOKUP($B$2,Days_Since_100_active!$H:$KU,Projections_Data!H$4+2,FALSE)=0,#N/A,VLOOKUP($B$2,Days_Since_100_active!$H:$KU,Projections_Data!H$4+2,FALSE))</f>
        <v>154</v>
      </c>
      <c r="I5" s="21">
        <f>IF(VLOOKUP($B$2,Days_Since_100_active!$H:$KU,Projections_Data!I$4+2,FALSE)=0,#N/A,VLOOKUP($B$2,Days_Since_100_active!$H:$KU,Projections_Data!I$4+2,FALSE))</f>
        <v>187</v>
      </c>
      <c r="J5" s="21">
        <f>IF(VLOOKUP($B$2,Days_Since_100_active!$H:$KU,Projections_Data!J$4+2,FALSE)=0,#N/A,VLOOKUP($B$2,Days_Since_100_active!$H:$KU,Projections_Data!J$4+2,FALSE))</f>
        <v>253</v>
      </c>
      <c r="K5" s="21">
        <f>IF(VLOOKUP($B$2,Days_Since_100_active!$H:$KU,Projections_Data!K$4+2,FALSE)=0,#N/A,VLOOKUP($B$2,Days_Since_100_active!$H:$KU,Projections_Data!K$4+2,FALSE))</f>
        <v>300</v>
      </c>
      <c r="L5" s="21">
        <f>IF(VLOOKUP($B$2,Days_Since_100_active!$H:$KU,Projections_Data!L$4+2,FALSE)=0,#N/A,VLOOKUP($B$2,Days_Since_100_active!$H:$KU,Projections_Data!L$4+2,FALSE))</f>
        <v>359</v>
      </c>
      <c r="M5" s="21">
        <f>IF(VLOOKUP($B$2,Days_Since_100_active!$H:$KU,Projections_Data!M$4+2,FALSE)=0,#N/A,VLOOKUP($B$2,Days_Since_100_active!$H:$KU,Projections_Data!M$4+2,FALSE))</f>
        <v>432</v>
      </c>
      <c r="N5" s="21">
        <f>IF(VLOOKUP($B$2,Days_Since_100_active!$H:$KU,Projections_Data!N$4+2,FALSE)=0,#N/A,VLOOKUP($B$2,Days_Since_100_active!$H:$KU,Projections_Data!N$4+2,FALSE))</f>
        <v>563</v>
      </c>
      <c r="O5" s="21">
        <f>IF(VLOOKUP($B$2,Days_Since_100_active!$H:$KU,Projections_Data!O$4+2,FALSE)=0,#N/A,VLOOKUP($B$2,Days_Since_100_active!$H:$KU,Projections_Data!O$4+2,FALSE))</f>
        <v>775</v>
      </c>
      <c r="P5" s="21">
        <f>IF(VLOOKUP($B$2,Days_Since_100_active!$H:$KU,Projections_Data!P$4+2,FALSE)=0,#N/A,VLOOKUP($B$2,Days_Since_100_active!$H:$KU,Projections_Data!P$4+2,FALSE))</f>
        <v>1104</v>
      </c>
      <c r="Q5" s="21">
        <f>IF(VLOOKUP($B$2,Days_Since_100_active!$H:$KU,Projections_Data!Q$4+2,FALSE)=0,#N/A,VLOOKUP($B$2,Days_Since_100_active!$H:$KU,Projections_Data!Q$4+2,FALSE))</f>
        <v>1315</v>
      </c>
      <c r="R5" s="21">
        <f>IF(VLOOKUP($B$2,Days_Since_100_active!$H:$KU,Projections_Data!R$4+2,FALSE)=0,#N/A,VLOOKUP($B$2,Days_Since_100_active!$H:$KU,Projections_Data!R$4+2,FALSE))</f>
        <v>1474</v>
      </c>
      <c r="S5" s="21">
        <f>IF(VLOOKUP($B$2,Days_Since_100_active!$H:$KU,Projections_Data!S$4+2,FALSE)=0,#N/A,VLOOKUP($B$2,Days_Since_100_active!$H:$KU,Projections_Data!S$4+2,FALSE))</f>
        <v>1851</v>
      </c>
      <c r="T5" s="21">
        <f>IF(VLOOKUP($B$2,Days_Since_100_active!$H:$KU,Projections_Data!T$4+2,FALSE)=0,#N/A,VLOOKUP($B$2,Days_Since_100_active!$H:$KU,Projections_Data!T$4+2,FALSE))</f>
        <v>2503</v>
      </c>
      <c r="U5" s="21">
        <f>IF(VLOOKUP($B$2,Days_Since_100_active!$H:$KU,Projections_Data!U$4+2,FALSE)=0,#N/A,VLOOKUP($B$2,Days_Since_100_active!$H:$KU,Projections_Data!U$4+2,FALSE))</f>
        <v>3100</v>
      </c>
      <c r="V5" s="21">
        <f>IF(VLOOKUP($B$2,Days_Since_100_active!$H:$KU,Projections_Data!V$4+2,FALSE)=0,#N/A,VLOOKUP($B$2,Days_Since_100_active!$H:$KU,Projections_Data!V$4+2,FALSE))</f>
        <v>3769</v>
      </c>
      <c r="W5" s="21">
        <f>IF(VLOOKUP($B$2,Days_Since_100_active!$H:$KU,Projections_Data!W$4+2,FALSE)=0,#N/A,VLOOKUP($B$2,Days_Since_100_active!$H:$KU,Projections_Data!W$4+2,FALSE))</f>
        <v>4766</v>
      </c>
      <c r="X5" s="21" t="e">
        <f>IF(VLOOKUP($B$2,Days_Since_100_active!$H:$KU,Projections_Data!X$4+2,FALSE)=0,#N/A,VLOOKUP($B$2,Days_Since_100_active!$H:$KU,Projections_Data!X$4+2,FALSE))</f>
        <v>#N/A</v>
      </c>
      <c r="Y5" s="21" t="e">
        <f>IF(VLOOKUP($B$2,Days_Since_100_active!$H:$KU,Projections_Data!Y$4+2,FALSE)=0,#N/A,VLOOKUP($B$2,Days_Since_100_active!$H:$KU,Projections_Data!Y$4+2,FALSE))</f>
        <v>#N/A</v>
      </c>
      <c r="Z5" s="21" t="e">
        <f>IF(VLOOKUP($B$2,Days_Since_100_active!$H:$KU,Projections_Data!Z$4+2,FALSE)=0,#N/A,VLOOKUP($B$2,Days_Since_100_active!$H:$KU,Projections_Data!Z$4+2,FALSE))</f>
        <v>#N/A</v>
      </c>
      <c r="AA5" s="21" t="e">
        <f>IF(VLOOKUP($B$2,Days_Since_100_active!$H:$KU,Projections_Data!AA$4+2,FALSE)=0,#N/A,VLOOKUP($B$2,Days_Since_100_active!$H:$KU,Projections_Data!AA$4+2,FALSE))</f>
        <v>#N/A</v>
      </c>
      <c r="AB5" s="21" t="e">
        <f>IF(VLOOKUP($B$2,Days_Since_100_active!$H:$KU,Projections_Data!AB$4+2,FALSE)=0,#N/A,VLOOKUP($B$2,Days_Since_100_active!$H:$KU,Projections_Data!AB$4+2,FALSE))</f>
        <v>#N/A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510</v>
      </c>
      <c r="C6" s="21">
        <f>C4-C7-C8</f>
        <v>4766</v>
      </c>
      <c r="D6" s="19">
        <f>HLOOKUP(C5-1,G4:IN7,4,FALSE)</f>
        <v>0</v>
      </c>
      <c r="F6" s="19" t="str">
        <f>"Current Avg ("&amp;TEXT(C11,"0%")&amp;")"</f>
        <v>Current Avg (26%)</v>
      </c>
      <c r="G6" s="21">
        <f>IF(IF(AND(ISNA(G$5),ISNA(F$5)),F6*(1+$C$11),IF(AND(F$5&gt;0,ISNA(G$5)),F6*(1+$C$11),G$5))&gt;$C$21,$C$21,IF(AND(ISNA(G$5),ISNA(F$5)),F6*(1+$C$11),IF(AND(F$5&gt;0,ISNA(G$5)),F6*(1+$C$11),G$5)))</f>
        <v>107</v>
      </c>
      <c r="H6" s="21">
        <f t="shared" ref="H6:BS6" si="11">IF(IF(AND(ISNA(H$5),ISNA(G$5)),G6*(1+$C$11),IF(AND(G$5&gt;0,ISNA(H$5)),G6*(1+$C$11),H$5))&gt;$C$21,$C$21,IF(AND(ISNA(H$5),ISNA(G$5)),G6*(1+$C$11),IF(AND(G$5&gt;0,ISNA(H$5)),G6*(1+$C$11),H$5)))</f>
        <v>154</v>
      </c>
      <c r="I6" s="21">
        <f t="shared" si="11"/>
        <v>187</v>
      </c>
      <c r="J6" s="21">
        <f t="shared" si="11"/>
        <v>253</v>
      </c>
      <c r="K6" s="21">
        <f t="shared" si="11"/>
        <v>300</v>
      </c>
      <c r="L6" s="21">
        <f t="shared" si="11"/>
        <v>359</v>
      </c>
      <c r="M6" s="21">
        <f t="shared" si="11"/>
        <v>432</v>
      </c>
      <c r="N6" s="21">
        <f t="shared" si="11"/>
        <v>563</v>
      </c>
      <c r="O6" s="21">
        <f t="shared" si="11"/>
        <v>775</v>
      </c>
      <c r="P6" s="21">
        <f t="shared" si="11"/>
        <v>1104</v>
      </c>
      <c r="Q6" s="21">
        <f t="shared" si="11"/>
        <v>1315</v>
      </c>
      <c r="R6" s="21">
        <f t="shared" si="11"/>
        <v>1474</v>
      </c>
      <c r="S6" s="21">
        <f t="shared" si="11"/>
        <v>1851</v>
      </c>
      <c r="T6" s="21">
        <f t="shared" si="11"/>
        <v>2503</v>
      </c>
      <c r="U6" s="21">
        <f t="shared" si="11"/>
        <v>3100</v>
      </c>
      <c r="V6" s="21">
        <f t="shared" si="11"/>
        <v>3769</v>
      </c>
      <c r="W6" s="21">
        <f t="shared" si="11"/>
        <v>4766</v>
      </c>
      <c r="X6" s="21">
        <f t="shared" si="11"/>
        <v>6026.7801460264327</v>
      </c>
      <c r="Y6" s="21">
        <f t="shared" si="11"/>
        <v>7621.0824440911438</v>
      </c>
      <c r="Z6" s="21">
        <f t="shared" si="11"/>
        <v>9637.1356200753489</v>
      </c>
      <c r="AA6" s="21">
        <f t="shared" si="11"/>
        <v>12186.50810315448</v>
      </c>
      <c r="AB6" s="21">
        <f t="shared" si="11"/>
        <v>15410.282225237444</v>
      </c>
      <c r="AC6" s="21">
        <f t="shared" si="11"/>
        <v>19486.861720462668</v>
      </c>
      <c r="AD6" s="21">
        <f t="shared" si="11"/>
        <v>24641.844591952769</v>
      </c>
      <c r="AE6" s="21">
        <f t="shared" si="11"/>
        <v>31160.507710501424</v>
      </c>
      <c r="AF6" s="21">
        <f t="shared" si="11"/>
        <v>39403.594043171121</v>
      </c>
      <c r="AG6" s="21">
        <f t="shared" si="11"/>
        <v>49827.276177395957</v>
      </c>
      <c r="AH6" s="21">
        <f t="shared" si="11"/>
        <v>63008.400922472894</v>
      </c>
      <c r="AI6" s="21">
        <f t="shared" si="11"/>
        <v>79676.412025269252</v>
      </c>
      <c r="AJ6" s="21">
        <f t="shared" si="11"/>
        <v>100753.71760396863</v>
      </c>
      <c r="AK6" s="21">
        <f t="shared" si="11"/>
        <v>127406.7362345682</v>
      </c>
      <c r="AL6" s="21">
        <f t="shared" si="11"/>
        <v>161110.44658172937</v>
      </c>
      <c r="AM6" s="21">
        <f t="shared" si="11"/>
        <v>203730.01275203918</v>
      </c>
      <c r="AN6" s="21">
        <f t="shared" si="11"/>
        <v>257624.00251861138</v>
      </c>
      <c r="AO6" s="21">
        <f t="shared" si="11"/>
        <v>325774.91051595274</v>
      </c>
      <c r="AP6" s="21">
        <f t="shared" si="11"/>
        <v>411954.20956170413</v>
      </c>
      <c r="AQ6" s="21">
        <f t="shared" si="11"/>
        <v>520931.0640492008</v>
      </c>
      <c r="AR6" s="21">
        <f t="shared" si="11"/>
        <v>658736.25561480224</v>
      </c>
      <c r="AS6" s="21">
        <f t="shared" si="11"/>
        <v>832995.92673249764</v>
      </c>
      <c r="AT6" s="21">
        <f t="shared" si="11"/>
        <v>1053353.6116139963</v>
      </c>
      <c r="AU6" s="21">
        <f t="shared" si="11"/>
        <v>1332003.909614031</v>
      </c>
      <c r="AV6" s="21">
        <f t="shared" si="11"/>
        <v>1684367.3346394103</v>
      </c>
      <c r="AW6" s="21">
        <f t="shared" si="11"/>
        <v>2129943.6867436548</v>
      </c>
      <c r="AX6" s="21">
        <f t="shared" si="11"/>
        <v>2693391.1715109111</v>
      </c>
      <c r="AY6" s="21">
        <f t="shared" si="11"/>
        <v>3405890.9857206955</v>
      </c>
      <c r="AZ6" s="21">
        <f t="shared" si="11"/>
        <v>4306872.8854955696</v>
      </c>
      <c r="BA6" s="21">
        <f t="shared" si="11"/>
        <v>5446197.2299127728</v>
      </c>
      <c r="BB6" s="21">
        <f t="shared" si="11"/>
        <v>6886914.2544235112</v>
      </c>
      <c r="BC6" s="21">
        <f t="shared" si="11"/>
        <v>8708753.2723344639</v>
      </c>
      <c r="BD6" s="21">
        <f t="shared" si="11"/>
        <v>11012534.896841813</v>
      </c>
      <c r="BE6" s="21">
        <f t="shared" si="11"/>
        <v>13925750.456086759</v>
      </c>
      <c r="BF6" s="21">
        <f t="shared" si="11"/>
        <v>17609617.366190143</v>
      </c>
      <c r="BG6" s="21">
        <f t="shared" si="11"/>
        <v>22268000.906772353</v>
      </c>
      <c r="BH6" s="21">
        <f t="shared" si="11"/>
        <v>27154404.400000002</v>
      </c>
      <c r="BI6" s="21">
        <f t="shared" si="11"/>
        <v>27154404.400000002</v>
      </c>
      <c r="BJ6" s="21">
        <f t="shared" si="11"/>
        <v>27154404.400000002</v>
      </c>
      <c r="BK6" s="21">
        <f t="shared" si="11"/>
        <v>27154404.400000002</v>
      </c>
      <c r="BL6" s="21">
        <f t="shared" si="11"/>
        <v>27154404.400000002</v>
      </c>
      <c r="BM6" s="21">
        <f t="shared" si="11"/>
        <v>27154404.400000002</v>
      </c>
      <c r="BN6" s="21">
        <f t="shared" si="11"/>
        <v>27154404.400000002</v>
      </c>
      <c r="BO6" s="21">
        <f t="shared" si="11"/>
        <v>27154404.400000002</v>
      </c>
      <c r="BP6" s="21">
        <f t="shared" si="11"/>
        <v>27154404.400000002</v>
      </c>
      <c r="BQ6" s="21">
        <f t="shared" si="11"/>
        <v>27154404.400000002</v>
      </c>
      <c r="BR6" s="21">
        <f t="shared" si="11"/>
        <v>27154404.400000002</v>
      </c>
      <c r="BS6" s="21">
        <f t="shared" si="11"/>
        <v>27154404.400000002</v>
      </c>
      <c r="BT6" s="21">
        <f t="shared" ref="BT6:EE6" si="12">IF(IF(AND(ISNA(BT$5),ISNA(BS$5)),BS6*(1+$C$11),IF(AND(BS$5&gt;0,ISNA(BT$5)),BS6*(1+$C$11),BT$5))&gt;$C$21,$C$21,IF(AND(ISNA(BT$5),ISNA(BS$5)),BS6*(1+$C$11),IF(AND(BS$5&gt;0,ISNA(BT$5)),BS6*(1+$C$11),BT$5)))</f>
        <v>27154404.400000002</v>
      </c>
      <c r="BU6" s="21">
        <f t="shared" si="12"/>
        <v>27154404.400000002</v>
      </c>
      <c r="BV6" s="21">
        <f t="shared" si="12"/>
        <v>27154404.400000002</v>
      </c>
      <c r="BW6" s="21">
        <f t="shared" si="12"/>
        <v>27154404.400000002</v>
      </c>
      <c r="BX6" s="21">
        <f t="shared" si="12"/>
        <v>27154404.400000002</v>
      </c>
      <c r="BY6" s="21">
        <f t="shared" si="12"/>
        <v>27154404.400000002</v>
      </c>
      <c r="BZ6" s="21">
        <f t="shared" si="12"/>
        <v>27154404.400000002</v>
      </c>
      <c r="CA6" s="21">
        <f t="shared" si="12"/>
        <v>27154404.400000002</v>
      </c>
      <c r="CB6" s="21">
        <f t="shared" si="12"/>
        <v>27154404.400000002</v>
      </c>
      <c r="CC6" s="21">
        <f t="shared" si="12"/>
        <v>27154404.400000002</v>
      </c>
      <c r="CD6" s="21">
        <f t="shared" si="12"/>
        <v>27154404.400000002</v>
      </c>
      <c r="CE6" s="21">
        <f t="shared" si="12"/>
        <v>27154404.400000002</v>
      </c>
      <c r="CF6" s="21">
        <f t="shared" si="12"/>
        <v>27154404.400000002</v>
      </c>
      <c r="CG6" s="21">
        <f t="shared" si="12"/>
        <v>27154404.400000002</v>
      </c>
      <c r="CH6" s="21">
        <f t="shared" si="12"/>
        <v>27154404.400000002</v>
      </c>
      <c r="CI6" s="21">
        <f t="shared" si="12"/>
        <v>27154404.400000002</v>
      </c>
      <c r="CJ6" s="21">
        <f t="shared" si="12"/>
        <v>27154404.400000002</v>
      </c>
      <c r="CK6" s="21">
        <f t="shared" si="12"/>
        <v>27154404.400000002</v>
      </c>
      <c r="CL6" s="21">
        <f t="shared" si="12"/>
        <v>27154404.400000002</v>
      </c>
      <c r="CM6" s="21">
        <f t="shared" si="12"/>
        <v>27154404.400000002</v>
      </c>
      <c r="CN6" s="21">
        <f t="shared" si="12"/>
        <v>27154404.400000002</v>
      </c>
      <c r="CO6" s="21">
        <f t="shared" si="12"/>
        <v>27154404.400000002</v>
      </c>
      <c r="CP6" s="21">
        <f t="shared" si="12"/>
        <v>27154404.400000002</v>
      </c>
      <c r="CQ6" s="21">
        <f t="shared" si="12"/>
        <v>27154404.400000002</v>
      </c>
      <c r="CR6" s="21">
        <f t="shared" si="12"/>
        <v>27154404.400000002</v>
      </c>
      <c r="CS6" s="21">
        <f t="shared" si="12"/>
        <v>27154404.400000002</v>
      </c>
      <c r="CT6" s="21">
        <f t="shared" si="12"/>
        <v>27154404.400000002</v>
      </c>
      <c r="CU6" s="21">
        <f t="shared" si="12"/>
        <v>27154404.400000002</v>
      </c>
      <c r="CV6" s="21">
        <f t="shared" si="12"/>
        <v>27154404.400000002</v>
      </c>
      <c r="CW6" s="21">
        <f t="shared" si="12"/>
        <v>27154404.400000002</v>
      </c>
      <c r="CX6" s="21">
        <f t="shared" si="12"/>
        <v>27154404.400000002</v>
      </c>
      <c r="CY6" s="21">
        <f t="shared" si="12"/>
        <v>27154404.400000002</v>
      </c>
      <c r="CZ6" s="21">
        <f t="shared" si="12"/>
        <v>27154404.400000002</v>
      </c>
      <c r="DA6" s="21">
        <f t="shared" si="12"/>
        <v>27154404.400000002</v>
      </c>
      <c r="DB6" s="21">
        <f t="shared" si="12"/>
        <v>27154404.400000002</v>
      </c>
      <c r="DC6" s="21">
        <f t="shared" si="12"/>
        <v>27154404.400000002</v>
      </c>
      <c r="DD6" s="21">
        <f t="shared" si="12"/>
        <v>27154404.400000002</v>
      </c>
      <c r="DE6" s="21">
        <f t="shared" si="12"/>
        <v>27154404.400000002</v>
      </c>
      <c r="DF6" s="21">
        <f t="shared" si="12"/>
        <v>27154404.400000002</v>
      </c>
      <c r="DG6" s="21">
        <f t="shared" si="12"/>
        <v>27154404.400000002</v>
      </c>
      <c r="DH6" s="21">
        <f t="shared" si="12"/>
        <v>27154404.400000002</v>
      </c>
      <c r="DI6" s="21">
        <f t="shared" si="12"/>
        <v>27154404.400000002</v>
      </c>
      <c r="DJ6" s="21">
        <f t="shared" si="12"/>
        <v>27154404.400000002</v>
      </c>
      <c r="DK6" s="21">
        <f t="shared" si="12"/>
        <v>27154404.400000002</v>
      </c>
      <c r="DL6" s="21">
        <f t="shared" si="12"/>
        <v>27154404.400000002</v>
      </c>
      <c r="DM6" s="21">
        <f t="shared" si="12"/>
        <v>27154404.400000002</v>
      </c>
      <c r="DN6" s="21">
        <f t="shared" si="12"/>
        <v>27154404.400000002</v>
      </c>
      <c r="DO6" s="21">
        <f t="shared" si="12"/>
        <v>27154404.400000002</v>
      </c>
      <c r="DP6" s="21">
        <f t="shared" si="12"/>
        <v>27154404.400000002</v>
      </c>
      <c r="DQ6" s="21">
        <f t="shared" si="12"/>
        <v>27154404.400000002</v>
      </c>
      <c r="DR6" s="21">
        <f t="shared" si="12"/>
        <v>27154404.400000002</v>
      </c>
      <c r="DS6" s="21">
        <f t="shared" si="12"/>
        <v>27154404.400000002</v>
      </c>
      <c r="DT6" s="21">
        <f t="shared" si="12"/>
        <v>27154404.400000002</v>
      </c>
      <c r="DU6" s="21">
        <f t="shared" si="12"/>
        <v>27154404.400000002</v>
      </c>
      <c r="DV6" s="21">
        <f t="shared" si="12"/>
        <v>27154404.400000002</v>
      </c>
      <c r="DW6" s="21">
        <f t="shared" si="12"/>
        <v>27154404.400000002</v>
      </c>
      <c r="DX6" s="21">
        <f t="shared" si="12"/>
        <v>27154404.400000002</v>
      </c>
      <c r="DY6" s="21">
        <f t="shared" si="12"/>
        <v>27154404.400000002</v>
      </c>
      <c r="DZ6" s="21">
        <f t="shared" si="12"/>
        <v>27154404.400000002</v>
      </c>
      <c r="EA6" s="21">
        <f t="shared" si="12"/>
        <v>27154404.400000002</v>
      </c>
      <c r="EB6" s="21">
        <f t="shared" si="12"/>
        <v>27154404.400000002</v>
      </c>
      <c r="EC6" s="21">
        <f t="shared" si="12"/>
        <v>27154404.400000002</v>
      </c>
      <c r="ED6" s="21">
        <f t="shared" si="12"/>
        <v>27154404.400000002</v>
      </c>
      <c r="EE6" s="21">
        <f t="shared" si="12"/>
        <v>27154404.400000002</v>
      </c>
      <c r="EF6" s="21">
        <f t="shared" ref="EF6:GQ6" si="13">IF(IF(AND(ISNA(EF$5),ISNA(EE$5)),EE6*(1+$C$11),IF(AND(EE$5&gt;0,ISNA(EF$5)),EE6*(1+$C$11),EF$5))&gt;$C$21,$C$21,IF(AND(ISNA(EF$5),ISNA(EE$5)),EE6*(1+$C$11),IF(AND(EE$5&gt;0,ISNA(EF$5)),EE6*(1+$C$11),EF$5)))</f>
        <v>27154404.400000002</v>
      </c>
      <c r="EG6" s="21">
        <f t="shared" si="13"/>
        <v>27154404.400000002</v>
      </c>
      <c r="EH6" s="21">
        <f t="shared" si="13"/>
        <v>27154404.400000002</v>
      </c>
      <c r="EI6" s="21">
        <f t="shared" si="13"/>
        <v>27154404.400000002</v>
      </c>
      <c r="EJ6" s="21">
        <f t="shared" si="13"/>
        <v>27154404.400000002</v>
      </c>
      <c r="EK6" s="21">
        <f t="shared" si="13"/>
        <v>27154404.400000002</v>
      </c>
      <c r="EL6" s="21">
        <f t="shared" si="13"/>
        <v>27154404.400000002</v>
      </c>
      <c r="EM6" s="21">
        <f t="shared" si="13"/>
        <v>27154404.400000002</v>
      </c>
      <c r="EN6" s="21">
        <f t="shared" si="13"/>
        <v>27154404.400000002</v>
      </c>
      <c r="EO6" s="21">
        <f t="shared" si="13"/>
        <v>27154404.400000002</v>
      </c>
      <c r="EP6" s="21">
        <f t="shared" si="13"/>
        <v>27154404.400000002</v>
      </c>
      <c r="EQ6" s="21">
        <f t="shared" si="13"/>
        <v>27154404.400000002</v>
      </c>
      <c r="ER6" s="21">
        <f t="shared" si="13"/>
        <v>27154404.400000002</v>
      </c>
      <c r="ES6" s="21">
        <f t="shared" si="13"/>
        <v>27154404.400000002</v>
      </c>
      <c r="ET6" s="21">
        <f t="shared" si="13"/>
        <v>27154404.400000002</v>
      </c>
      <c r="EU6" s="21">
        <f t="shared" si="13"/>
        <v>27154404.400000002</v>
      </c>
      <c r="EV6" s="21">
        <f t="shared" si="13"/>
        <v>27154404.400000002</v>
      </c>
      <c r="EW6" s="21">
        <f t="shared" si="13"/>
        <v>27154404.400000002</v>
      </c>
      <c r="EX6" s="21">
        <f t="shared" si="13"/>
        <v>27154404.400000002</v>
      </c>
      <c r="EY6" s="21">
        <f t="shared" si="13"/>
        <v>27154404.400000002</v>
      </c>
      <c r="EZ6" s="21">
        <f t="shared" si="13"/>
        <v>27154404.400000002</v>
      </c>
      <c r="FA6" s="21">
        <f t="shared" si="13"/>
        <v>27154404.400000002</v>
      </c>
      <c r="FB6" s="21">
        <f t="shared" si="13"/>
        <v>27154404.400000002</v>
      </c>
      <c r="FC6" s="21">
        <f t="shared" si="13"/>
        <v>27154404.400000002</v>
      </c>
      <c r="FD6" s="21">
        <f t="shared" si="13"/>
        <v>27154404.400000002</v>
      </c>
      <c r="FE6" s="21">
        <f t="shared" si="13"/>
        <v>27154404.400000002</v>
      </c>
      <c r="FF6" s="21">
        <f t="shared" si="13"/>
        <v>27154404.400000002</v>
      </c>
      <c r="FG6" s="21">
        <f t="shared" si="13"/>
        <v>27154404.400000002</v>
      </c>
      <c r="FH6" s="21">
        <f t="shared" si="13"/>
        <v>27154404.400000002</v>
      </c>
      <c r="FI6" s="21">
        <f t="shared" si="13"/>
        <v>27154404.400000002</v>
      </c>
      <c r="FJ6" s="21">
        <f t="shared" si="13"/>
        <v>27154404.400000002</v>
      </c>
      <c r="FK6" s="21">
        <f t="shared" si="13"/>
        <v>27154404.400000002</v>
      </c>
      <c r="FL6" s="21">
        <f t="shared" si="13"/>
        <v>27154404.400000002</v>
      </c>
      <c r="FM6" s="21">
        <f t="shared" si="13"/>
        <v>27154404.400000002</v>
      </c>
      <c r="FN6" s="21">
        <f t="shared" si="13"/>
        <v>27154404.400000002</v>
      </c>
      <c r="FO6" s="21">
        <f t="shared" si="13"/>
        <v>27154404.400000002</v>
      </c>
      <c r="FP6" s="21">
        <f t="shared" si="13"/>
        <v>27154404.400000002</v>
      </c>
      <c r="FQ6" s="21">
        <f t="shared" si="13"/>
        <v>27154404.400000002</v>
      </c>
      <c r="FR6" s="21">
        <f t="shared" si="13"/>
        <v>27154404.400000002</v>
      </c>
      <c r="FS6" s="21">
        <f t="shared" si="13"/>
        <v>27154404.400000002</v>
      </c>
      <c r="FT6" s="21">
        <f t="shared" si="13"/>
        <v>27154404.400000002</v>
      </c>
      <c r="FU6" s="21">
        <f t="shared" si="13"/>
        <v>27154404.400000002</v>
      </c>
      <c r="FV6" s="21">
        <f t="shared" si="13"/>
        <v>27154404.400000002</v>
      </c>
      <c r="FW6" s="21">
        <f t="shared" si="13"/>
        <v>27154404.400000002</v>
      </c>
      <c r="FX6" s="21">
        <f t="shared" si="13"/>
        <v>27154404.400000002</v>
      </c>
      <c r="FY6" s="21">
        <f t="shared" si="13"/>
        <v>27154404.400000002</v>
      </c>
      <c r="FZ6" s="21">
        <f t="shared" si="13"/>
        <v>27154404.400000002</v>
      </c>
      <c r="GA6" s="21">
        <f t="shared" si="13"/>
        <v>27154404.400000002</v>
      </c>
      <c r="GB6" s="21">
        <f t="shared" si="13"/>
        <v>27154404.400000002</v>
      </c>
      <c r="GC6" s="21">
        <f t="shared" si="13"/>
        <v>27154404.400000002</v>
      </c>
      <c r="GD6" s="21">
        <f t="shared" si="13"/>
        <v>27154404.400000002</v>
      </c>
      <c r="GE6" s="21">
        <f t="shared" si="13"/>
        <v>27154404.400000002</v>
      </c>
      <c r="GF6" s="21">
        <f t="shared" si="13"/>
        <v>27154404.400000002</v>
      </c>
      <c r="GG6" s="21">
        <f t="shared" si="13"/>
        <v>27154404.400000002</v>
      </c>
      <c r="GH6" s="21">
        <f t="shared" si="13"/>
        <v>27154404.400000002</v>
      </c>
      <c r="GI6" s="21">
        <f t="shared" si="13"/>
        <v>27154404.400000002</v>
      </c>
      <c r="GJ6" s="21">
        <f t="shared" si="13"/>
        <v>27154404.400000002</v>
      </c>
      <c r="GK6" s="21">
        <f t="shared" si="13"/>
        <v>27154404.400000002</v>
      </c>
      <c r="GL6" s="21">
        <f t="shared" si="13"/>
        <v>27154404.400000002</v>
      </c>
      <c r="GM6" s="21">
        <f t="shared" si="13"/>
        <v>27154404.400000002</v>
      </c>
      <c r="GN6" s="21">
        <f t="shared" si="13"/>
        <v>27154404.400000002</v>
      </c>
      <c r="GO6" s="21">
        <f t="shared" si="13"/>
        <v>27154404.400000002</v>
      </c>
      <c r="GP6" s="21">
        <f t="shared" si="13"/>
        <v>27154404.400000002</v>
      </c>
      <c r="GQ6" s="21">
        <f t="shared" si="13"/>
        <v>27154404.400000002</v>
      </c>
      <c r="GR6" s="21">
        <f t="shared" ref="GR6:IM6" si="14">IF(IF(AND(ISNA(GR$5),ISNA(GQ$5)),GQ6*(1+$C$11),IF(AND(GQ$5&gt;0,ISNA(GR$5)),GQ6*(1+$C$11),GR$5))&gt;$C$21,$C$21,IF(AND(ISNA(GR$5),ISNA(GQ$5)),GQ6*(1+$C$11),IF(AND(GQ$5&gt;0,ISNA(GR$5)),GQ6*(1+$C$11),GR$5)))</f>
        <v>27154404.400000002</v>
      </c>
      <c r="GS6" s="21">
        <f t="shared" si="14"/>
        <v>27154404.400000002</v>
      </c>
      <c r="GT6" s="21">
        <f t="shared" si="14"/>
        <v>27154404.400000002</v>
      </c>
      <c r="GU6" s="21">
        <f t="shared" si="14"/>
        <v>27154404.400000002</v>
      </c>
      <c r="GV6" s="21">
        <f t="shared" si="14"/>
        <v>27154404.400000002</v>
      </c>
      <c r="GW6" s="21">
        <f t="shared" si="14"/>
        <v>27154404.400000002</v>
      </c>
      <c r="GX6" s="21">
        <f t="shared" si="14"/>
        <v>27154404.400000002</v>
      </c>
      <c r="GY6" s="21">
        <f t="shared" si="14"/>
        <v>27154404.400000002</v>
      </c>
      <c r="GZ6" s="21">
        <f t="shared" si="14"/>
        <v>27154404.400000002</v>
      </c>
      <c r="HA6" s="21">
        <f t="shared" si="14"/>
        <v>27154404.400000002</v>
      </c>
      <c r="HB6" s="21">
        <f t="shared" si="14"/>
        <v>27154404.400000002</v>
      </c>
      <c r="HC6" s="21">
        <f t="shared" si="14"/>
        <v>27154404.400000002</v>
      </c>
      <c r="HD6" s="21">
        <f t="shared" si="14"/>
        <v>27154404.400000002</v>
      </c>
      <c r="HE6" s="21">
        <f t="shared" si="14"/>
        <v>27154404.400000002</v>
      </c>
      <c r="HF6" s="21">
        <f t="shared" si="14"/>
        <v>27154404.400000002</v>
      </c>
      <c r="HG6" s="21">
        <f t="shared" si="14"/>
        <v>27154404.400000002</v>
      </c>
      <c r="HH6" s="21">
        <f t="shared" si="14"/>
        <v>27154404.400000002</v>
      </c>
      <c r="HI6" s="21">
        <f t="shared" si="14"/>
        <v>27154404.400000002</v>
      </c>
      <c r="HJ6" s="21">
        <f t="shared" si="14"/>
        <v>27154404.400000002</v>
      </c>
      <c r="HK6" s="21">
        <f t="shared" si="14"/>
        <v>27154404.400000002</v>
      </c>
      <c r="HL6" s="21">
        <f t="shared" si="14"/>
        <v>27154404.400000002</v>
      </c>
      <c r="HM6" s="21">
        <f t="shared" si="14"/>
        <v>27154404.400000002</v>
      </c>
      <c r="HN6" s="21">
        <f t="shared" si="14"/>
        <v>27154404.400000002</v>
      </c>
      <c r="HO6" s="21">
        <f t="shared" si="14"/>
        <v>27154404.400000002</v>
      </c>
      <c r="HP6" s="21">
        <f t="shared" si="14"/>
        <v>27154404.400000002</v>
      </c>
      <c r="HQ6" s="21">
        <f t="shared" si="14"/>
        <v>27154404.400000002</v>
      </c>
      <c r="HR6" s="21">
        <f t="shared" si="14"/>
        <v>27154404.400000002</v>
      </c>
      <c r="HS6" s="21">
        <f t="shared" si="14"/>
        <v>27154404.400000002</v>
      </c>
      <c r="HT6" s="21">
        <f t="shared" si="14"/>
        <v>27154404.400000002</v>
      </c>
      <c r="HU6" s="21">
        <f t="shared" si="14"/>
        <v>27154404.400000002</v>
      </c>
      <c r="HV6" s="21">
        <f t="shared" si="14"/>
        <v>27154404.400000002</v>
      </c>
      <c r="HW6" s="21">
        <f t="shared" si="14"/>
        <v>27154404.400000002</v>
      </c>
      <c r="HX6" s="21">
        <f t="shared" si="14"/>
        <v>27154404.400000002</v>
      </c>
      <c r="HY6" s="21">
        <f t="shared" si="14"/>
        <v>27154404.400000002</v>
      </c>
      <c r="HZ6" s="21">
        <f t="shared" si="14"/>
        <v>27154404.400000002</v>
      </c>
      <c r="IA6" s="21">
        <f t="shared" si="14"/>
        <v>27154404.400000002</v>
      </c>
      <c r="IB6" s="21">
        <f t="shared" si="14"/>
        <v>27154404.400000002</v>
      </c>
      <c r="IC6" s="21">
        <f t="shared" si="14"/>
        <v>27154404.400000002</v>
      </c>
      <c r="ID6" s="21">
        <f t="shared" si="14"/>
        <v>27154404.400000002</v>
      </c>
      <c r="IE6" s="21">
        <f t="shared" si="14"/>
        <v>27154404.400000002</v>
      </c>
      <c r="IF6" s="21">
        <f t="shared" si="14"/>
        <v>27154404.400000002</v>
      </c>
      <c r="IG6" s="21">
        <f t="shared" si="14"/>
        <v>27154404.400000002</v>
      </c>
      <c r="IH6" s="21">
        <f t="shared" si="14"/>
        <v>27154404.400000002</v>
      </c>
      <c r="II6" s="21">
        <f t="shared" si="14"/>
        <v>27154404.400000002</v>
      </c>
      <c r="IJ6" s="21">
        <f t="shared" si="14"/>
        <v>27154404.400000002</v>
      </c>
      <c r="IK6" s="21">
        <f t="shared" si="14"/>
        <v>27154404.400000002</v>
      </c>
      <c r="IL6" s="21">
        <f t="shared" si="14"/>
        <v>27154404.400000002</v>
      </c>
      <c r="IM6" s="21">
        <f t="shared" si="14"/>
        <v>27154404.400000002</v>
      </c>
      <c r="IN6" s="21">
        <f>IF(IF(AND(ISNA(IN$5),ISNA(IM$5)),IM6*(1+$C$11),IF(AND(IM$5&gt;0,ISNA(IN$5)),IM6*(1+$C$11),IN$5))&gt;$C$21,$C$21,IF(AND(ISNA(IN$5),ISNA(IM$5)),IM6*(1+$C$11),IF(AND(IM$5&gt;0,ISNA(IN$5)),IM6*(1+$C$11),IN$5)))</f>
        <v>27154404.400000002</v>
      </c>
    </row>
    <row r="7" spans="2:248" x14ac:dyDescent="0.3">
      <c r="B7" s="19" t="s">
        <v>512</v>
      </c>
      <c r="C7" s="21">
        <f>VLOOKUP(B2,Country_Data!C:G,5,FALSE)</f>
        <v>67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</row>
    <row r="8" spans="2:248" x14ac:dyDescent="0.3">
      <c r="B8" s="19" t="s">
        <v>513</v>
      </c>
      <c r="C8" s="21">
        <f>VLOOKUP(B2,Country_Data!C:H,6,FALSE)</f>
        <v>234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</row>
    <row r="9" spans="2:248" x14ac:dyDescent="0.3">
      <c r="E9" s="22">
        <f>Projections!Z19</f>
        <v>0.1</v>
      </c>
      <c r="F9" s="22" t="s">
        <v>494</v>
      </c>
      <c r="G9" s="21">
        <f t="shared" ref="G9:BR9" si="15">IF(IF(AND(ISNA(G$5),ISNA(F$5)),F9*(1+$E9),IF(AND(F$5&gt;0,ISNA(G$5)),F9*(1+$E9),G$5))&gt;$C$21,$C$21,IF(AND(ISNA(G$5),ISNA(F$5)),F9*(1+$E9),IF(AND(F$5&gt;0,ISNA(G$5)),F9*(1+$E9),G$5)))</f>
        <v>107</v>
      </c>
      <c r="H9" s="21">
        <f t="shared" si="15"/>
        <v>154</v>
      </c>
      <c r="I9" s="21">
        <f t="shared" si="15"/>
        <v>187</v>
      </c>
      <c r="J9" s="21">
        <f t="shared" si="15"/>
        <v>253</v>
      </c>
      <c r="K9" s="21">
        <f t="shared" si="15"/>
        <v>300</v>
      </c>
      <c r="L9" s="21">
        <f t="shared" si="15"/>
        <v>359</v>
      </c>
      <c r="M9" s="21">
        <f t="shared" si="15"/>
        <v>432</v>
      </c>
      <c r="N9" s="21">
        <f t="shared" si="15"/>
        <v>563</v>
      </c>
      <c r="O9" s="21">
        <f t="shared" si="15"/>
        <v>775</v>
      </c>
      <c r="P9" s="21">
        <f>IF(IF(AND(ISNA(P$5),ISNA(O$5)),O9*(1+$E9),IF(AND(O$5&gt;0,ISNA(P$5)),O9*(1+$E9),P$5))&gt;$C$21,$C$21,IF(AND(ISNA(P$5),ISNA(O$5)),O9*(1+$E9),IF(AND(O$5&gt;0,ISNA(P$5)),O9*(1+$E9),P$5)))</f>
        <v>1104</v>
      </c>
      <c r="Q9" s="21">
        <f t="shared" si="15"/>
        <v>1315</v>
      </c>
      <c r="R9" s="21">
        <f t="shared" si="15"/>
        <v>1474</v>
      </c>
      <c r="S9" s="21">
        <f t="shared" si="15"/>
        <v>1851</v>
      </c>
      <c r="T9" s="21">
        <f t="shared" si="15"/>
        <v>2503</v>
      </c>
      <c r="U9" s="21">
        <f t="shared" si="15"/>
        <v>3100</v>
      </c>
      <c r="V9" s="21">
        <f t="shared" si="15"/>
        <v>3769</v>
      </c>
      <c r="W9" s="21">
        <f t="shared" si="15"/>
        <v>4766</v>
      </c>
      <c r="X9" s="21">
        <f t="shared" si="15"/>
        <v>5242.6000000000004</v>
      </c>
      <c r="Y9" s="21">
        <f t="shared" si="15"/>
        <v>5766.8600000000006</v>
      </c>
      <c r="Z9" s="21">
        <f t="shared" si="15"/>
        <v>6343.5460000000012</v>
      </c>
      <c r="AA9" s="21">
        <f t="shared" si="15"/>
        <v>6977.9006000000018</v>
      </c>
      <c r="AB9" s="21">
        <f t="shared" si="15"/>
        <v>7675.6906600000029</v>
      </c>
      <c r="AC9" s="21">
        <f t="shared" si="15"/>
        <v>8443.2597260000039</v>
      </c>
      <c r="AD9" s="21">
        <f t="shared" si="15"/>
        <v>9287.5856986000053</v>
      </c>
      <c r="AE9" s="21">
        <f t="shared" si="15"/>
        <v>10216.344268460007</v>
      </c>
      <c r="AF9" s="21">
        <f t="shared" si="15"/>
        <v>11237.978695306008</v>
      </c>
      <c r="AG9" s="21">
        <f t="shared" si="15"/>
        <v>12361.776564836609</v>
      </c>
      <c r="AH9" s="21">
        <f t="shared" si="15"/>
        <v>13597.954221320271</v>
      </c>
      <c r="AI9" s="21">
        <f t="shared" si="15"/>
        <v>14957.7496434523</v>
      </c>
      <c r="AJ9" s="21">
        <f t="shared" si="15"/>
        <v>16453.524607797532</v>
      </c>
      <c r="AK9" s="21">
        <f t="shared" si="15"/>
        <v>18098.877068577287</v>
      </c>
      <c r="AL9" s="21">
        <f t="shared" si="15"/>
        <v>19908.764775435018</v>
      </c>
      <c r="AM9" s="21">
        <f t="shared" si="15"/>
        <v>21899.641252978523</v>
      </c>
      <c r="AN9" s="21">
        <f t="shared" si="15"/>
        <v>24089.605378276377</v>
      </c>
      <c r="AO9" s="21">
        <f t="shared" si="15"/>
        <v>26498.565916104017</v>
      </c>
      <c r="AP9" s="21">
        <f t="shared" si="15"/>
        <v>29148.422507714422</v>
      </c>
      <c r="AQ9" s="21">
        <f t="shared" si="15"/>
        <v>32063.264758485868</v>
      </c>
      <c r="AR9" s="21">
        <f t="shared" si="15"/>
        <v>35269.591234334461</v>
      </c>
      <c r="AS9" s="21">
        <f t="shared" si="15"/>
        <v>38796.550357767912</v>
      </c>
      <c r="AT9" s="21">
        <f t="shared" si="15"/>
        <v>42676.205393544704</v>
      </c>
      <c r="AU9" s="21">
        <f t="shared" si="15"/>
        <v>46943.825932899177</v>
      </c>
      <c r="AV9" s="21">
        <f t="shared" si="15"/>
        <v>51638.208526189097</v>
      </c>
      <c r="AW9" s="21">
        <f t="shared" si="15"/>
        <v>56802.029378808009</v>
      </c>
      <c r="AX9" s="21">
        <f t="shared" si="15"/>
        <v>62482.232316688816</v>
      </c>
      <c r="AY9" s="21">
        <f t="shared" si="15"/>
        <v>68730.455548357699</v>
      </c>
      <c r="AZ9" s="21">
        <f t="shared" si="15"/>
        <v>75603.50110319347</v>
      </c>
      <c r="BA9" s="21">
        <f t="shared" si="15"/>
        <v>83163.851213512826</v>
      </c>
      <c r="BB9" s="21">
        <f t="shared" si="15"/>
        <v>91480.236334864123</v>
      </c>
      <c r="BC9" s="21">
        <f t="shared" si="15"/>
        <v>100628.25996835054</v>
      </c>
      <c r="BD9" s="21">
        <f t="shared" si="15"/>
        <v>110691.0859651856</v>
      </c>
      <c r="BE9" s="21">
        <f t="shared" si="15"/>
        <v>121760.19456170416</v>
      </c>
      <c r="BF9" s="21">
        <f t="shared" si="15"/>
        <v>133936.21401787459</v>
      </c>
      <c r="BG9" s="21">
        <f t="shared" si="15"/>
        <v>147329.83541966206</v>
      </c>
      <c r="BH9" s="21">
        <f t="shared" si="15"/>
        <v>162062.81896162828</v>
      </c>
      <c r="BI9" s="21">
        <f t="shared" si="15"/>
        <v>178269.10085779111</v>
      </c>
      <c r="BJ9" s="21">
        <f t="shared" si="15"/>
        <v>196096.01094357023</v>
      </c>
      <c r="BK9" s="21">
        <f t="shared" si="15"/>
        <v>215705.61203792726</v>
      </c>
      <c r="BL9" s="21">
        <f t="shared" si="15"/>
        <v>237276.17324172001</v>
      </c>
      <c r="BM9" s="21">
        <f t="shared" si="15"/>
        <v>261003.79056589204</v>
      </c>
      <c r="BN9" s="21">
        <f t="shared" si="15"/>
        <v>287104.16962248128</v>
      </c>
      <c r="BO9" s="21">
        <f t="shared" si="15"/>
        <v>315814.58658472943</v>
      </c>
      <c r="BP9" s="21">
        <f t="shared" si="15"/>
        <v>347396.04524320242</v>
      </c>
      <c r="BQ9" s="21">
        <f t="shared" si="15"/>
        <v>382135.6497675227</v>
      </c>
      <c r="BR9" s="21">
        <f t="shared" si="15"/>
        <v>420349.21474427503</v>
      </c>
      <c r="BS9" s="21">
        <f t="shared" ref="BS9:ED9" si="16">IF(IF(AND(ISNA(BS$5),ISNA(BR$5)),BR9*(1+$E9),IF(AND(BR$5&gt;0,ISNA(BS$5)),BR9*(1+$E9),BS$5))&gt;$C$21,$C$21,IF(AND(ISNA(BS$5),ISNA(BR$5)),BR9*(1+$E9),IF(AND(BR$5&gt;0,ISNA(BS$5)),BR9*(1+$E9),BS$5)))</f>
        <v>462384.1362187026</v>
      </c>
      <c r="BT9" s="21">
        <f t="shared" si="16"/>
        <v>508622.54984057287</v>
      </c>
      <c r="BU9" s="21">
        <f t="shared" si="16"/>
        <v>559484.80482463015</v>
      </c>
      <c r="BV9" s="21">
        <f t="shared" si="16"/>
        <v>615433.28530709317</v>
      </c>
      <c r="BW9" s="21">
        <f t="shared" si="16"/>
        <v>676976.61383780255</v>
      </c>
      <c r="BX9" s="21">
        <f t="shared" si="16"/>
        <v>744674.27522158285</v>
      </c>
      <c r="BY9" s="21">
        <f t="shared" si="16"/>
        <v>819141.70274374122</v>
      </c>
      <c r="BZ9" s="21">
        <f t="shared" si="16"/>
        <v>901055.87301811541</v>
      </c>
      <c r="CA9" s="21">
        <f t="shared" si="16"/>
        <v>991161.46031992708</v>
      </c>
      <c r="CB9" s="21">
        <f t="shared" si="16"/>
        <v>1090277.6063519199</v>
      </c>
      <c r="CC9" s="21">
        <f t="shared" si="16"/>
        <v>1199305.366987112</v>
      </c>
      <c r="CD9" s="21">
        <f t="shared" si="16"/>
        <v>1319235.9036858233</v>
      </c>
      <c r="CE9" s="21">
        <f t="shared" si="16"/>
        <v>1451159.4940544057</v>
      </c>
      <c r="CF9" s="21">
        <f t="shared" si="16"/>
        <v>1596275.4434598463</v>
      </c>
      <c r="CG9" s="21">
        <f t="shared" si="16"/>
        <v>1755902.987805831</v>
      </c>
      <c r="CH9" s="21">
        <f t="shared" si="16"/>
        <v>1931493.2865864143</v>
      </c>
      <c r="CI9" s="21">
        <f t="shared" si="16"/>
        <v>2124642.6152450559</v>
      </c>
      <c r="CJ9" s="21">
        <f t="shared" si="16"/>
        <v>2337106.8767695618</v>
      </c>
      <c r="CK9" s="21">
        <f t="shared" si="16"/>
        <v>2570817.5644465182</v>
      </c>
      <c r="CL9" s="21">
        <f t="shared" si="16"/>
        <v>2827899.3208911703</v>
      </c>
      <c r="CM9" s="21">
        <f t="shared" si="16"/>
        <v>3110689.2529802877</v>
      </c>
      <c r="CN9" s="21">
        <f t="shared" si="16"/>
        <v>3421758.1782783167</v>
      </c>
      <c r="CO9" s="21">
        <f t="shared" si="16"/>
        <v>3763933.9961061487</v>
      </c>
      <c r="CP9" s="21">
        <f t="shared" si="16"/>
        <v>4140327.395716764</v>
      </c>
      <c r="CQ9" s="21">
        <f t="shared" si="16"/>
        <v>4554360.1352884406</v>
      </c>
      <c r="CR9" s="21">
        <f t="shared" si="16"/>
        <v>5009796.148817285</v>
      </c>
      <c r="CS9" s="21">
        <f t="shared" si="16"/>
        <v>5510775.7636990137</v>
      </c>
      <c r="CT9" s="21">
        <f t="shared" si="16"/>
        <v>6061853.3400689159</v>
      </c>
      <c r="CU9" s="21">
        <f t="shared" si="16"/>
        <v>6668038.6740758084</v>
      </c>
      <c r="CV9" s="21">
        <f t="shared" si="16"/>
        <v>7334842.5414833901</v>
      </c>
      <c r="CW9" s="21">
        <f t="shared" si="16"/>
        <v>8068326.79563173</v>
      </c>
      <c r="CX9" s="21">
        <f t="shared" si="16"/>
        <v>8875159.4751949031</v>
      </c>
      <c r="CY9" s="21">
        <f t="shared" si="16"/>
        <v>9762675.4227143936</v>
      </c>
      <c r="CZ9" s="21">
        <f t="shared" si="16"/>
        <v>10738942.964985834</v>
      </c>
      <c r="DA9" s="21">
        <f t="shared" si="16"/>
        <v>11812837.261484418</v>
      </c>
      <c r="DB9" s="21">
        <f t="shared" si="16"/>
        <v>12994120.987632861</v>
      </c>
      <c r="DC9" s="21">
        <f t="shared" si="16"/>
        <v>14293533.086396148</v>
      </c>
      <c r="DD9" s="21">
        <f t="shared" si="16"/>
        <v>15722886.395035764</v>
      </c>
      <c r="DE9" s="21">
        <f t="shared" si="16"/>
        <v>17295175.034539342</v>
      </c>
      <c r="DF9" s="21">
        <f t="shared" si="16"/>
        <v>19024692.537993278</v>
      </c>
      <c r="DG9" s="21">
        <f t="shared" si="16"/>
        <v>20927161.791792609</v>
      </c>
      <c r="DH9" s="21">
        <f t="shared" si="16"/>
        <v>23019877.970971871</v>
      </c>
      <c r="DI9" s="21">
        <f t="shared" si="16"/>
        <v>25321865.768069059</v>
      </c>
      <c r="DJ9" s="21">
        <f t="shared" si="16"/>
        <v>27154404.400000002</v>
      </c>
      <c r="DK9" s="21">
        <f t="shared" si="16"/>
        <v>27154404.400000002</v>
      </c>
      <c r="DL9" s="21">
        <f t="shared" si="16"/>
        <v>27154404.400000002</v>
      </c>
      <c r="DM9" s="21">
        <f t="shared" si="16"/>
        <v>27154404.400000002</v>
      </c>
      <c r="DN9" s="21">
        <f t="shared" si="16"/>
        <v>27154404.400000002</v>
      </c>
      <c r="DO9" s="21">
        <f t="shared" si="16"/>
        <v>27154404.400000002</v>
      </c>
      <c r="DP9" s="21">
        <f t="shared" si="16"/>
        <v>27154404.400000002</v>
      </c>
      <c r="DQ9" s="21">
        <f t="shared" si="16"/>
        <v>27154404.400000002</v>
      </c>
      <c r="DR9" s="21">
        <f t="shared" si="16"/>
        <v>27154404.400000002</v>
      </c>
      <c r="DS9" s="21">
        <f t="shared" si="16"/>
        <v>27154404.400000002</v>
      </c>
      <c r="DT9" s="21">
        <f t="shared" si="16"/>
        <v>27154404.400000002</v>
      </c>
      <c r="DU9" s="21">
        <f t="shared" si="16"/>
        <v>27154404.400000002</v>
      </c>
      <c r="DV9" s="21">
        <f t="shared" si="16"/>
        <v>27154404.400000002</v>
      </c>
      <c r="DW9" s="21">
        <f t="shared" si="16"/>
        <v>27154404.400000002</v>
      </c>
      <c r="DX9" s="21">
        <f t="shared" si="16"/>
        <v>27154404.400000002</v>
      </c>
      <c r="DY9" s="21">
        <f t="shared" si="16"/>
        <v>27154404.400000002</v>
      </c>
      <c r="DZ9" s="21">
        <f t="shared" si="16"/>
        <v>27154404.400000002</v>
      </c>
      <c r="EA9" s="21">
        <f t="shared" si="16"/>
        <v>27154404.400000002</v>
      </c>
      <c r="EB9" s="21">
        <f t="shared" si="16"/>
        <v>27154404.400000002</v>
      </c>
      <c r="EC9" s="21">
        <f t="shared" si="16"/>
        <v>27154404.400000002</v>
      </c>
      <c r="ED9" s="21">
        <f t="shared" si="16"/>
        <v>27154404.400000002</v>
      </c>
      <c r="EE9" s="21">
        <f t="shared" ref="EE9:GP9" si="17">IF(IF(AND(ISNA(EE$5),ISNA(ED$5)),ED9*(1+$E9),IF(AND(ED$5&gt;0,ISNA(EE$5)),ED9*(1+$E9),EE$5))&gt;$C$21,$C$21,IF(AND(ISNA(EE$5),ISNA(ED$5)),ED9*(1+$E9),IF(AND(ED$5&gt;0,ISNA(EE$5)),ED9*(1+$E9),EE$5)))</f>
        <v>27154404.400000002</v>
      </c>
      <c r="EF9" s="21">
        <f t="shared" si="17"/>
        <v>27154404.400000002</v>
      </c>
      <c r="EG9" s="21">
        <f t="shared" si="17"/>
        <v>27154404.400000002</v>
      </c>
      <c r="EH9" s="21">
        <f t="shared" si="17"/>
        <v>27154404.400000002</v>
      </c>
      <c r="EI9" s="21">
        <f t="shared" si="17"/>
        <v>27154404.400000002</v>
      </c>
      <c r="EJ9" s="21">
        <f t="shared" si="17"/>
        <v>27154404.400000002</v>
      </c>
      <c r="EK9" s="21">
        <f t="shared" si="17"/>
        <v>27154404.400000002</v>
      </c>
      <c r="EL9" s="21">
        <f t="shared" si="17"/>
        <v>27154404.400000002</v>
      </c>
      <c r="EM9" s="21">
        <f t="shared" si="17"/>
        <v>27154404.400000002</v>
      </c>
      <c r="EN9" s="21">
        <f t="shared" si="17"/>
        <v>27154404.400000002</v>
      </c>
      <c r="EO9" s="21">
        <f t="shared" si="17"/>
        <v>27154404.400000002</v>
      </c>
      <c r="EP9" s="21">
        <f t="shared" si="17"/>
        <v>27154404.400000002</v>
      </c>
      <c r="EQ9" s="21">
        <f t="shared" si="17"/>
        <v>27154404.400000002</v>
      </c>
      <c r="ER9" s="21">
        <f t="shared" si="17"/>
        <v>27154404.400000002</v>
      </c>
      <c r="ES9" s="21">
        <f t="shared" si="17"/>
        <v>27154404.400000002</v>
      </c>
      <c r="ET9" s="21">
        <f t="shared" si="17"/>
        <v>27154404.400000002</v>
      </c>
      <c r="EU9" s="21">
        <f t="shared" si="17"/>
        <v>27154404.400000002</v>
      </c>
      <c r="EV9" s="21">
        <f t="shared" si="17"/>
        <v>27154404.400000002</v>
      </c>
      <c r="EW9" s="21">
        <f t="shared" si="17"/>
        <v>27154404.400000002</v>
      </c>
      <c r="EX9" s="21">
        <f t="shared" si="17"/>
        <v>27154404.400000002</v>
      </c>
      <c r="EY9" s="21">
        <f t="shared" si="17"/>
        <v>27154404.400000002</v>
      </c>
      <c r="EZ9" s="21">
        <f t="shared" si="17"/>
        <v>27154404.400000002</v>
      </c>
      <c r="FA9" s="21">
        <f t="shared" si="17"/>
        <v>27154404.400000002</v>
      </c>
      <c r="FB9" s="21">
        <f t="shared" si="17"/>
        <v>27154404.400000002</v>
      </c>
      <c r="FC9" s="21">
        <f t="shared" si="17"/>
        <v>27154404.400000002</v>
      </c>
      <c r="FD9" s="21">
        <f t="shared" si="17"/>
        <v>27154404.400000002</v>
      </c>
      <c r="FE9" s="21">
        <f t="shared" si="17"/>
        <v>27154404.400000002</v>
      </c>
      <c r="FF9" s="21">
        <f t="shared" si="17"/>
        <v>27154404.400000002</v>
      </c>
      <c r="FG9" s="21">
        <f t="shared" si="17"/>
        <v>27154404.400000002</v>
      </c>
      <c r="FH9" s="21">
        <f t="shared" si="17"/>
        <v>27154404.400000002</v>
      </c>
      <c r="FI9" s="21">
        <f t="shared" si="17"/>
        <v>27154404.400000002</v>
      </c>
      <c r="FJ9" s="21">
        <f t="shared" si="17"/>
        <v>27154404.400000002</v>
      </c>
      <c r="FK9" s="21">
        <f t="shared" si="17"/>
        <v>27154404.400000002</v>
      </c>
      <c r="FL9" s="21">
        <f t="shared" si="17"/>
        <v>27154404.400000002</v>
      </c>
      <c r="FM9" s="21">
        <f t="shared" si="17"/>
        <v>27154404.400000002</v>
      </c>
      <c r="FN9" s="21">
        <f t="shared" si="17"/>
        <v>27154404.400000002</v>
      </c>
      <c r="FO9" s="21">
        <f t="shared" si="17"/>
        <v>27154404.400000002</v>
      </c>
      <c r="FP9" s="21">
        <f t="shared" si="17"/>
        <v>27154404.400000002</v>
      </c>
      <c r="FQ9" s="21">
        <f t="shared" si="17"/>
        <v>27154404.400000002</v>
      </c>
      <c r="FR9" s="21">
        <f t="shared" si="17"/>
        <v>27154404.400000002</v>
      </c>
      <c r="FS9" s="21">
        <f t="shared" si="17"/>
        <v>27154404.400000002</v>
      </c>
      <c r="FT9" s="21">
        <f t="shared" si="17"/>
        <v>27154404.400000002</v>
      </c>
      <c r="FU9" s="21">
        <f t="shared" si="17"/>
        <v>27154404.400000002</v>
      </c>
      <c r="FV9" s="21">
        <f t="shared" si="17"/>
        <v>27154404.400000002</v>
      </c>
      <c r="FW9" s="21">
        <f t="shared" si="17"/>
        <v>27154404.400000002</v>
      </c>
      <c r="FX9" s="21">
        <f t="shared" si="17"/>
        <v>27154404.400000002</v>
      </c>
      <c r="FY9" s="21">
        <f t="shared" si="17"/>
        <v>27154404.400000002</v>
      </c>
      <c r="FZ9" s="21">
        <f t="shared" si="17"/>
        <v>27154404.400000002</v>
      </c>
      <c r="GA9" s="21">
        <f t="shared" si="17"/>
        <v>27154404.400000002</v>
      </c>
      <c r="GB9" s="21">
        <f t="shared" si="17"/>
        <v>27154404.400000002</v>
      </c>
      <c r="GC9" s="21">
        <f t="shared" si="17"/>
        <v>27154404.400000002</v>
      </c>
      <c r="GD9" s="21">
        <f t="shared" si="17"/>
        <v>27154404.400000002</v>
      </c>
      <c r="GE9" s="21">
        <f t="shared" si="17"/>
        <v>27154404.400000002</v>
      </c>
      <c r="GF9" s="21">
        <f t="shared" si="17"/>
        <v>27154404.400000002</v>
      </c>
      <c r="GG9" s="21">
        <f t="shared" si="17"/>
        <v>27154404.400000002</v>
      </c>
      <c r="GH9" s="21">
        <f t="shared" si="17"/>
        <v>27154404.400000002</v>
      </c>
      <c r="GI9" s="21">
        <f t="shared" si="17"/>
        <v>27154404.400000002</v>
      </c>
      <c r="GJ9" s="21">
        <f t="shared" si="17"/>
        <v>27154404.400000002</v>
      </c>
      <c r="GK9" s="21">
        <f t="shared" si="17"/>
        <v>27154404.400000002</v>
      </c>
      <c r="GL9" s="21">
        <f t="shared" si="17"/>
        <v>27154404.400000002</v>
      </c>
      <c r="GM9" s="21">
        <f t="shared" si="17"/>
        <v>27154404.400000002</v>
      </c>
      <c r="GN9" s="21">
        <f t="shared" si="17"/>
        <v>27154404.400000002</v>
      </c>
      <c r="GO9" s="21">
        <f t="shared" si="17"/>
        <v>27154404.400000002</v>
      </c>
      <c r="GP9" s="21">
        <f t="shared" si="17"/>
        <v>27154404.400000002</v>
      </c>
      <c r="GQ9" s="21">
        <f t="shared" ref="GQ9:IN9" si="18">IF(IF(AND(ISNA(GQ$5),ISNA(GP$5)),GP9*(1+$E9),IF(AND(GP$5&gt;0,ISNA(GQ$5)),GP9*(1+$E9),GQ$5))&gt;$C$21,$C$21,IF(AND(ISNA(GQ$5),ISNA(GP$5)),GP9*(1+$E9),IF(AND(GP$5&gt;0,ISNA(GQ$5)),GP9*(1+$E9),GQ$5)))</f>
        <v>27154404.400000002</v>
      </c>
      <c r="GR9" s="21">
        <f t="shared" si="18"/>
        <v>27154404.400000002</v>
      </c>
      <c r="GS9" s="21">
        <f t="shared" si="18"/>
        <v>27154404.400000002</v>
      </c>
      <c r="GT9" s="21">
        <f t="shared" si="18"/>
        <v>27154404.400000002</v>
      </c>
      <c r="GU9" s="21">
        <f t="shared" si="18"/>
        <v>27154404.400000002</v>
      </c>
      <c r="GV9" s="21">
        <f t="shared" si="18"/>
        <v>27154404.400000002</v>
      </c>
      <c r="GW9" s="21">
        <f t="shared" si="18"/>
        <v>27154404.400000002</v>
      </c>
      <c r="GX9" s="21">
        <f t="shared" si="18"/>
        <v>27154404.400000002</v>
      </c>
      <c r="GY9" s="21">
        <f t="shared" si="18"/>
        <v>27154404.400000002</v>
      </c>
      <c r="GZ9" s="21">
        <f t="shared" si="18"/>
        <v>27154404.400000002</v>
      </c>
      <c r="HA9" s="21">
        <f t="shared" si="18"/>
        <v>27154404.400000002</v>
      </c>
      <c r="HB9" s="21">
        <f t="shared" si="18"/>
        <v>27154404.400000002</v>
      </c>
      <c r="HC9" s="21">
        <f t="shared" si="18"/>
        <v>27154404.400000002</v>
      </c>
      <c r="HD9" s="21">
        <f t="shared" si="18"/>
        <v>27154404.400000002</v>
      </c>
      <c r="HE9" s="21">
        <f t="shared" si="18"/>
        <v>27154404.400000002</v>
      </c>
      <c r="HF9" s="21">
        <f t="shared" si="18"/>
        <v>27154404.400000002</v>
      </c>
      <c r="HG9" s="21">
        <f t="shared" si="18"/>
        <v>27154404.400000002</v>
      </c>
      <c r="HH9" s="21">
        <f t="shared" si="18"/>
        <v>27154404.400000002</v>
      </c>
      <c r="HI9" s="21">
        <f t="shared" si="18"/>
        <v>27154404.400000002</v>
      </c>
      <c r="HJ9" s="21">
        <f t="shared" si="18"/>
        <v>27154404.400000002</v>
      </c>
      <c r="HK9" s="21">
        <f t="shared" si="18"/>
        <v>27154404.400000002</v>
      </c>
      <c r="HL9" s="21">
        <f t="shared" si="18"/>
        <v>27154404.400000002</v>
      </c>
      <c r="HM9" s="21">
        <f t="shared" si="18"/>
        <v>27154404.400000002</v>
      </c>
      <c r="HN9" s="21">
        <f t="shared" si="18"/>
        <v>27154404.400000002</v>
      </c>
      <c r="HO9" s="21">
        <f t="shared" si="18"/>
        <v>27154404.400000002</v>
      </c>
      <c r="HP9" s="21">
        <f t="shared" si="18"/>
        <v>27154404.400000002</v>
      </c>
      <c r="HQ9" s="21">
        <f t="shared" si="18"/>
        <v>27154404.400000002</v>
      </c>
      <c r="HR9" s="21">
        <f t="shared" si="18"/>
        <v>27154404.400000002</v>
      </c>
      <c r="HS9" s="21">
        <f t="shared" si="18"/>
        <v>27154404.400000002</v>
      </c>
      <c r="HT9" s="21">
        <f t="shared" si="18"/>
        <v>27154404.400000002</v>
      </c>
      <c r="HU9" s="21">
        <f t="shared" si="18"/>
        <v>27154404.400000002</v>
      </c>
      <c r="HV9" s="21">
        <f t="shared" si="18"/>
        <v>27154404.400000002</v>
      </c>
      <c r="HW9" s="21">
        <f t="shared" si="18"/>
        <v>27154404.400000002</v>
      </c>
      <c r="HX9" s="21">
        <f t="shared" si="18"/>
        <v>27154404.400000002</v>
      </c>
      <c r="HY9" s="21">
        <f t="shared" si="18"/>
        <v>27154404.400000002</v>
      </c>
      <c r="HZ9" s="21">
        <f t="shared" si="18"/>
        <v>27154404.400000002</v>
      </c>
      <c r="IA9" s="21">
        <f t="shared" si="18"/>
        <v>27154404.400000002</v>
      </c>
      <c r="IB9" s="21">
        <f t="shared" si="18"/>
        <v>27154404.400000002</v>
      </c>
      <c r="IC9" s="21">
        <f t="shared" si="18"/>
        <v>27154404.400000002</v>
      </c>
      <c r="ID9" s="21">
        <f t="shared" si="18"/>
        <v>27154404.400000002</v>
      </c>
      <c r="IE9" s="21">
        <f t="shared" si="18"/>
        <v>27154404.400000002</v>
      </c>
      <c r="IF9" s="21">
        <f t="shared" si="18"/>
        <v>27154404.400000002</v>
      </c>
      <c r="IG9" s="21">
        <f t="shared" si="18"/>
        <v>27154404.400000002</v>
      </c>
      <c r="IH9" s="21">
        <f t="shared" si="18"/>
        <v>27154404.400000002</v>
      </c>
      <c r="II9" s="21">
        <f t="shared" si="18"/>
        <v>27154404.400000002</v>
      </c>
      <c r="IJ9" s="21">
        <f t="shared" si="18"/>
        <v>27154404.400000002</v>
      </c>
      <c r="IK9" s="21">
        <f t="shared" si="18"/>
        <v>27154404.400000002</v>
      </c>
      <c r="IL9" s="21">
        <f t="shared" si="18"/>
        <v>27154404.400000002</v>
      </c>
      <c r="IM9" s="21">
        <f t="shared" si="18"/>
        <v>27154404.400000002</v>
      </c>
      <c r="IN9" s="21">
        <f t="shared" si="18"/>
        <v>27154404.400000002</v>
      </c>
    </row>
    <row r="10" spans="2:248" x14ac:dyDescent="0.3">
      <c r="B10" s="19" t="s">
        <v>452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532</v>
      </c>
      <c r="C11" s="23">
        <f>VLOOKUP(B2,Days_Since_100_active!C:G,5,FALSE)-1</f>
        <v>0.26453632942224781</v>
      </c>
      <c r="E11" s="22">
        <f>Projections!Z17</f>
        <v>0.25</v>
      </c>
      <c r="F11" s="22" t="s">
        <v>498</v>
      </c>
      <c r="G11" s="21">
        <f t="shared" ref="G11:BR11" si="19">IF(IF(AND(ISNA(G$5),ISNA(F$5)),F11*(1+$E11),IF(AND(F$5&gt;0,ISNA(G$5)),F11*(1+$E11),G$5))&gt;$C$21,$C$21,IF(AND(ISNA(G$5),ISNA(F$5)),F11*(1+$E11),IF(AND(F$5&gt;0,ISNA(G$5)),F11*(1+$E11),G$5)))</f>
        <v>107</v>
      </c>
      <c r="H11" s="21">
        <f t="shared" si="19"/>
        <v>154</v>
      </c>
      <c r="I11" s="21">
        <f t="shared" si="19"/>
        <v>187</v>
      </c>
      <c r="J11" s="21">
        <f t="shared" si="19"/>
        <v>253</v>
      </c>
      <c r="K11" s="21">
        <f t="shared" si="19"/>
        <v>300</v>
      </c>
      <c r="L11" s="21">
        <f t="shared" si="19"/>
        <v>359</v>
      </c>
      <c r="M11" s="21">
        <f t="shared" si="19"/>
        <v>432</v>
      </c>
      <c r="N11" s="21">
        <f t="shared" si="19"/>
        <v>563</v>
      </c>
      <c r="O11" s="21">
        <f t="shared" si="19"/>
        <v>775</v>
      </c>
      <c r="P11" s="21">
        <f t="shared" si="19"/>
        <v>1104</v>
      </c>
      <c r="Q11" s="21">
        <f t="shared" si="19"/>
        <v>1315</v>
      </c>
      <c r="R11" s="21">
        <f t="shared" si="19"/>
        <v>1474</v>
      </c>
      <c r="S11" s="21">
        <f t="shared" si="19"/>
        <v>1851</v>
      </c>
      <c r="T11" s="21">
        <f t="shared" si="19"/>
        <v>2503</v>
      </c>
      <c r="U11" s="21">
        <f t="shared" si="19"/>
        <v>3100</v>
      </c>
      <c r="V11" s="21">
        <f t="shared" si="19"/>
        <v>3769</v>
      </c>
      <c r="W11" s="21">
        <f t="shared" si="19"/>
        <v>4766</v>
      </c>
      <c r="X11" s="21">
        <f t="shared" si="19"/>
        <v>5957.5</v>
      </c>
      <c r="Y11" s="21">
        <f t="shared" si="19"/>
        <v>7446.875</v>
      </c>
      <c r="Z11" s="21">
        <f t="shared" si="19"/>
        <v>9308.59375</v>
      </c>
      <c r="AA11" s="21">
        <f t="shared" si="19"/>
        <v>11635.7421875</v>
      </c>
      <c r="AB11" s="21">
        <f t="shared" si="19"/>
        <v>14544.677734375</v>
      </c>
      <c r="AC11" s="21">
        <f t="shared" si="19"/>
        <v>18180.84716796875</v>
      </c>
      <c r="AD11" s="21">
        <f t="shared" si="19"/>
        <v>22726.058959960938</v>
      </c>
      <c r="AE11" s="21">
        <f t="shared" si="19"/>
        <v>28407.573699951172</v>
      </c>
      <c r="AF11" s="21">
        <f t="shared" si="19"/>
        <v>35509.467124938965</v>
      </c>
      <c r="AG11" s="21">
        <f t="shared" si="19"/>
        <v>44386.833906173706</v>
      </c>
      <c r="AH11" s="21">
        <f t="shared" si="19"/>
        <v>55483.542382717133</v>
      </c>
      <c r="AI11" s="21">
        <f t="shared" si="19"/>
        <v>69354.427978396416</v>
      </c>
      <c r="AJ11" s="21">
        <f t="shared" si="19"/>
        <v>86693.03497299552</v>
      </c>
      <c r="AK11" s="21">
        <f t="shared" si="19"/>
        <v>108366.2937162444</v>
      </c>
      <c r="AL11" s="21">
        <f t="shared" si="19"/>
        <v>135457.8671453055</v>
      </c>
      <c r="AM11" s="21">
        <f t="shared" si="19"/>
        <v>169322.33393163187</v>
      </c>
      <c r="AN11" s="21">
        <f t="shared" si="19"/>
        <v>211652.91741453984</v>
      </c>
      <c r="AO11" s="21">
        <f t="shared" si="19"/>
        <v>264566.14676817483</v>
      </c>
      <c r="AP11" s="21">
        <f t="shared" si="19"/>
        <v>330707.68346021854</v>
      </c>
      <c r="AQ11" s="21">
        <f t="shared" si="19"/>
        <v>413384.60432527319</v>
      </c>
      <c r="AR11" s="21">
        <f t="shared" si="19"/>
        <v>516730.75540659146</v>
      </c>
      <c r="AS11" s="21">
        <f t="shared" si="19"/>
        <v>645913.44425823935</v>
      </c>
      <c r="AT11" s="21">
        <f t="shared" si="19"/>
        <v>807391.80532279913</v>
      </c>
      <c r="AU11" s="21">
        <f t="shared" si="19"/>
        <v>1009239.7566534989</v>
      </c>
      <c r="AV11" s="21">
        <f t="shared" si="19"/>
        <v>1261549.6958168736</v>
      </c>
      <c r="AW11" s="21">
        <f t="shared" si="19"/>
        <v>1576937.119771092</v>
      </c>
      <c r="AX11" s="21">
        <f t="shared" si="19"/>
        <v>1971171.399713865</v>
      </c>
      <c r="AY11" s="21">
        <f t="shared" si="19"/>
        <v>2463964.2496423312</v>
      </c>
      <c r="AZ11" s="21">
        <f t="shared" si="19"/>
        <v>3079955.3120529139</v>
      </c>
      <c r="BA11" s="21">
        <f t="shared" si="19"/>
        <v>3849944.1400661422</v>
      </c>
      <c r="BB11" s="21">
        <f t="shared" si="19"/>
        <v>4812430.175082678</v>
      </c>
      <c r="BC11" s="21">
        <f t="shared" si="19"/>
        <v>6015537.718853347</v>
      </c>
      <c r="BD11" s="21">
        <f t="shared" si="19"/>
        <v>7519422.1485666838</v>
      </c>
      <c r="BE11" s="21">
        <f t="shared" si="19"/>
        <v>9399277.6857083552</v>
      </c>
      <c r="BF11" s="21">
        <f t="shared" si="19"/>
        <v>11749097.107135445</v>
      </c>
      <c r="BG11" s="21">
        <f t="shared" si="19"/>
        <v>14686371.383919306</v>
      </c>
      <c r="BH11" s="21">
        <f t="shared" si="19"/>
        <v>18357964.229899131</v>
      </c>
      <c r="BI11" s="21">
        <f t="shared" si="19"/>
        <v>22947455.287373915</v>
      </c>
      <c r="BJ11" s="21">
        <f t="shared" si="19"/>
        <v>27154404.400000002</v>
      </c>
      <c r="BK11" s="21">
        <f t="shared" si="19"/>
        <v>27154404.400000002</v>
      </c>
      <c r="BL11" s="21">
        <f t="shared" si="19"/>
        <v>27154404.400000002</v>
      </c>
      <c r="BM11" s="21">
        <f t="shared" si="19"/>
        <v>27154404.400000002</v>
      </c>
      <c r="BN11" s="21">
        <f t="shared" si="19"/>
        <v>27154404.400000002</v>
      </c>
      <c r="BO11" s="21">
        <f t="shared" si="19"/>
        <v>27154404.400000002</v>
      </c>
      <c r="BP11" s="21">
        <f t="shared" si="19"/>
        <v>27154404.400000002</v>
      </c>
      <c r="BQ11" s="21">
        <f t="shared" si="19"/>
        <v>27154404.400000002</v>
      </c>
      <c r="BR11" s="21">
        <f t="shared" si="19"/>
        <v>27154404.400000002</v>
      </c>
      <c r="BS11" s="21">
        <f t="shared" ref="BS11:ED11" si="20">IF(IF(AND(ISNA(BS$5),ISNA(BR$5)),BR11*(1+$E11),IF(AND(BR$5&gt;0,ISNA(BS$5)),BR11*(1+$E11),BS$5))&gt;$C$21,$C$21,IF(AND(ISNA(BS$5),ISNA(BR$5)),BR11*(1+$E11),IF(AND(BR$5&gt;0,ISNA(BS$5)),BR11*(1+$E11),BS$5)))</f>
        <v>27154404.400000002</v>
      </c>
      <c r="BT11" s="21">
        <f t="shared" si="20"/>
        <v>27154404.400000002</v>
      </c>
      <c r="BU11" s="21">
        <f t="shared" si="20"/>
        <v>27154404.400000002</v>
      </c>
      <c r="BV11" s="21">
        <f t="shared" si="20"/>
        <v>27154404.400000002</v>
      </c>
      <c r="BW11" s="21">
        <f t="shared" si="20"/>
        <v>27154404.400000002</v>
      </c>
      <c r="BX11" s="21">
        <f t="shared" si="20"/>
        <v>27154404.400000002</v>
      </c>
      <c r="BY11" s="21">
        <f t="shared" si="20"/>
        <v>27154404.400000002</v>
      </c>
      <c r="BZ11" s="21">
        <f t="shared" si="20"/>
        <v>27154404.400000002</v>
      </c>
      <c r="CA11" s="21">
        <f t="shared" si="20"/>
        <v>27154404.400000002</v>
      </c>
      <c r="CB11" s="21">
        <f t="shared" si="20"/>
        <v>27154404.400000002</v>
      </c>
      <c r="CC11" s="21">
        <f t="shared" si="20"/>
        <v>27154404.400000002</v>
      </c>
      <c r="CD11" s="21">
        <f t="shared" si="20"/>
        <v>27154404.400000002</v>
      </c>
      <c r="CE11" s="21">
        <f t="shared" si="20"/>
        <v>27154404.400000002</v>
      </c>
      <c r="CF11" s="21">
        <f t="shared" si="20"/>
        <v>27154404.400000002</v>
      </c>
      <c r="CG11" s="21">
        <f t="shared" si="20"/>
        <v>27154404.400000002</v>
      </c>
      <c r="CH11" s="21">
        <f t="shared" si="20"/>
        <v>27154404.400000002</v>
      </c>
      <c r="CI11" s="21">
        <f t="shared" si="20"/>
        <v>27154404.400000002</v>
      </c>
      <c r="CJ11" s="21">
        <f t="shared" si="20"/>
        <v>27154404.400000002</v>
      </c>
      <c r="CK11" s="21">
        <f t="shared" si="20"/>
        <v>27154404.400000002</v>
      </c>
      <c r="CL11" s="21">
        <f t="shared" si="20"/>
        <v>27154404.400000002</v>
      </c>
      <c r="CM11" s="21">
        <f t="shared" si="20"/>
        <v>27154404.400000002</v>
      </c>
      <c r="CN11" s="21">
        <f t="shared" si="20"/>
        <v>27154404.400000002</v>
      </c>
      <c r="CO11" s="21">
        <f t="shared" si="20"/>
        <v>27154404.400000002</v>
      </c>
      <c r="CP11" s="21">
        <f t="shared" si="20"/>
        <v>27154404.400000002</v>
      </c>
      <c r="CQ11" s="21">
        <f t="shared" si="20"/>
        <v>27154404.400000002</v>
      </c>
      <c r="CR11" s="21">
        <f t="shared" si="20"/>
        <v>27154404.400000002</v>
      </c>
      <c r="CS11" s="21">
        <f t="shared" si="20"/>
        <v>27154404.400000002</v>
      </c>
      <c r="CT11" s="21">
        <f t="shared" si="20"/>
        <v>27154404.400000002</v>
      </c>
      <c r="CU11" s="21">
        <f t="shared" si="20"/>
        <v>27154404.400000002</v>
      </c>
      <c r="CV11" s="21">
        <f t="shared" si="20"/>
        <v>27154404.400000002</v>
      </c>
      <c r="CW11" s="21">
        <f t="shared" si="20"/>
        <v>27154404.400000002</v>
      </c>
      <c r="CX11" s="21">
        <f t="shared" si="20"/>
        <v>27154404.400000002</v>
      </c>
      <c r="CY11" s="21">
        <f t="shared" si="20"/>
        <v>27154404.400000002</v>
      </c>
      <c r="CZ11" s="21">
        <f t="shared" si="20"/>
        <v>27154404.400000002</v>
      </c>
      <c r="DA11" s="21">
        <f t="shared" si="20"/>
        <v>27154404.400000002</v>
      </c>
      <c r="DB11" s="21">
        <f t="shared" si="20"/>
        <v>27154404.400000002</v>
      </c>
      <c r="DC11" s="21">
        <f t="shared" si="20"/>
        <v>27154404.400000002</v>
      </c>
      <c r="DD11" s="21">
        <f t="shared" si="20"/>
        <v>27154404.400000002</v>
      </c>
      <c r="DE11" s="21">
        <f t="shared" si="20"/>
        <v>27154404.400000002</v>
      </c>
      <c r="DF11" s="21">
        <f t="shared" si="20"/>
        <v>27154404.400000002</v>
      </c>
      <c r="DG11" s="21">
        <f t="shared" si="20"/>
        <v>27154404.400000002</v>
      </c>
      <c r="DH11" s="21">
        <f t="shared" si="20"/>
        <v>27154404.400000002</v>
      </c>
      <c r="DI11" s="21">
        <f t="shared" si="20"/>
        <v>27154404.400000002</v>
      </c>
      <c r="DJ11" s="21">
        <f t="shared" si="20"/>
        <v>27154404.400000002</v>
      </c>
      <c r="DK11" s="21">
        <f t="shared" si="20"/>
        <v>27154404.400000002</v>
      </c>
      <c r="DL11" s="21">
        <f t="shared" si="20"/>
        <v>27154404.400000002</v>
      </c>
      <c r="DM11" s="21">
        <f t="shared" si="20"/>
        <v>27154404.400000002</v>
      </c>
      <c r="DN11" s="21">
        <f t="shared" si="20"/>
        <v>27154404.400000002</v>
      </c>
      <c r="DO11" s="21">
        <f t="shared" si="20"/>
        <v>27154404.400000002</v>
      </c>
      <c r="DP11" s="21">
        <f t="shared" si="20"/>
        <v>27154404.400000002</v>
      </c>
      <c r="DQ11" s="21">
        <f t="shared" si="20"/>
        <v>27154404.400000002</v>
      </c>
      <c r="DR11" s="21">
        <f t="shared" si="20"/>
        <v>27154404.400000002</v>
      </c>
      <c r="DS11" s="21">
        <f t="shared" si="20"/>
        <v>27154404.400000002</v>
      </c>
      <c r="DT11" s="21">
        <f t="shared" si="20"/>
        <v>27154404.400000002</v>
      </c>
      <c r="DU11" s="21">
        <f t="shared" si="20"/>
        <v>27154404.400000002</v>
      </c>
      <c r="DV11" s="21">
        <f t="shared" si="20"/>
        <v>27154404.400000002</v>
      </c>
      <c r="DW11" s="21">
        <f t="shared" si="20"/>
        <v>27154404.400000002</v>
      </c>
      <c r="DX11" s="21">
        <f t="shared" si="20"/>
        <v>27154404.400000002</v>
      </c>
      <c r="DY11" s="21">
        <f t="shared" si="20"/>
        <v>27154404.400000002</v>
      </c>
      <c r="DZ11" s="21">
        <f t="shared" si="20"/>
        <v>27154404.400000002</v>
      </c>
      <c r="EA11" s="21">
        <f t="shared" si="20"/>
        <v>27154404.400000002</v>
      </c>
      <c r="EB11" s="21">
        <f t="shared" si="20"/>
        <v>27154404.400000002</v>
      </c>
      <c r="EC11" s="21">
        <f t="shared" si="20"/>
        <v>27154404.400000002</v>
      </c>
      <c r="ED11" s="21">
        <f t="shared" si="20"/>
        <v>27154404.400000002</v>
      </c>
      <c r="EE11" s="21">
        <f t="shared" ref="EE11:GP11" si="21">IF(IF(AND(ISNA(EE$5),ISNA(ED$5)),ED11*(1+$E11),IF(AND(ED$5&gt;0,ISNA(EE$5)),ED11*(1+$E11),EE$5))&gt;$C$21,$C$21,IF(AND(ISNA(EE$5),ISNA(ED$5)),ED11*(1+$E11),IF(AND(ED$5&gt;0,ISNA(EE$5)),ED11*(1+$E11),EE$5)))</f>
        <v>27154404.400000002</v>
      </c>
      <c r="EF11" s="21">
        <f t="shared" si="21"/>
        <v>27154404.400000002</v>
      </c>
      <c r="EG11" s="21">
        <f t="shared" si="21"/>
        <v>27154404.400000002</v>
      </c>
      <c r="EH11" s="21">
        <f t="shared" si="21"/>
        <v>27154404.400000002</v>
      </c>
      <c r="EI11" s="21">
        <f t="shared" si="21"/>
        <v>27154404.400000002</v>
      </c>
      <c r="EJ11" s="21">
        <f t="shared" si="21"/>
        <v>27154404.400000002</v>
      </c>
      <c r="EK11" s="21">
        <f t="shared" si="21"/>
        <v>27154404.400000002</v>
      </c>
      <c r="EL11" s="21">
        <f t="shared" si="21"/>
        <v>27154404.400000002</v>
      </c>
      <c r="EM11" s="21">
        <f t="shared" si="21"/>
        <v>27154404.400000002</v>
      </c>
      <c r="EN11" s="21">
        <f t="shared" si="21"/>
        <v>27154404.400000002</v>
      </c>
      <c r="EO11" s="21">
        <f t="shared" si="21"/>
        <v>27154404.400000002</v>
      </c>
      <c r="EP11" s="21">
        <f t="shared" si="21"/>
        <v>27154404.400000002</v>
      </c>
      <c r="EQ11" s="21">
        <f t="shared" si="21"/>
        <v>27154404.400000002</v>
      </c>
      <c r="ER11" s="21">
        <f t="shared" si="21"/>
        <v>27154404.400000002</v>
      </c>
      <c r="ES11" s="21">
        <f t="shared" si="21"/>
        <v>27154404.400000002</v>
      </c>
      <c r="ET11" s="21">
        <f t="shared" si="21"/>
        <v>27154404.400000002</v>
      </c>
      <c r="EU11" s="21">
        <f t="shared" si="21"/>
        <v>27154404.400000002</v>
      </c>
      <c r="EV11" s="21">
        <f t="shared" si="21"/>
        <v>27154404.400000002</v>
      </c>
      <c r="EW11" s="21">
        <f t="shared" si="21"/>
        <v>27154404.400000002</v>
      </c>
      <c r="EX11" s="21">
        <f t="shared" si="21"/>
        <v>27154404.400000002</v>
      </c>
      <c r="EY11" s="21">
        <f t="shared" si="21"/>
        <v>27154404.400000002</v>
      </c>
      <c r="EZ11" s="21">
        <f t="shared" si="21"/>
        <v>27154404.400000002</v>
      </c>
      <c r="FA11" s="21">
        <f t="shared" si="21"/>
        <v>27154404.400000002</v>
      </c>
      <c r="FB11" s="21">
        <f t="shared" si="21"/>
        <v>27154404.400000002</v>
      </c>
      <c r="FC11" s="21">
        <f t="shared" si="21"/>
        <v>27154404.400000002</v>
      </c>
      <c r="FD11" s="21">
        <f t="shared" si="21"/>
        <v>27154404.400000002</v>
      </c>
      <c r="FE11" s="21">
        <f t="shared" si="21"/>
        <v>27154404.400000002</v>
      </c>
      <c r="FF11" s="21">
        <f t="shared" si="21"/>
        <v>27154404.400000002</v>
      </c>
      <c r="FG11" s="21">
        <f t="shared" si="21"/>
        <v>27154404.400000002</v>
      </c>
      <c r="FH11" s="21">
        <f t="shared" si="21"/>
        <v>27154404.400000002</v>
      </c>
      <c r="FI11" s="21">
        <f t="shared" si="21"/>
        <v>27154404.400000002</v>
      </c>
      <c r="FJ11" s="21">
        <f t="shared" si="21"/>
        <v>27154404.400000002</v>
      </c>
      <c r="FK11" s="21">
        <f t="shared" si="21"/>
        <v>27154404.400000002</v>
      </c>
      <c r="FL11" s="21">
        <f t="shared" si="21"/>
        <v>27154404.400000002</v>
      </c>
      <c r="FM11" s="21">
        <f t="shared" si="21"/>
        <v>27154404.400000002</v>
      </c>
      <c r="FN11" s="21">
        <f t="shared" si="21"/>
        <v>27154404.400000002</v>
      </c>
      <c r="FO11" s="21">
        <f t="shared" si="21"/>
        <v>27154404.400000002</v>
      </c>
      <c r="FP11" s="21">
        <f t="shared" si="21"/>
        <v>27154404.400000002</v>
      </c>
      <c r="FQ11" s="21">
        <f t="shared" si="21"/>
        <v>27154404.400000002</v>
      </c>
      <c r="FR11" s="21">
        <f t="shared" si="21"/>
        <v>27154404.400000002</v>
      </c>
      <c r="FS11" s="21">
        <f t="shared" si="21"/>
        <v>27154404.400000002</v>
      </c>
      <c r="FT11" s="21">
        <f t="shared" si="21"/>
        <v>27154404.400000002</v>
      </c>
      <c r="FU11" s="21">
        <f t="shared" si="21"/>
        <v>27154404.400000002</v>
      </c>
      <c r="FV11" s="21">
        <f t="shared" si="21"/>
        <v>27154404.400000002</v>
      </c>
      <c r="FW11" s="21">
        <f t="shared" si="21"/>
        <v>27154404.400000002</v>
      </c>
      <c r="FX11" s="21">
        <f t="shared" si="21"/>
        <v>27154404.400000002</v>
      </c>
      <c r="FY11" s="21">
        <f t="shared" si="21"/>
        <v>27154404.400000002</v>
      </c>
      <c r="FZ11" s="21">
        <f t="shared" si="21"/>
        <v>27154404.400000002</v>
      </c>
      <c r="GA11" s="21">
        <f t="shared" si="21"/>
        <v>27154404.400000002</v>
      </c>
      <c r="GB11" s="21">
        <f t="shared" si="21"/>
        <v>27154404.400000002</v>
      </c>
      <c r="GC11" s="21">
        <f t="shared" si="21"/>
        <v>27154404.400000002</v>
      </c>
      <c r="GD11" s="21">
        <f t="shared" si="21"/>
        <v>27154404.400000002</v>
      </c>
      <c r="GE11" s="21">
        <f t="shared" si="21"/>
        <v>27154404.400000002</v>
      </c>
      <c r="GF11" s="21">
        <f t="shared" si="21"/>
        <v>27154404.400000002</v>
      </c>
      <c r="GG11" s="21">
        <f t="shared" si="21"/>
        <v>27154404.400000002</v>
      </c>
      <c r="GH11" s="21">
        <f t="shared" si="21"/>
        <v>27154404.400000002</v>
      </c>
      <c r="GI11" s="21">
        <f t="shared" si="21"/>
        <v>27154404.400000002</v>
      </c>
      <c r="GJ11" s="21">
        <f t="shared" si="21"/>
        <v>27154404.400000002</v>
      </c>
      <c r="GK11" s="21">
        <f t="shared" si="21"/>
        <v>27154404.400000002</v>
      </c>
      <c r="GL11" s="21">
        <f t="shared" si="21"/>
        <v>27154404.400000002</v>
      </c>
      <c r="GM11" s="21">
        <f t="shared" si="21"/>
        <v>27154404.400000002</v>
      </c>
      <c r="GN11" s="21">
        <f t="shared" si="21"/>
        <v>27154404.400000002</v>
      </c>
      <c r="GO11" s="21">
        <f t="shared" si="21"/>
        <v>27154404.400000002</v>
      </c>
      <c r="GP11" s="21">
        <f t="shared" si="21"/>
        <v>27154404.400000002</v>
      </c>
      <c r="GQ11" s="21">
        <f t="shared" ref="GQ11:IN11" si="22">IF(IF(AND(ISNA(GQ$5),ISNA(GP$5)),GP11*(1+$E11),IF(AND(GP$5&gt;0,ISNA(GQ$5)),GP11*(1+$E11),GQ$5))&gt;$C$21,$C$21,IF(AND(ISNA(GQ$5),ISNA(GP$5)),GP11*(1+$E11),IF(AND(GP$5&gt;0,ISNA(GQ$5)),GP11*(1+$E11),GQ$5)))</f>
        <v>27154404.400000002</v>
      </c>
      <c r="GR11" s="21">
        <f t="shared" si="22"/>
        <v>27154404.400000002</v>
      </c>
      <c r="GS11" s="21">
        <f t="shared" si="22"/>
        <v>27154404.400000002</v>
      </c>
      <c r="GT11" s="21">
        <f t="shared" si="22"/>
        <v>27154404.400000002</v>
      </c>
      <c r="GU11" s="21">
        <f t="shared" si="22"/>
        <v>27154404.400000002</v>
      </c>
      <c r="GV11" s="21">
        <f t="shared" si="22"/>
        <v>27154404.400000002</v>
      </c>
      <c r="GW11" s="21">
        <f t="shared" si="22"/>
        <v>27154404.400000002</v>
      </c>
      <c r="GX11" s="21">
        <f t="shared" si="22"/>
        <v>27154404.400000002</v>
      </c>
      <c r="GY11" s="21">
        <f t="shared" si="22"/>
        <v>27154404.400000002</v>
      </c>
      <c r="GZ11" s="21">
        <f t="shared" si="22"/>
        <v>27154404.400000002</v>
      </c>
      <c r="HA11" s="21">
        <f t="shared" si="22"/>
        <v>27154404.400000002</v>
      </c>
      <c r="HB11" s="21">
        <f t="shared" si="22"/>
        <v>27154404.400000002</v>
      </c>
      <c r="HC11" s="21">
        <f t="shared" si="22"/>
        <v>27154404.400000002</v>
      </c>
      <c r="HD11" s="21">
        <f t="shared" si="22"/>
        <v>27154404.400000002</v>
      </c>
      <c r="HE11" s="21">
        <f t="shared" si="22"/>
        <v>27154404.400000002</v>
      </c>
      <c r="HF11" s="21">
        <f t="shared" si="22"/>
        <v>27154404.400000002</v>
      </c>
      <c r="HG11" s="21">
        <f t="shared" si="22"/>
        <v>27154404.400000002</v>
      </c>
      <c r="HH11" s="21">
        <f t="shared" si="22"/>
        <v>27154404.400000002</v>
      </c>
      <c r="HI11" s="21">
        <f t="shared" si="22"/>
        <v>27154404.400000002</v>
      </c>
      <c r="HJ11" s="21">
        <f t="shared" si="22"/>
        <v>27154404.400000002</v>
      </c>
      <c r="HK11" s="21">
        <f t="shared" si="22"/>
        <v>27154404.400000002</v>
      </c>
      <c r="HL11" s="21">
        <f t="shared" si="22"/>
        <v>27154404.400000002</v>
      </c>
      <c r="HM11" s="21">
        <f t="shared" si="22"/>
        <v>27154404.400000002</v>
      </c>
      <c r="HN11" s="21">
        <f t="shared" si="22"/>
        <v>27154404.400000002</v>
      </c>
      <c r="HO11" s="21">
        <f t="shared" si="22"/>
        <v>27154404.400000002</v>
      </c>
      <c r="HP11" s="21">
        <f t="shared" si="22"/>
        <v>27154404.400000002</v>
      </c>
      <c r="HQ11" s="21">
        <f t="shared" si="22"/>
        <v>27154404.400000002</v>
      </c>
      <c r="HR11" s="21">
        <f t="shared" si="22"/>
        <v>27154404.400000002</v>
      </c>
      <c r="HS11" s="21">
        <f t="shared" si="22"/>
        <v>27154404.400000002</v>
      </c>
      <c r="HT11" s="21">
        <f t="shared" si="22"/>
        <v>27154404.400000002</v>
      </c>
      <c r="HU11" s="21">
        <f t="shared" si="22"/>
        <v>27154404.400000002</v>
      </c>
      <c r="HV11" s="21">
        <f t="shared" si="22"/>
        <v>27154404.400000002</v>
      </c>
      <c r="HW11" s="21">
        <f t="shared" si="22"/>
        <v>27154404.400000002</v>
      </c>
      <c r="HX11" s="21">
        <f t="shared" si="22"/>
        <v>27154404.400000002</v>
      </c>
      <c r="HY11" s="21">
        <f t="shared" si="22"/>
        <v>27154404.400000002</v>
      </c>
      <c r="HZ11" s="21">
        <f t="shared" si="22"/>
        <v>27154404.400000002</v>
      </c>
      <c r="IA11" s="21">
        <f t="shared" si="22"/>
        <v>27154404.400000002</v>
      </c>
      <c r="IB11" s="21">
        <f t="shared" si="22"/>
        <v>27154404.400000002</v>
      </c>
      <c r="IC11" s="21">
        <f t="shared" si="22"/>
        <v>27154404.400000002</v>
      </c>
      <c r="ID11" s="21">
        <f t="shared" si="22"/>
        <v>27154404.400000002</v>
      </c>
      <c r="IE11" s="21">
        <f t="shared" si="22"/>
        <v>27154404.400000002</v>
      </c>
      <c r="IF11" s="21">
        <f t="shared" si="22"/>
        <v>27154404.400000002</v>
      </c>
      <c r="IG11" s="21">
        <f t="shared" si="22"/>
        <v>27154404.400000002</v>
      </c>
      <c r="IH11" s="21">
        <f t="shared" si="22"/>
        <v>27154404.400000002</v>
      </c>
      <c r="II11" s="21">
        <f t="shared" si="22"/>
        <v>27154404.400000002</v>
      </c>
      <c r="IJ11" s="21">
        <f t="shared" si="22"/>
        <v>27154404.400000002</v>
      </c>
      <c r="IK11" s="21">
        <f t="shared" si="22"/>
        <v>27154404.400000002</v>
      </c>
      <c r="IL11" s="21">
        <f t="shared" si="22"/>
        <v>27154404.400000002</v>
      </c>
      <c r="IM11" s="21">
        <f t="shared" si="22"/>
        <v>27154404.400000002</v>
      </c>
      <c r="IN11" s="21">
        <f t="shared" si="22"/>
        <v>27154404.400000002</v>
      </c>
    </row>
    <row r="12" spans="2:248" x14ac:dyDescent="0.3">
      <c r="B12" s="19" t="s">
        <v>533</v>
      </c>
      <c r="C12" s="44">
        <f>VLOOKUP(B2,Days_Since_100!C:G,5,FALSE)-1</f>
        <v>0.26714939712946473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B13" s="19" t="s">
        <v>560</v>
      </c>
      <c r="C13" s="78">
        <f ca="1">(HLOOKUP($C$5-1,$G$4:IN25,22,FALSE)-HLOOKUP($C$5-(C10*2)-1,$G$4:$IN$25,22,FALSE))/(C10*2)</f>
        <v>3.5421084889767362E-3</v>
      </c>
      <c r="F13" s="22" t="s">
        <v>454</v>
      </c>
      <c r="G13" s="21">
        <f t="shared" ref="G13:BR13" si="23">IF(IF(AND(ISNA(G$5),ISNA(F$5)),F13*(1+$E13),IF(AND(F$5&gt;0,ISNA(G$5)),F13*(1+$E13),G$5))&gt;$C$21,$C$21,IF(AND(ISNA(G$5),ISNA(F$5)),F13*(1+$E13),IF(AND(F$5&gt;0,ISNA(G$5)),F13*(1+$E13),G$5)))</f>
        <v>107</v>
      </c>
      <c r="H13" s="21">
        <f t="shared" si="23"/>
        <v>154</v>
      </c>
      <c r="I13" s="21">
        <f t="shared" si="23"/>
        <v>187</v>
      </c>
      <c r="J13" s="21">
        <f t="shared" si="23"/>
        <v>253</v>
      </c>
      <c r="K13" s="21">
        <f t="shared" si="23"/>
        <v>300</v>
      </c>
      <c r="L13" s="21">
        <f t="shared" si="23"/>
        <v>359</v>
      </c>
      <c r="M13" s="21">
        <f t="shared" si="23"/>
        <v>432</v>
      </c>
      <c r="N13" s="21">
        <f t="shared" si="23"/>
        <v>563</v>
      </c>
      <c r="O13" s="21">
        <f t="shared" si="23"/>
        <v>775</v>
      </c>
      <c r="P13" s="21">
        <f t="shared" si="23"/>
        <v>1104</v>
      </c>
      <c r="Q13" s="21">
        <f t="shared" si="23"/>
        <v>1315</v>
      </c>
      <c r="R13" s="21">
        <f t="shared" si="23"/>
        <v>1474</v>
      </c>
      <c r="S13" s="21">
        <f t="shared" si="23"/>
        <v>1851</v>
      </c>
      <c r="T13" s="21">
        <f t="shared" si="23"/>
        <v>2503</v>
      </c>
      <c r="U13" s="21">
        <f t="shared" si="23"/>
        <v>3100</v>
      </c>
      <c r="V13" s="21">
        <f t="shared" si="23"/>
        <v>3769</v>
      </c>
      <c r="W13" s="21">
        <f t="shared" si="23"/>
        <v>4766</v>
      </c>
      <c r="X13" s="21">
        <f t="shared" si="23"/>
        <v>4766</v>
      </c>
      <c r="Y13" s="21">
        <f t="shared" si="23"/>
        <v>4766</v>
      </c>
      <c r="Z13" s="21">
        <f t="shared" si="23"/>
        <v>4766</v>
      </c>
      <c r="AA13" s="21">
        <f t="shared" si="23"/>
        <v>4766</v>
      </c>
      <c r="AB13" s="21">
        <f t="shared" si="23"/>
        <v>4766</v>
      </c>
      <c r="AC13" s="21">
        <f t="shared" si="23"/>
        <v>4766</v>
      </c>
      <c r="AD13" s="21">
        <f t="shared" si="23"/>
        <v>4766</v>
      </c>
      <c r="AE13" s="21">
        <f t="shared" si="23"/>
        <v>4766</v>
      </c>
      <c r="AF13" s="21">
        <f t="shared" si="23"/>
        <v>4766</v>
      </c>
      <c r="AG13" s="21">
        <f t="shared" si="23"/>
        <v>4766</v>
      </c>
      <c r="AH13" s="21">
        <f t="shared" si="23"/>
        <v>4766</v>
      </c>
      <c r="AI13" s="21">
        <f t="shared" si="23"/>
        <v>4766</v>
      </c>
      <c r="AJ13" s="21">
        <f t="shared" si="23"/>
        <v>4766</v>
      </c>
      <c r="AK13" s="21">
        <f t="shared" si="23"/>
        <v>4766</v>
      </c>
      <c r="AL13" s="21">
        <f t="shared" si="23"/>
        <v>4766</v>
      </c>
      <c r="AM13" s="21">
        <f t="shared" si="23"/>
        <v>4766</v>
      </c>
      <c r="AN13" s="21">
        <f t="shared" si="23"/>
        <v>4766</v>
      </c>
      <c r="AO13" s="21">
        <f t="shared" si="23"/>
        <v>4766</v>
      </c>
      <c r="AP13" s="21">
        <f t="shared" si="23"/>
        <v>4766</v>
      </c>
      <c r="AQ13" s="21">
        <f t="shared" si="23"/>
        <v>4766</v>
      </c>
      <c r="AR13" s="21">
        <f t="shared" si="23"/>
        <v>4766</v>
      </c>
      <c r="AS13" s="21">
        <f t="shared" si="23"/>
        <v>4766</v>
      </c>
      <c r="AT13" s="21">
        <f t="shared" si="23"/>
        <v>4766</v>
      </c>
      <c r="AU13" s="21">
        <f t="shared" si="23"/>
        <v>4766</v>
      </c>
      <c r="AV13" s="21">
        <f t="shared" si="23"/>
        <v>4766</v>
      </c>
      <c r="AW13" s="21">
        <f t="shared" si="23"/>
        <v>4766</v>
      </c>
      <c r="AX13" s="21">
        <f t="shared" si="23"/>
        <v>4766</v>
      </c>
      <c r="AY13" s="21">
        <f t="shared" si="23"/>
        <v>4766</v>
      </c>
      <c r="AZ13" s="21">
        <f t="shared" si="23"/>
        <v>4766</v>
      </c>
      <c r="BA13" s="21">
        <f t="shared" si="23"/>
        <v>4766</v>
      </c>
      <c r="BB13" s="21">
        <f t="shared" si="23"/>
        <v>4766</v>
      </c>
      <c r="BC13" s="21">
        <f t="shared" si="23"/>
        <v>4766</v>
      </c>
      <c r="BD13" s="21">
        <f t="shared" si="23"/>
        <v>4766</v>
      </c>
      <c r="BE13" s="21">
        <f t="shared" si="23"/>
        <v>4766</v>
      </c>
      <c r="BF13" s="21">
        <f t="shared" si="23"/>
        <v>4766</v>
      </c>
      <c r="BG13" s="21">
        <f t="shared" si="23"/>
        <v>4766</v>
      </c>
      <c r="BH13" s="21">
        <f t="shared" si="23"/>
        <v>4766</v>
      </c>
      <c r="BI13" s="21">
        <f t="shared" si="23"/>
        <v>4766</v>
      </c>
      <c r="BJ13" s="21">
        <f t="shared" si="23"/>
        <v>4766</v>
      </c>
      <c r="BK13" s="21">
        <f t="shared" si="23"/>
        <v>4766</v>
      </c>
      <c r="BL13" s="21">
        <f t="shared" si="23"/>
        <v>4766</v>
      </c>
      <c r="BM13" s="21">
        <f t="shared" si="23"/>
        <v>4766</v>
      </c>
      <c r="BN13" s="21">
        <f t="shared" si="23"/>
        <v>4766</v>
      </c>
      <c r="BO13" s="21">
        <f t="shared" si="23"/>
        <v>4766</v>
      </c>
      <c r="BP13" s="21">
        <f t="shared" si="23"/>
        <v>4766</v>
      </c>
      <c r="BQ13" s="21">
        <f t="shared" si="23"/>
        <v>4766</v>
      </c>
      <c r="BR13" s="21">
        <f t="shared" si="23"/>
        <v>4766</v>
      </c>
      <c r="BS13" s="21">
        <f t="shared" ref="BS13:ED13" si="24">IF(IF(AND(ISNA(BS$5),ISNA(BR$5)),BR13*(1+$E13),IF(AND(BR$5&gt;0,ISNA(BS$5)),BR13*(1+$E13),BS$5))&gt;$C$21,$C$21,IF(AND(ISNA(BS$5),ISNA(BR$5)),BR13*(1+$E13),IF(AND(BR$5&gt;0,ISNA(BS$5)),BR13*(1+$E13),BS$5)))</f>
        <v>4766</v>
      </c>
      <c r="BT13" s="21">
        <f t="shared" si="24"/>
        <v>4766</v>
      </c>
      <c r="BU13" s="21">
        <f t="shared" si="24"/>
        <v>4766</v>
      </c>
      <c r="BV13" s="21">
        <f t="shared" si="24"/>
        <v>4766</v>
      </c>
      <c r="BW13" s="21">
        <f t="shared" si="24"/>
        <v>4766</v>
      </c>
      <c r="BX13" s="21">
        <f t="shared" si="24"/>
        <v>4766</v>
      </c>
      <c r="BY13" s="21">
        <f t="shared" si="24"/>
        <v>4766</v>
      </c>
      <c r="BZ13" s="21">
        <f t="shared" si="24"/>
        <v>4766</v>
      </c>
      <c r="CA13" s="21">
        <f t="shared" si="24"/>
        <v>4766</v>
      </c>
      <c r="CB13" s="21">
        <f t="shared" si="24"/>
        <v>4766</v>
      </c>
      <c r="CC13" s="21">
        <f t="shared" si="24"/>
        <v>4766</v>
      </c>
      <c r="CD13" s="21">
        <f t="shared" si="24"/>
        <v>4766</v>
      </c>
      <c r="CE13" s="21">
        <f t="shared" si="24"/>
        <v>4766</v>
      </c>
      <c r="CF13" s="21">
        <f t="shared" si="24"/>
        <v>4766</v>
      </c>
      <c r="CG13" s="21">
        <f t="shared" si="24"/>
        <v>4766</v>
      </c>
      <c r="CH13" s="21">
        <f t="shared" si="24"/>
        <v>4766</v>
      </c>
      <c r="CI13" s="21">
        <f t="shared" si="24"/>
        <v>4766</v>
      </c>
      <c r="CJ13" s="21">
        <f t="shared" si="24"/>
        <v>4766</v>
      </c>
      <c r="CK13" s="21">
        <f t="shared" si="24"/>
        <v>4766</v>
      </c>
      <c r="CL13" s="21">
        <f t="shared" si="24"/>
        <v>4766</v>
      </c>
      <c r="CM13" s="21">
        <f t="shared" si="24"/>
        <v>4766</v>
      </c>
      <c r="CN13" s="21">
        <f t="shared" si="24"/>
        <v>4766</v>
      </c>
      <c r="CO13" s="21">
        <f t="shared" si="24"/>
        <v>4766</v>
      </c>
      <c r="CP13" s="21">
        <f t="shared" si="24"/>
        <v>4766</v>
      </c>
      <c r="CQ13" s="21">
        <f t="shared" si="24"/>
        <v>4766</v>
      </c>
      <c r="CR13" s="21">
        <f t="shared" si="24"/>
        <v>4766</v>
      </c>
      <c r="CS13" s="21">
        <f t="shared" si="24"/>
        <v>4766</v>
      </c>
      <c r="CT13" s="21">
        <f t="shared" si="24"/>
        <v>4766</v>
      </c>
      <c r="CU13" s="21">
        <f t="shared" si="24"/>
        <v>4766</v>
      </c>
      <c r="CV13" s="21">
        <f t="shared" si="24"/>
        <v>4766</v>
      </c>
      <c r="CW13" s="21">
        <f t="shared" si="24"/>
        <v>4766</v>
      </c>
      <c r="CX13" s="21">
        <f t="shared" si="24"/>
        <v>4766</v>
      </c>
      <c r="CY13" s="21">
        <f t="shared" si="24"/>
        <v>4766</v>
      </c>
      <c r="CZ13" s="21">
        <f t="shared" si="24"/>
        <v>4766</v>
      </c>
      <c r="DA13" s="21">
        <f t="shared" si="24"/>
        <v>4766</v>
      </c>
      <c r="DB13" s="21">
        <f t="shared" si="24"/>
        <v>4766</v>
      </c>
      <c r="DC13" s="21">
        <f t="shared" si="24"/>
        <v>4766</v>
      </c>
      <c r="DD13" s="21">
        <f t="shared" si="24"/>
        <v>4766</v>
      </c>
      <c r="DE13" s="21">
        <f t="shared" si="24"/>
        <v>4766</v>
      </c>
      <c r="DF13" s="21">
        <f t="shared" si="24"/>
        <v>4766</v>
      </c>
      <c r="DG13" s="21">
        <f t="shared" si="24"/>
        <v>4766</v>
      </c>
      <c r="DH13" s="21">
        <f t="shared" si="24"/>
        <v>4766</v>
      </c>
      <c r="DI13" s="21">
        <f t="shared" si="24"/>
        <v>4766</v>
      </c>
      <c r="DJ13" s="21">
        <f t="shared" si="24"/>
        <v>4766</v>
      </c>
      <c r="DK13" s="21">
        <f t="shared" si="24"/>
        <v>4766</v>
      </c>
      <c r="DL13" s="21">
        <f t="shared" si="24"/>
        <v>4766</v>
      </c>
      <c r="DM13" s="21">
        <f t="shared" si="24"/>
        <v>4766</v>
      </c>
      <c r="DN13" s="21">
        <f t="shared" si="24"/>
        <v>4766</v>
      </c>
      <c r="DO13" s="21">
        <f t="shared" si="24"/>
        <v>4766</v>
      </c>
      <c r="DP13" s="21">
        <f t="shared" si="24"/>
        <v>4766</v>
      </c>
      <c r="DQ13" s="21">
        <f t="shared" si="24"/>
        <v>4766</v>
      </c>
      <c r="DR13" s="21">
        <f t="shared" si="24"/>
        <v>4766</v>
      </c>
      <c r="DS13" s="21">
        <f t="shared" si="24"/>
        <v>4766</v>
      </c>
      <c r="DT13" s="21">
        <f t="shared" si="24"/>
        <v>4766</v>
      </c>
      <c r="DU13" s="21">
        <f t="shared" si="24"/>
        <v>4766</v>
      </c>
      <c r="DV13" s="21">
        <f t="shared" si="24"/>
        <v>4766</v>
      </c>
      <c r="DW13" s="21">
        <f t="shared" si="24"/>
        <v>4766</v>
      </c>
      <c r="DX13" s="21">
        <f t="shared" si="24"/>
        <v>4766</v>
      </c>
      <c r="DY13" s="21">
        <f t="shared" si="24"/>
        <v>4766</v>
      </c>
      <c r="DZ13" s="21">
        <f t="shared" si="24"/>
        <v>4766</v>
      </c>
      <c r="EA13" s="21">
        <f t="shared" si="24"/>
        <v>4766</v>
      </c>
      <c r="EB13" s="21">
        <f t="shared" si="24"/>
        <v>4766</v>
      </c>
      <c r="EC13" s="21">
        <f t="shared" si="24"/>
        <v>4766</v>
      </c>
      <c r="ED13" s="21">
        <f t="shared" si="24"/>
        <v>4766</v>
      </c>
      <c r="EE13" s="21">
        <f t="shared" ref="EE13:GP13" si="25">IF(IF(AND(ISNA(EE$5),ISNA(ED$5)),ED13*(1+$E13),IF(AND(ED$5&gt;0,ISNA(EE$5)),ED13*(1+$E13),EE$5))&gt;$C$21,$C$21,IF(AND(ISNA(EE$5),ISNA(ED$5)),ED13*(1+$E13),IF(AND(ED$5&gt;0,ISNA(EE$5)),ED13*(1+$E13),EE$5)))</f>
        <v>4766</v>
      </c>
      <c r="EF13" s="21">
        <f t="shared" si="25"/>
        <v>4766</v>
      </c>
      <c r="EG13" s="21">
        <f t="shared" si="25"/>
        <v>4766</v>
      </c>
      <c r="EH13" s="21">
        <f t="shared" si="25"/>
        <v>4766</v>
      </c>
      <c r="EI13" s="21">
        <f t="shared" si="25"/>
        <v>4766</v>
      </c>
      <c r="EJ13" s="21">
        <f t="shared" si="25"/>
        <v>4766</v>
      </c>
      <c r="EK13" s="21">
        <f t="shared" si="25"/>
        <v>4766</v>
      </c>
      <c r="EL13" s="21">
        <f t="shared" si="25"/>
        <v>4766</v>
      </c>
      <c r="EM13" s="21">
        <f t="shared" si="25"/>
        <v>4766</v>
      </c>
      <c r="EN13" s="21">
        <f t="shared" si="25"/>
        <v>4766</v>
      </c>
      <c r="EO13" s="21">
        <f t="shared" si="25"/>
        <v>4766</v>
      </c>
      <c r="EP13" s="21">
        <f t="shared" si="25"/>
        <v>4766</v>
      </c>
      <c r="EQ13" s="21">
        <f t="shared" si="25"/>
        <v>4766</v>
      </c>
      <c r="ER13" s="21">
        <f t="shared" si="25"/>
        <v>4766</v>
      </c>
      <c r="ES13" s="21">
        <f t="shared" si="25"/>
        <v>4766</v>
      </c>
      <c r="ET13" s="21">
        <f t="shared" si="25"/>
        <v>4766</v>
      </c>
      <c r="EU13" s="21">
        <f t="shared" si="25"/>
        <v>4766</v>
      </c>
      <c r="EV13" s="21">
        <f t="shared" si="25"/>
        <v>4766</v>
      </c>
      <c r="EW13" s="21">
        <f t="shared" si="25"/>
        <v>4766</v>
      </c>
      <c r="EX13" s="21">
        <f t="shared" si="25"/>
        <v>4766</v>
      </c>
      <c r="EY13" s="21">
        <f t="shared" si="25"/>
        <v>4766</v>
      </c>
      <c r="EZ13" s="21">
        <f t="shared" si="25"/>
        <v>4766</v>
      </c>
      <c r="FA13" s="21">
        <f t="shared" si="25"/>
        <v>4766</v>
      </c>
      <c r="FB13" s="21">
        <f t="shared" si="25"/>
        <v>4766</v>
      </c>
      <c r="FC13" s="21">
        <f t="shared" si="25"/>
        <v>4766</v>
      </c>
      <c r="FD13" s="21">
        <f t="shared" si="25"/>
        <v>4766</v>
      </c>
      <c r="FE13" s="21">
        <f t="shared" si="25"/>
        <v>4766</v>
      </c>
      <c r="FF13" s="21">
        <f t="shared" si="25"/>
        <v>4766</v>
      </c>
      <c r="FG13" s="21">
        <f t="shared" si="25"/>
        <v>4766</v>
      </c>
      <c r="FH13" s="21">
        <f t="shared" si="25"/>
        <v>4766</v>
      </c>
      <c r="FI13" s="21">
        <f t="shared" si="25"/>
        <v>4766</v>
      </c>
      <c r="FJ13" s="21">
        <f t="shared" si="25"/>
        <v>4766</v>
      </c>
      <c r="FK13" s="21">
        <f t="shared" si="25"/>
        <v>4766</v>
      </c>
      <c r="FL13" s="21">
        <f t="shared" si="25"/>
        <v>4766</v>
      </c>
      <c r="FM13" s="21">
        <f t="shared" si="25"/>
        <v>4766</v>
      </c>
      <c r="FN13" s="21">
        <f t="shared" si="25"/>
        <v>4766</v>
      </c>
      <c r="FO13" s="21">
        <f t="shared" si="25"/>
        <v>4766</v>
      </c>
      <c r="FP13" s="21">
        <f t="shared" si="25"/>
        <v>4766</v>
      </c>
      <c r="FQ13" s="21">
        <f t="shared" si="25"/>
        <v>4766</v>
      </c>
      <c r="FR13" s="21">
        <f t="shared" si="25"/>
        <v>4766</v>
      </c>
      <c r="FS13" s="21">
        <f t="shared" si="25"/>
        <v>4766</v>
      </c>
      <c r="FT13" s="21">
        <f t="shared" si="25"/>
        <v>4766</v>
      </c>
      <c r="FU13" s="21">
        <f t="shared" si="25"/>
        <v>4766</v>
      </c>
      <c r="FV13" s="21">
        <f t="shared" si="25"/>
        <v>4766</v>
      </c>
      <c r="FW13" s="21">
        <f t="shared" si="25"/>
        <v>4766</v>
      </c>
      <c r="FX13" s="21">
        <f t="shared" si="25"/>
        <v>4766</v>
      </c>
      <c r="FY13" s="21">
        <f t="shared" si="25"/>
        <v>4766</v>
      </c>
      <c r="FZ13" s="21">
        <f t="shared" si="25"/>
        <v>4766</v>
      </c>
      <c r="GA13" s="21">
        <f t="shared" si="25"/>
        <v>4766</v>
      </c>
      <c r="GB13" s="21">
        <f t="shared" si="25"/>
        <v>4766</v>
      </c>
      <c r="GC13" s="21">
        <f t="shared" si="25"/>
        <v>4766</v>
      </c>
      <c r="GD13" s="21">
        <f t="shared" si="25"/>
        <v>4766</v>
      </c>
      <c r="GE13" s="21">
        <f t="shared" si="25"/>
        <v>4766</v>
      </c>
      <c r="GF13" s="21">
        <f t="shared" si="25"/>
        <v>4766</v>
      </c>
      <c r="GG13" s="21">
        <f t="shared" si="25"/>
        <v>4766</v>
      </c>
      <c r="GH13" s="21">
        <f t="shared" si="25"/>
        <v>4766</v>
      </c>
      <c r="GI13" s="21">
        <f t="shared" si="25"/>
        <v>4766</v>
      </c>
      <c r="GJ13" s="21">
        <f t="shared" si="25"/>
        <v>4766</v>
      </c>
      <c r="GK13" s="21">
        <f t="shared" si="25"/>
        <v>4766</v>
      </c>
      <c r="GL13" s="21">
        <f t="shared" si="25"/>
        <v>4766</v>
      </c>
      <c r="GM13" s="21">
        <f t="shared" si="25"/>
        <v>4766</v>
      </c>
      <c r="GN13" s="21">
        <f t="shared" si="25"/>
        <v>4766</v>
      </c>
      <c r="GO13" s="21">
        <f t="shared" si="25"/>
        <v>4766</v>
      </c>
      <c r="GP13" s="21">
        <f t="shared" si="25"/>
        <v>4766</v>
      </c>
      <c r="GQ13" s="21">
        <f t="shared" ref="GQ13:IN13" si="26">IF(IF(AND(ISNA(GQ$5),ISNA(GP$5)),GP13*(1+$E13),IF(AND(GP$5&gt;0,ISNA(GQ$5)),GP13*(1+$E13),GQ$5))&gt;$C$21,$C$21,IF(AND(ISNA(GQ$5),ISNA(GP$5)),GP13*(1+$E13),IF(AND(GP$5&gt;0,ISNA(GQ$5)),GP13*(1+$E13),GQ$5)))</f>
        <v>4766</v>
      </c>
      <c r="GR13" s="21">
        <f t="shared" si="26"/>
        <v>4766</v>
      </c>
      <c r="GS13" s="21">
        <f t="shared" si="26"/>
        <v>4766</v>
      </c>
      <c r="GT13" s="21">
        <f t="shared" si="26"/>
        <v>4766</v>
      </c>
      <c r="GU13" s="21">
        <f t="shared" si="26"/>
        <v>4766</v>
      </c>
      <c r="GV13" s="21">
        <f t="shared" si="26"/>
        <v>4766</v>
      </c>
      <c r="GW13" s="21">
        <f t="shared" si="26"/>
        <v>4766</v>
      </c>
      <c r="GX13" s="21">
        <f t="shared" si="26"/>
        <v>4766</v>
      </c>
      <c r="GY13" s="21">
        <f t="shared" si="26"/>
        <v>4766</v>
      </c>
      <c r="GZ13" s="21">
        <f t="shared" si="26"/>
        <v>4766</v>
      </c>
      <c r="HA13" s="21">
        <f t="shared" si="26"/>
        <v>4766</v>
      </c>
      <c r="HB13" s="21">
        <f t="shared" si="26"/>
        <v>4766</v>
      </c>
      <c r="HC13" s="21">
        <f t="shared" si="26"/>
        <v>4766</v>
      </c>
      <c r="HD13" s="21">
        <f t="shared" si="26"/>
        <v>4766</v>
      </c>
      <c r="HE13" s="21">
        <f t="shared" si="26"/>
        <v>4766</v>
      </c>
      <c r="HF13" s="21">
        <f t="shared" si="26"/>
        <v>4766</v>
      </c>
      <c r="HG13" s="21">
        <f t="shared" si="26"/>
        <v>4766</v>
      </c>
      <c r="HH13" s="21">
        <f t="shared" si="26"/>
        <v>4766</v>
      </c>
      <c r="HI13" s="21">
        <f t="shared" si="26"/>
        <v>4766</v>
      </c>
      <c r="HJ13" s="21">
        <f t="shared" si="26"/>
        <v>4766</v>
      </c>
      <c r="HK13" s="21">
        <f t="shared" si="26"/>
        <v>4766</v>
      </c>
      <c r="HL13" s="21">
        <f t="shared" si="26"/>
        <v>4766</v>
      </c>
      <c r="HM13" s="21">
        <f t="shared" si="26"/>
        <v>4766</v>
      </c>
      <c r="HN13" s="21">
        <f t="shared" si="26"/>
        <v>4766</v>
      </c>
      <c r="HO13" s="21">
        <f t="shared" si="26"/>
        <v>4766</v>
      </c>
      <c r="HP13" s="21">
        <f t="shared" si="26"/>
        <v>4766</v>
      </c>
      <c r="HQ13" s="21">
        <f t="shared" si="26"/>
        <v>4766</v>
      </c>
      <c r="HR13" s="21">
        <f t="shared" si="26"/>
        <v>4766</v>
      </c>
      <c r="HS13" s="21">
        <f t="shared" si="26"/>
        <v>4766</v>
      </c>
      <c r="HT13" s="21">
        <f t="shared" si="26"/>
        <v>4766</v>
      </c>
      <c r="HU13" s="21">
        <f t="shared" si="26"/>
        <v>4766</v>
      </c>
      <c r="HV13" s="21">
        <f t="shared" si="26"/>
        <v>4766</v>
      </c>
      <c r="HW13" s="21">
        <f t="shared" si="26"/>
        <v>4766</v>
      </c>
      <c r="HX13" s="21">
        <f t="shared" si="26"/>
        <v>4766</v>
      </c>
      <c r="HY13" s="21">
        <f t="shared" si="26"/>
        <v>4766</v>
      </c>
      <c r="HZ13" s="21">
        <f t="shared" si="26"/>
        <v>4766</v>
      </c>
      <c r="IA13" s="21">
        <f t="shared" si="26"/>
        <v>4766</v>
      </c>
      <c r="IB13" s="21">
        <f t="shared" si="26"/>
        <v>4766</v>
      </c>
      <c r="IC13" s="21">
        <f t="shared" si="26"/>
        <v>4766</v>
      </c>
      <c r="ID13" s="21">
        <f t="shared" si="26"/>
        <v>4766</v>
      </c>
      <c r="IE13" s="21">
        <f t="shared" si="26"/>
        <v>4766</v>
      </c>
      <c r="IF13" s="21">
        <f t="shared" si="26"/>
        <v>4766</v>
      </c>
      <c r="IG13" s="21">
        <f t="shared" si="26"/>
        <v>4766</v>
      </c>
      <c r="IH13" s="21">
        <f t="shared" si="26"/>
        <v>4766</v>
      </c>
      <c r="II13" s="21">
        <f t="shared" si="26"/>
        <v>4766</v>
      </c>
      <c r="IJ13" s="21">
        <f t="shared" si="26"/>
        <v>4766</v>
      </c>
      <c r="IK13" s="21">
        <f t="shared" si="26"/>
        <v>4766</v>
      </c>
      <c r="IL13" s="21">
        <f t="shared" si="26"/>
        <v>4766</v>
      </c>
      <c r="IM13" s="21">
        <f t="shared" si="26"/>
        <v>4766</v>
      </c>
      <c r="IN13" s="21">
        <f t="shared" si="26"/>
        <v>4766</v>
      </c>
    </row>
    <row r="14" spans="2:248" x14ac:dyDescent="0.3">
      <c r="B14" s="19" t="s">
        <v>453</v>
      </c>
      <c r="C14" s="21">
        <f>C4*(1+C12)</f>
        <v>6420.6459952549976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468</v>
      </c>
      <c r="C15" s="25">
        <f>IF(VLOOKUP(B2,Country_Data!C:N,12,FALSE)=0,0.047,VLOOKUP(B2,Country_Data!C:N,12,FALSE)*$C$32)</f>
        <v>0.11545293072824156</v>
      </c>
      <c r="E15" s="22">
        <f>Projections!Z15</f>
        <v>0.4</v>
      </c>
      <c r="F15" s="22" t="s">
        <v>455</v>
      </c>
      <c r="G15" s="21">
        <f t="shared" ref="G15:BR15" si="27">IF(IF(AND(ISNA(G$5),ISNA(F$5)),F15*(1+$E15),IF(AND(F$5&gt;0,ISNA(G$5)),F15*(1+$E15),G$5))&gt;$C$21,$C$21,IF(AND(ISNA(G$5),ISNA(F$5)),F15*(1+$E15),IF(AND(F$5&gt;0,ISNA(G$5)),F15*(1+$E15),G$5)))</f>
        <v>107</v>
      </c>
      <c r="H15" s="21">
        <f t="shared" si="27"/>
        <v>154</v>
      </c>
      <c r="I15" s="21">
        <f t="shared" si="27"/>
        <v>187</v>
      </c>
      <c r="J15" s="21">
        <f t="shared" si="27"/>
        <v>253</v>
      </c>
      <c r="K15" s="21">
        <f t="shared" si="27"/>
        <v>300</v>
      </c>
      <c r="L15" s="21">
        <f t="shared" si="27"/>
        <v>359</v>
      </c>
      <c r="M15" s="21">
        <f t="shared" si="27"/>
        <v>432</v>
      </c>
      <c r="N15" s="21">
        <f t="shared" si="27"/>
        <v>563</v>
      </c>
      <c r="O15" s="21">
        <f t="shared" si="27"/>
        <v>775</v>
      </c>
      <c r="P15" s="21">
        <f t="shared" si="27"/>
        <v>1104</v>
      </c>
      <c r="Q15" s="21">
        <f t="shared" si="27"/>
        <v>1315</v>
      </c>
      <c r="R15" s="21">
        <f t="shared" si="27"/>
        <v>1474</v>
      </c>
      <c r="S15" s="21">
        <f t="shared" si="27"/>
        <v>1851</v>
      </c>
      <c r="T15" s="21">
        <f t="shared" si="27"/>
        <v>2503</v>
      </c>
      <c r="U15" s="21">
        <f t="shared" si="27"/>
        <v>3100</v>
      </c>
      <c r="V15" s="21">
        <f t="shared" si="27"/>
        <v>3769</v>
      </c>
      <c r="W15" s="21">
        <f t="shared" si="27"/>
        <v>4766</v>
      </c>
      <c r="X15" s="21">
        <f t="shared" si="27"/>
        <v>6672.4</v>
      </c>
      <c r="Y15" s="21">
        <f t="shared" si="27"/>
        <v>9341.3599999999988</v>
      </c>
      <c r="Z15" s="21">
        <f t="shared" si="27"/>
        <v>13077.903999999997</v>
      </c>
      <c r="AA15" s="21">
        <f t="shared" si="27"/>
        <v>18309.065599999994</v>
      </c>
      <c r="AB15" s="21">
        <f t="shared" si="27"/>
        <v>25632.691839999992</v>
      </c>
      <c r="AC15" s="21">
        <f t="shared" si="27"/>
        <v>35885.768575999988</v>
      </c>
      <c r="AD15" s="21">
        <f t="shared" si="27"/>
        <v>50240.076006399977</v>
      </c>
      <c r="AE15" s="21">
        <f t="shared" si="27"/>
        <v>70336.106408959968</v>
      </c>
      <c r="AF15" s="21">
        <f t="shared" si="27"/>
        <v>98470.548972543955</v>
      </c>
      <c r="AG15" s="21">
        <f t="shared" si="27"/>
        <v>137858.76856156153</v>
      </c>
      <c r="AH15" s="21">
        <f t="shared" si="27"/>
        <v>193002.27598618614</v>
      </c>
      <c r="AI15" s="21">
        <f t="shared" si="27"/>
        <v>270203.18638066057</v>
      </c>
      <c r="AJ15" s="21">
        <f t="shared" si="27"/>
        <v>378284.46093292476</v>
      </c>
      <c r="AK15" s="21">
        <f t="shared" si="27"/>
        <v>529598.24530609464</v>
      </c>
      <c r="AL15" s="21">
        <f t="shared" si="27"/>
        <v>741437.54342853243</v>
      </c>
      <c r="AM15" s="21">
        <f t="shared" si="27"/>
        <v>1038012.5607999454</v>
      </c>
      <c r="AN15" s="21">
        <f t="shared" si="27"/>
        <v>1453217.5851199233</v>
      </c>
      <c r="AO15" s="21">
        <f t="shared" si="27"/>
        <v>2034504.6191678925</v>
      </c>
      <c r="AP15" s="21">
        <f t="shared" si="27"/>
        <v>2848306.4668350494</v>
      </c>
      <c r="AQ15" s="21">
        <f t="shared" si="27"/>
        <v>3987629.0535690691</v>
      </c>
      <c r="AR15" s="21">
        <f t="shared" si="27"/>
        <v>5582680.6749966964</v>
      </c>
      <c r="AS15" s="21">
        <f t="shared" si="27"/>
        <v>7815752.9449953744</v>
      </c>
      <c r="AT15" s="21">
        <f t="shared" si="27"/>
        <v>10942054.122993523</v>
      </c>
      <c r="AU15" s="21">
        <f t="shared" si="27"/>
        <v>15318875.772190932</v>
      </c>
      <c r="AV15" s="21">
        <f t="shared" si="27"/>
        <v>21446426.081067305</v>
      </c>
      <c r="AW15" s="21">
        <f t="shared" si="27"/>
        <v>27154404.400000002</v>
      </c>
      <c r="AX15" s="21">
        <f t="shared" si="27"/>
        <v>27154404.400000002</v>
      </c>
      <c r="AY15" s="21">
        <f t="shared" si="27"/>
        <v>27154404.400000002</v>
      </c>
      <c r="AZ15" s="21">
        <f t="shared" si="27"/>
        <v>27154404.400000002</v>
      </c>
      <c r="BA15" s="21">
        <f t="shared" si="27"/>
        <v>27154404.400000002</v>
      </c>
      <c r="BB15" s="21">
        <f t="shared" si="27"/>
        <v>27154404.400000002</v>
      </c>
      <c r="BC15" s="21">
        <f t="shared" si="27"/>
        <v>27154404.400000002</v>
      </c>
      <c r="BD15" s="21">
        <f t="shared" si="27"/>
        <v>27154404.400000002</v>
      </c>
      <c r="BE15" s="21">
        <f t="shared" si="27"/>
        <v>27154404.400000002</v>
      </c>
      <c r="BF15" s="21">
        <f t="shared" si="27"/>
        <v>27154404.400000002</v>
      </c>
      <c r="BG15" s="21">
        <f t="shared" si="27"/>
        <v>27154404.400000002</v>
      </c>
      <c r="BH15" s="21">
        <f t="shared" si="27"/>
        <v>27154404.400000002</v>
      </c>
      <c r="BI15" s="21">
        <f t="shared" si="27"/>
        <v>27154404.400000002</v>
      </c>
      <c r="BJ15" s="21">
        <f t="shared" si="27"/>
        <v>27154404.400000002</v>
      </c>
      <c r="BK15" s="21">
        <f t="shared" si="27"/>
        <v>27154404.400000002</v>
      </c>
      <c r="BL15" s="21">
        <f t="shared" si="27"/>
        <v>27154404.400000002</v>
      </c>
      <c r="BM15" s="21">
        <f t="shared" si="27"/>
        <v>27154404.400000002</v>
      </c>
      <c r="BN15" s="21">
        <f t="shared" si="27"/>
        <v>27154404.400000002</v>
      </c>
      <c r="BO15" s="21">
        <f t="shared" si="27"/>
        <v>27154404.400000002</v>
      </c>
      <c r="BP15" s="21">
        <f t="shared" si="27"/>
        <v>27154404.400000002</v>
      </c>
      <c r="BQ15" s="21">
        <f t="shared" si="27"/>
        <v>27154404.400000002</v>
      </c>
      <c r="BR15" s="21">
        <f t="shared" si="27"/>
        <v>27154404.400000002</v>
      </c>
      <c r="BS15" s="21">
        <f t="shared" ref="BS15:ED15" si="28">IF(IF(AND(ISNA(BS$5),ISNA(BR$5)),BR15*(1+$E15),IF(AND(BR$5&gt;0,ISNA(BS$5)),BR15*(1+$E15),BS$5))&gt;$C$21,$C$21,IF(AND(ISNA(BS$5),ISNA(BR$5)),BR15*(1+$E15),IF(AND(BR$5&gt;0,ISNA(BS$5)),BR15*(1+$E15),BS$5)))</f>
        <v>27154404.400000002</v>
      </c>
      <c r="BT15" s="21">
        <f t="shared" si="28"/>
        <v>27154404.400000002</v>
      </c>
      <c r="BU15" s="21">
        <f t="shared" si="28"/>
        <v>27154404.400000002</v>
      </c>
      <c r="BV15" s="21">
        <f t="shared" si="28"/>
        <v>27154404.400000002</v>
      </c>
      <c r="BW15" s="21">
        <f t="shared" si="28"/>
        <v>27154404.400000002</v>
      </c>
      <c r="BX15" s="21">
        <f t="shared" si="28"/>
        <v>27154404.400000002</v>
      </c>
      <c r="BY15" s="21">
        <f t="shared" si="28"/>
        <v>27154404.400000002</v>
      </c>
      <c r="BZ15" s="21">
        <f t="shared" si="28"/>
        <v>27154404.400000002</v>
      </c>
      <c r="CA15" s="21">
        <f t="shared" si="28"/>
        <v>27154404.400000002</v>
      </c>
      <c r="CB15" s="21">
        <f t="shared" si="28"/>
        <v>27154404.400000002</v>
      </c>
      <c r="CC15" s="21">
        <f t="shared" si="28"/>
        <v>27154404.400000002</v>
      </c>
      <c r="CD15" s="21">
        <f t="shared" si="28"/>
        <v>27154404.400000002</v>
      </c>
      <c r="CE15" s="21">
        <f t="shared" si="28"/>
        <v>27154404.400000002</v>
      </c>
      <c r="CF15" s="21">
        <f t="shared" si="28"/>
        <v>27154404.400000002</v>
      </c>
      <c r="CG15" s="21">
        <f t="shared" si="28"/>
        <v>27154404.400000002</v>
      </c>
      <c r="CH15" s="21">
        <f t="shared" si="28"/>
        <v>27154404.400000002</v>
      </c>
      <c r="CI15" s="21">
        <f t="shared" si="28"/>
        <v>27154404.400000002</v>
      </c>
      <c r="CJ15" s="21">
        <f t="shared" si="28"/>
        <v>27154404.400000002</v>
      </c>
      <c r="CK15" s="21">
        <f t="shared" si="28"/>
        <v>27154404.400000002</v>
      </c>
      <c r="CL15" s="21">
        <f t="shared" si="28"/>
        <v>27154404.400000002</v>
      </c>
      <c r="CM15" s="21">
        <f t="shared" si="28"/>
        <v>27154404.400000002</v>
      </c>
      <c r="CN15" s="21">
        <f t="shared" si="28"/>
        <v>27154404.400000002</v>
      </c>
      <c r="CO15" s="21">
        <f t="shared" si="28"/>
        <v>27154404.400000002</v>
      </c>
      <c r="CP15" s="21">
        <f t="shared" si="28"/>
        <v>27154404.400000002</v>
      </c>
      <c r="CQ15" s="21">
        <f t="shared" si="28"/>
        <v>27154404.400000002</v>
      </c>
      <c r="CR15" s="21">
        <f t="shared" si="28"/>
        <v>27154404.400000002</v>
      </c>
      <c r="CS15" s="21">
        <f t="shared" si="28"/>
        <v>27154404.400000002</v>
      </c>
      <c r="CT15" s="21">
        <f t="shared" si="28"/>
        <v>27154404.400000002</v>
      </c>
      <c r="CU15" s="21">
        <f t="shared" si="28"/>
        <v>27154404.400000002</v>
      </c>
      <c r="CV15" s="21">
        <f t="shared" si="28"/>
        <v>27154404.400000002</v>
      </c>
      <c r="CW15" s="21">
        <f t="shared" si="28"/>
        <v>27154404.400000002</v>
      </c>
      <c r="CX15" s="21">
        <f t="shared" si="28"/>
        <v>27154404.400000002</v>
      </c>
      <c r="CY15" s="21">
        <f t="shared" si="28"/>
        <v>27154404.400000002</v>
      </c>
      <c r="CZ15" s="21">
        <f t="shared" si="28"/>
        <v>27154404.400000002</v>
      </c>
      <c r="DA15" s="21">
        <f t="shared" si="28"/>
        <v>27154404.400000002</v>
      </c>
      <c r="DB15" s="21">
        <f t="shared" si="28"/>
        <v>27154404.400000002</v>
      </c>
      <c r="DC15" s="21">
        <f t="shared" si="28"/>
        <v>27154404.400000002</v>
      </c>
      <c r="DD15" s="21">
        <f t="shared" si="28"/>
        <v>27154404.400000002</v>
      </c>
      <c r="DE15" s="21">
        <f t="shared" si="28"/>
        <v>27154404.400000002</v>
      </c>
      <c r="DF15" s="21">
        <f t="shared" si="28"/>
        <v>27154404.400000002</v>
      </c>
      <c r="DG15" s="21">
        <f t="shared" si="28"/>
        <v>27154404.400000002</v>
      </c>
      <c r="DH15" s="21">
        <f t="shared" si="28"/>
        <v>27154404.400000002</v>
      </c>
      <c r="DI15" s="21">
        <f t="shared" si="28"/>
        <v>27154404.400000002</v>
      </c>
      <c r="DJ15" s="21">
        <f t="shared" si="28"/>
        <v>27154404.400000002</v>
      </c>
      <c r="DK15" s="21">
        <f t="shared" si="28"/>
        <v>27154404.400000002</v>
      </c>
      <c r="DL15" s="21">
        <f t="shared" si="28"/>
        <v>27154404.400000002</v>
      </c>
      <c r="DM15" s="21">
        <f t="shared" si="28"/>
        <v>27154404.400000002</v>
      </c>
      <c r="DN15" s="21">
        <f t="shared" si="28"/>
        <v>27154404.400000002</v>
      </c>
      <c r="DO15" s="21">
        <f t="shared" si="28"/>
        <v>27154404.400000002</v>
      </c>
      <c r="DP15" s="21">
        <f t="shared" si="28"/>
        <v>27154404.400000002</v>
      </c>
      <c r="DQ15" s="21">
        <f t="shared" si="28"/>
        <v>27154404.400000002</v>
      </c>
      <c r="DR15" s="21">
        <f t="shared" si="28"/>
        <v>27154404.400000002</v>
      </c>
      <c r="DS15" s="21">
        <f t="shared" si="28"/>
        <v>27154404.400000002</v>
      </c>
      <c r="DT15" s="21">
        <f t="shared" si="28"/>
        <v>27154404.400000002</v>
      </c>
      <c r="DU15" s="21">
        <f t="shared" si="28"/>
        <v>27154404.400000002</v>
      </c>
      <c r="DV15" s="21">
        <f t="shared" si="28"/>
        <v>27154404.400000002</v>
      </c>
      <c r="DW15" s="21">
        <f t="shared" si="28"/>
        <v>27154404.400000002</v>
      </c>
      <c r="DX15" s="21">
        <f t="shared" si="28"/>
        <v>27154404.400000002</v>
      </c>
      <c r="DY15" s="21">
        <f t="shared" si="28"/>
        <v>27154404.400000002</v>
      </c>
      <c r="DZ15" s="21">
        <f t="shared" si="28"/>
        <v>27154404.400000002</v>
      </c>
      <c r="EA15" s="21">
        <f t="shared" si="28"/>
        <v>27154404.400000002</v>
      </c>
      <c r="EB15" s="21">
        <f t="shared" si="28"/>
        <v>27154404.400000002</v>
      </c>
      <c r="EC15" s="21">
        <f t="shared" si="28"/>
        <v>27154404.400000002</v>
      </c>
      <c r="ED15" s="21">
        <f t="shared" si="28"/>
        <v>27154404.400000002</v>
      </c>
      <c r="EE15" s="21">
        <f t="shared" ref="EE15:GP15" si="29">IF(IF(AND(ISNA(EE$5),ISNA(ED$5)),ED15*(1+$E15),IF(AND(ED$5&gt;0,ISNA(EE$5)),ED15*(1+$E15),EE$5))&gt;$C$21,$C$21,IF(AND(ISNA(EE$5),ISNA(ED$5)),ED15*(1+$E15),IF(AND(ED$5&gt;0,ISNA(EE$5)),ED15*(1+$E15),EE$5)))</f>
        <v>27154404.400000002</v>
      </c>
      <c r="EF15" s="21">
        <f t="shared" si="29"/>
        <v>27154404.400000002</v>
      </c>
      <c r="EG15" s="21">
        <f t="shared" si="29"/>
        <v>27154404.400000002</v>
      </c>
      <c r="EH15" s="21">
        <f t="shared" si="29"/>
        <v>27154404.400000002</v>
      </c>
      <c r="EI15" s="21">
        <f t="shared" si="29"/>
        <v>27154404.400000002</v>
      </c>
      <c r="EJ15" s="21">
        <f t="shared" si="29"/>
        <v>27154404.400000002</v>
      </c>
      <c r="EK15" s="21">
        <f t="shared" si="29"/>
        <v>27154404.400000002</v>
      </c>
      <c r="EL15" s="21">
        <f t="shared" si="29"/>
        <v>27154404.400000002</v>
      </c>
      <c r="EM15" s="21">
        <f t="shared" si="29"/>
        <v>27154404.400000002</v>
      </c>
      <c r="EN15" s="21">
        <f t="shared" si="29"/>
        <v>27154404.400000002</v>
      </c>
      <c r="EO15" s="21">
        <f t="shared" si="29"/>
        <v>27154404.400000002</v>
      </c>
      <c r="EP15" s="21">
        <f t="shared" si="29"/>
        <v>27154404.400000002</v>
      </c>
      <c r="EQ15" s="21">
        <f t="shared" si="29"/>
        <v>27154404.400000002</v>
      </c>
      <c r="ER15" s="21">
        <f t="shared" si="29"/>
        <v>27154404.400000002</v>
      </c>
      <c r="ES15" s="21">
        <f t="shared" si="29"/>
        <v>27154404.400000002</v>
      </c>
      <c r="ET15" s="21">
        <f t="shared" si="29"/>
        <v>27154404.400000002</v>
      </c>
      <c r="EU15" s="21">
        <f t="shared" si="29"/>
        <v>27154404.400000002</v>
      </c>
      <c r="EV15" s="21">
        <f t="shared" si="29"/>
        <v>27154404.400000002</v>
      </c>
      <c r="EW15" s="21">
        <f t="shared" si="29"/>
        <v>27154404.400000002</v>
      </c>
      <c r="EX15" s="21">
        <f t="shared" si="29"/>
        <v>27154404.400000002</v>
      </c>
      <c r="EY15" s="21">
        <f t="shared" si="29"/>
        <v>27154404.400000002</v>
      </c>
      <c r="EZ15" s="21">
        <f t="shared" si="29"/>
        <v>27154404.400000002</v>
      </c>
      <c r="FA15" s="21">
        <f t="shared" si="29"/>
        <v>27154404.400000002</v>
      </c>
      <c r="FB15" s="21">
        <f t="shared" si="29"/>
        <v>27154404.400000002</v>
      </c>
      <c r="FC15" s="21">
        <f t="shared" si="29"/>
        <v>27154404.400000002</v>
      </c>
      <c r="FD15" s="21">
        <f t="shared" si="29"/>
        <v>27154404.400000002</v>
      </c>
      <c r="FE15" s="21">
        <f t="shared" si="29"/>
        <v>27154404.400000002</v>
      </c>
      <c r="FF15" s="21">
        <f t="shared" si="29"/>
        <v>27154404.400000002</v>
      </c>
      <c r="FG15" s="21">
        <f t="shared" si="29"/>
        <v>27154404.400000002</v>
      </c>
      <c r="FH15" s="21">
        <f t="shared" si="29"/>
        <v>27154404.400000002</v>
      </c>
      <c r="FI15" s="21">
        <f t="shared" si="29"/>
        <v>27154404.400000002</v>
      </c>
      <c r="FJ15" s="21">
        <f t="shared" si="29"/>
        <v>27154404.400000002</v>
      </c>
      <c r="FK15" s="21">
        <f t="shared" si="29"/>
        <v>27154404.400000002</v>
      </c>
      <c r="FL15" s="21">
        <f t="shared" si="29"/>
        <v>27154404.400000002</v>
      </c>
      <c r="FM15" s="21">
        <f t="shared" si="29"/>
        <v>27154404.400000002</v>
      </c>
      <c r="FN15" s="21">
        <f t="shared" si="29"/>
        <v>27154404.400000002</v>
      </c>
      <c r="FO15" s="21">
        <f t="shared" si="29"/>
        <v>27154404.400000002</v>
      </c>
      <c r="FP15" s="21">
        <f t="shared" si="29"/>
        <v>27154404.400000002</v>
      </c>
      <c r="FQ15" s="21">
        <f t="shared" si="29"/>
        <v>27154404.400000002</v>
      </c>
      <c r="FR15" s="21">
        <f t="shared" si="29"/>
        <v>27154404.400000002</v>
      </c>
      <c r="FS15" s="21">
        <f t="shared" si="29"/>
        <v>27154404.400000002</v>
      </c>
      <c r="FT15" s="21">
        <f t="shared" si="29"/>
        <v>27154404.400000002</v>
      </c>
      <c r="FU15" s="21">
        <f t="shared" si="29"/>
        <v>27154404.400000002</v>
      </c>
      <c r="FV15" s="21">
        <f t="shared" si="29"/>
        <v>27154404.400000002</v>
      </c>
      <c r="FW15" s="21">
        <f t="shared" si="29"/>
        <v>27154404.400000002</v>
      </c>
      <c r="FX15" s="21">
        <f t="shared" si="29"/>
        <v>27154404.400000002</v>
      </c>
      <c r="FY15" s="21">
        <f t="shared" si="29"/>
        <v>27154404.400000002</v>
      </c>
      <c r="FZ15" s="21">
        <f t="shared" si="29"/>
        <v>27154404.400000002</v>
      </c>
      <c r="GA15" s="21">
        <f t="shared" si="29"/>
        <v>27154404.400000002</v>
      </c>
      <c r="GB15" s="21">
        <f t="shared" si="29"/>
        <v>27154404.400000002</v>
      </c>
      <c r="GC15" s="21">
        <f t="shared" si="29"/>
        <v>27154404.400000002</v>
      </c>
      <c r="GD15" s="21">
        <f t="shared" si="29"/>
        <v>27154404.400000002</v>
      </c>
      <c r="GE15" s="21">
        <f t="shared" si="29"/>
        <v>27154404.400000002</v>
      </c>
      <c r="GF15" s="21">
        <f t="shared" si="29"/>
        <v>27154404.400000002</v>
      </c>
      <c r="GG15" s="21">
        <f t="shared" si="29"/>
        <v>27154404.400000002</v>
      </c>
      <c r="GH15" s="21">
        <f t="shared" si="29"/>
        <v>27154404.400000002</v>
      </c>
      <c r="GI15" s="21">
        <f t="shared" si="29"/>
        <v>27154404.400000002</v>
      </c>
      <c r="GJ15" s="21">
        <f t="shared" si="29"/>
        <v>27154404.400000002</v>
      </c>
      <c r="GK15" s="21">
        <f t="shared" si="29"/>
        <v>27154404.400000002</v>
      </c>
      <c r="GL15" s="21">
        <f t="shared" si="29"/>
        <v>27154404.400000002</v>
      </c>
      <c r="GM15" s="21">
        <f t="shared" si="29"/>
        <v>27154404.400000002</v>
      </c>
      <c r="GN15" s="21">
        <f t="shared" si="29"/>
        <v>27154404.400000002</v>
      </c>
      <c r="GO15" s="21">
        <f t="shared" si="29"/>
        <v>27154404.400000002</v>
      </c>
      <c r="GP15" s="21">
        <f t="shared" si="29"/>
        <v>27154404.400000002</v>
      </c>
      <c r="GQ15" s="21">
        <f t="shared" ref="GQ15:IN15" si="30">IF(IF(AND(ISNA(GQ$5),ISNA(GP$5)),GP15*(1+$E15),IF(AND(GP$5&gt;0,ISNA(GQ$5)),GP15*(1+$E15),GQ$5))&gt;$C$21,$C$21,IF(AND(ISNA(GQ$5),ISNA(GP$5)),GP15*(1+$E15),IF(AND(GP$5&gt;0,ISNA(GQ$5)),GP15*(1+$E15),GQ$5)))</f>
        <v>27154404.400000002</v>
      </c>
      <c r="GR15" s="21">
        <f t="shared" si="30"/>
        <v>27154404.400000002</v>
      </c>
      <c r="GS15" s="21">
        <f t="shared" si="30"/>
        <v>27154404.400000002</v>
      </c>
      <c r="GT15" s="21">
        <f t="shared" si="30"/>
        <v>27154404.400000002</v>
      </c>
      <c r="GU15" s="21">
        <f t="shared" si="30"/>
        <v>27154404.400000002</v>
      </c>
      <c r="GV15" s="21">
        <f t="shared" si="30"/>
        <v>27154404.400000002</v>
      </c>
      <c r="GW15" s="21">
        <f t="shared" si="30"/>
        <v>27154404.400000002</v>
      </c>
      <c r="GX15" s="21">
        <f t="shared" si="30"/>
        <v>27154404.400000002</v>
      </c>
      <c r="GY15" s="21">
        <f t="shared" si="30"/>
        <v>27154404.400000002</v>
      </c>
      <c r="GZ15" s="21">
        <f t="shared" si="30"/>
        <v>27154404.400000002</v>
      </c>
      <c r="HA15" s="21">
        <f t="shared" si="30"/>
        <v>27154404.400000002</v>
      </c>
      <c r="HB15" s="21">
        <f t="shared" si="30"/>
        <v>27154404.400000002</v>
      </c>
      <c r="HC15" s="21">
        <f t="shared" si="30"/>
        <v>27154404.400000002</v>
      </c>
      <c r="HD15" s="21">
        <f t="shared" si="30"/>
        <v>27154404.400000002</v>
      </c>
      <c r="HE15" s="21">
        <f t="shared" si="30"/>
        <v>27154404.400000002</v>
      </c>
      <c r="HF15" s="21">
        <f t="shared" si="30"/>
        <v>27154404.400000002</v>
      </c>
      <c r="HG15" s="21">
        <f t="shared" si="30"/>
        <v>27154404.400000002</v>
      </c>
      <c r="HH15" s="21">
        <f t="shared" si="30"/>
        <v>27154404.400000002</v>
      </c>
      <c r="HI15" s="21">
        <f t="shared" si="30"/>
        <v>27154404.400000002</v>
      </c>
      <c r="HJ15" s="21">
        <f t="shared" si="30"/>
        <v>27154404.400000002</v>
      </c>
      <c r="HK15" s="21">
        <f t="shared" si="30"/>
        <v>27154404.400000002</v>
      </c>
      <c r="HL15" s="21">
        <f t="shared" si="30"/>
        <v>27154404.400000002</v>
      </c>
      <c r="HM15" s="21">
        <f t="shared" si="30"/>
        <v>27154404.400000002</v>
      </c>
      <c r="HN15" s="21">
        <f t="shared" si="30"/>
        <v>27154404.400000002</v>
      </c>
      <c r="HO15" s="21">
        <f t="shared" si="30"/>
        <v>27154404.400000002</v>
      </c>
      <c r="HP15" s="21">
        <f t="shared" si="30"/>
        <v>27154404.400000002</v>
      </c>
      <c r="HQ15" s="21">
        <f t="shared" si="30"/>
        <v>27154404.400000002</v>
      </c>
      <c r="HR15" s="21">
        <f t="shared" si="30"/>
        <v>27154404.400000002</v>
      </c>
      <c r="HS15" s="21">
        <f t="shared" si="30"/>
        <v>27154404.400000002</v>
      </c>
      <c r="HT15" s="21">
        <f t="shared" si="30"/>
        <v>27154404.400000002</v>
      </c>
      <c r="HU15" s="21">
        <f t="shared" si="30"/>
        <v>27154404.400000002</v>
      </c>
      <c r="HV15" s="21">
        <f t="shared" si="30"/>
        <v>27154404.400000002</v>
      </c>
      <c r="HW15" s="21">
        <f t="shared" si="30"/>
        <v>27154404.400000002</v>
      </c>
      <c r="HX15" s="21">
        <f t="shared" si="30"/>
        <v>27154404.400000002</v>
      </c>
      <c r="HY15" s="21">
        <f t="shared" si="30"/>
        <v>27154404.400000002</v>
      </c>
      <c r="HZ15" s="21">
        <f t="shared" si="30"/>
        <v>27154404.400000002</v>
      </c>
      <c r="IA15" s="21">
        <f t="shared" si="30"/>
        <v>27154404.400000002</v>
      </c>
      <c r="IB15" s="21">
        <f t="shared" si="30"/>
        <v>27154404.400000002</v>
      </c>
      <c r="IC15" s="21">
        <f t="shared" si="30"/>
        <v>27154404.400000002</v>
      </c>
      <c r="ID15" s="21">
        <f t="shared" si="30"/>
        <v>27154404.400000002</v>
      </c>
      <c r="IE15" s="21">
        <f t="shared" si="30"/>
        <v>27154404.400000002</v>
      </c>
      <c r="IF15" s="21">
        <f t="shared" si="30"/>
        <v>27154404.400000002</v>
      </c>
      <c r="IG15" s="21">
        <f t="shared" si="30"/>
        <v>27154404.400000002</v>
      </c>
      <c r="IH15" s="21">
        <f t="shared" si="30"/>
        <v>27154404.400000002</v>
      </c>
      <c r="II15" s="21">
        <f t="shared" si="30"/>
        <v>27154404.400000002</v>
      </c>
      <c r="IJ15" s="21">
        <f t="shared" si="30"/>
        <v>27154404.400000002</v>
      </c>
      <c r="IK15" s="21">
        <f t="shared" si="30"/>
        <v>27154404.400000002</v>
      </c>
      <c r="IL15" s="21">
        <f t="shared" si="30"/>
        <v>27154404.400000002</v>
      </c>
      <c r="IM15" s="21">
        <f t="shared" si="30"/>
        <v>27154404.400000002</v>
      </c>
      <c r="IN15" s="21">
        <f t="shared" si="30"/>
        <v>27154404.400000002</v>
      </c>
    </row>
    <row r="16" spans="2:248" x14ac:dyDescent="0.3">
      <c r="B16" s="19" t="s">
        <v>467</v>
      </c>
      <c r="C16" s="21">
        <f>IF(Projections!Z39="",VLOOKUP(B2,Country_Data!C:M,11,FALSE),Projections!Z39)</f>
        <v>4480.4767259999999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500</v>
      </c>
      <c r="C17" s="23">
        <v>2.5000000000000001E-2</v>
      </c>
      <c r="F17" s="22" t="s">
        <v>467</v>
      </c>
      <c r="G17" s="24">
        <f t="shared" ref="G17:BR17" si="31">$C$16</f>
        <v>4480.4767259999999</v>
      </c>
      <c r="H17" s="24">
        <f t="shared" si="31"/>
        <v>4480.4767259999999</v>
      </c>
      <c r="I17" s="24">
        <f t="shared" si="31"/>
        <v>4480.4767259999999</v>
      </c>
      <c r="J17" s="24">
        <f t="shared" si="31"/>
        <v>4480.4767259999999</v>
      </c>
      <c r="K17" s="24">
        <f t="shared" si="31"/>
        <v>4480.4767259999999</v>
      </c>
      <c r="L17" s="24">
        <f t="shared" si="31"/>
        <v>4480.4767259999999</v>
      </c>
      <c r="M17" s="24">
        <f t="shared" si="31"/>
        <v>4480.4767259999999</v>
      </c>
      <c r="N17" s="24">
        <f t="shared" si="31"/>
        <v>4480.4767259999999</v>
      </c>
      <c r="O17" s="24">
        <f t="shared" si="31"/>
        <v>4480.4767259999999</v>
      </c>
      <c r="P17" s="24">
        <f t="shared" si="31"/>
        <v>4480.4767259999999</v>
      </c>
      <c r="Q17" s="24">
        <f t="shared" si="31"/>
        <v>4480.4767259999999</v>
      </c>
      <c r="R17" s="24">
        <f t="shared" si="31"/>
        <v>4480.4767259999999</v>
      </c>
      <c r="S17" s="24">
        <f t="shared" si="31"/>
        <v>4480.4767259999999</v>
      </c>
      <c r="T17" s="24">
        <f t="shared" si="31"/>
        <v>4480.4767259999999</v>
      </c>
      <c r="U17" s="24">
        <f t="shared" si="31"/>
        <v>4480.4767259999999</v>
      </c>
      <c r="V17" s="24">
        <f t="shared" si="31"/>
        <v>4480.4767259999999</v>
      </c>
      <c r="W17" s="24">
        <f t="shared" si="31"/>
        <v>4480.4767259999999</v>
      </c>
      <c r="X17" s="24">
        <f t="shared" si="31"/>
        <v>4480.4767259999999</v>
      </c>
      <c r="Y17" s="24">
        <f t="shared" si="31"/>
        <v>4480.4767259999999</v>
      </c>
      <c r="Z17" s="24">
        <f t="shared" si="31"/>
        <v>4480.4767259999999</v>
      </c>
      <c r="AA17" s="24">
        <f t="shared" si="31"/>
        <v>4480.4767259999999</v>
      </c>
      <c r="AB17" s="24">
        <f t="shared" si="31"/>
        <v>4480.4767259999999</v>
      </c>
      <c r="AC17" s="24">
        <f t="shared" si="31"/>
        <v>4480.4767259999999</v>
      </c>
      <c r="AD17" s="24">
        <f t="shared" si="31"/>
        <v>4480.4767259999999</v>
      </c>
      <c r="AE17" s="24">
        <f t="shared" si="31"/>
        <v>4480.4767259999999</v>
      </c>
      <c r="AF17" s="24">
        <f t="shared" si="31"/>
        <v>4480.4767259999999</v>
      </c>
      <c r="AG17" s="24">
        <f t="shared" si="31"/>
        <v>4480.4767259999999</v>
      </c>
      <c r="AH17" s="24">
        <f t="shared" si="31"/>
        <v>4480.4767259999999</v>
      </c>
      <c r="AI17" s="24">
        <f t="shared" si="31"/>
        <v>4480.4767259999999</v>
      </c>
      <c r="AJ17" s="24">
        <f t="shared" si="31"/>
        <v>4480.4767259999999</v>
      </c>
      <c r="AK17" s="24">
        <f t="shared" si="31"/>
        <v>4480.4767259999999</v>
      </c>
      <c r="AL17" s="24">
        <f t="shared" si="31"/>
        <v>4480.4767259999999</v>
      </c>
      <c r="AM17" s="24">
        <f t="shared" si="31"/>
        <v>4480.4767259999999</v>
      </c>
      <c r="AN17" s="24">
        <f t="shared" si="31"/>
        <v>4480.4767259999999</v>
      </c>
      <c r="AO17" s="24">
        <f t="shared" si="31"/>
        <v>4480.4767259999999</v>
      </c>
      <c r="AP17" s="24">
        <f t="shared" si="31"/>
        <v>4480.4767259999999</v>
      </c>
      <c r="AQ17" s="24">
        <f t="shared" si="31"/>
        <v>4480.4767259999999</v>
      </c>
      <c r="AR17" s="24">
        <f t="shared" si="31"/>
        <v>4480.4767259999999</v>
      </c>
      <c r="AS17" s="24">
        <f t="shared" si="31"/>
        <v>4480.4767259999999</v>
      </c>
      <c r="AT17" s="24">
        <f t="shared" si="31"/>
        <v>4480.4767259999999</v>
      </c>
      <c r="AU17" s="24">
        <f t="shared" si="31"/>
        <v>4480.4767259999999</v>
      </c>
      <c r="AV17" s="24">
        <f t="shared" si="31"/>
        <v>4480.4767259999999</v>
      </c>
      <c r="AW17" s="24">
        <f t="shared" si="31"/>
        <v>4480.4767259999999</v>
      </c>
      <c r="AX17" s="24">
        <f t="shared" si="31"/>
        <v>4480.4767259999999</v>
      </c>
      <c r="AY17" s="24">
        <f t="shared" si="31"/>
        <v>4480.4767259999999</v>
      </c>
      <c r="AZ17" s="24">
        <f t="shared" si="31"/>
        <v>4480.4767259999999</v>
      </c>
      <c r="BA17" s="24">
        <f t="shared" si="31"/>
        <v>4480.4767259999999</v>
      </c>
      <c r="BB17" s="24">
        <f t="shared" si="31"/>
        <v>4480.4767259999999</v>
      </c>
      <c r="BC17" s="24">
        <f t="shared" si="31"/>
        <v>4480.4767259999999</v>
      </c>
      <c r="BD17" s="24">
        <f t="shared" si="31"/>
        <v>4480.4767259999999</v>
      </c>
      <c r="BE17" s="24">
        <f t="shared" si="31"/>
        <v>4480.4767259999999</v>
      </c>
      <c r="BF17" s="24">
        <f t="shared" si="31"/>
        <v>4480.4767259999999</v>
      </c>
      <c r="BG17" s="24">
        <f t="shared" si="31"/>
        <v>4480.4767259999999</v>
      </c>
      <c r="BH17" s="24">
        <f t="shared" si="31"/>
        <v>4480.4767259999999</v>
      </c>
      <c r="BI17" s="24">
        <f t="shared" si="31"/>
        <v>4480.4767259999999</v>
      </c>
      <c r="BJ17" s="24">
        <f t="shared" si="31"/>
        <v>4480.4767259999999</v>
      </c>
      <c r="BK17" s="24">
        <f t="shared" si="31"/>
        <v>4480.4767259999999</v>
      </c>
      <c r="BL17" s="24">
        <f t="shared" si="31"/>
        <v>4480.4767259999999</v>
      </c>
      <c r="BM17" s="24">
        <f t="shared" si="31"/>
        <v>4480.4767259999999</v>
      </c>
      <c r="BN17" s="24">
        <f t="shared" si="31"/>
        <v>4480.4767259999999</v>
      </c>
      <c r="BO17" s="24">
        <f t="shared" si="31"/>
        <v>4480.4767259999999</v>
      </c>
      <c r="BP17" s="24">
        <f t="shared" si="31"/>
        <v>4480.4767259999999</v>
      </c>
      <c r="BQ17" s="24">
        <f t="shared" si="31"/>
        <v>4480.4767259999999</v>
      </c>
      <c r="BR17" s="24">
        <f t="shared" si="31"/>
        <v>4480.4767259999999</v>
      </c>
      <c r="BS17" s="24">
        <f t="shared" ref="BS17:ED17" si="32">$C$16</f>
        <v>4480.4767259999999</v>
      </c>
      <c r="BT17" s="24">
        <f t="shared" si="32"/>
        <v>4480.4767259999999</v>
      </c>
      <c r="BU17" s="24">
        <f t="shared" si="32"/>
        <v>4480.4767259999999</v>
      </c>
      <c r="BV17" s="24">
        <f t="shared" si="32"/>
        <v>4480.4767259999999</v>
      </c>
      <c r="BW17" s="24">
        <f t="shared" si="32"/>
        <v>4480.4767259999999</v>
      </c>
      <c r="BX17" s="24">
        <f t="shared" si="32"/>
        <v>4480.4767259999999</v>
      </c>
      <c r="BY17" s="24">
        <f t="shared" si="32"/>
        <v>4480.4767259999999</v>
      </c>
      <c r="BZ17" s="24">
        <f t="shared" si="32"/>
        <v>4480.4767259999999</v>
      </c>
      <c r="CA17" s="24">
        <f t="shared" si="32"/>
        <v>4480.4767259999999</v>
      </c>
      <c r="CB17" s="24">
        <f t="shared" si="32"/>
        <v>4480.4767259999999</v>
      </c>
      <c r="CC17" s="24">
        <f t="shared" si="32"/>
        <v>4480.4767259999999</v>
      </c>
      <c r="CD17" s="24">
        <f t="shared" si="32"/>
        <v>4480.4767259999999</v>
      </c>
      <c r="CE17" s="24">
        <f t="shared" si="32"/>
        <v>4480.4767259999999</v>
      </c>
      <c r="CF17" s="24">
        <f t="shared" si="32"/>
        <v>4480.4767259999999</v>
      </c>
      <c r="CG17" s="24">
        <f t="shared" si="32"/>
        <v>4480.4767259999999</v>
      </c>
      <c r="CH17" s="24">
        <f t="shared" si="32"/>
        <v>4480.4767259999999</v>
      </c>
      <c r="CI17" s="24">
        <f t="shared" si="32"/>
        <v>4480.4767259999999</v>
      </c>
      <c r="CJ17" s="24">
        <f t="shared" si="32"/>
        <v>4480.4767259999999</v>
      </c>
      <c r="CK17" s="24">
        <f t="shared" si="32"/>
        <v>4480.4767259999999</v>
      </c>
      <c r="CL17" s="24">
        <f t="shared" si="32"/>
        <v>4480.4767259999999</v>
      </c>
      <c r="CM17" s="24">
        <f t="shared" si="32"/>
        <v>4480.4767259999999</v>
      </c>
      <c r="CN17" s="24">
        <f t="shared" si="32"/>
        <v>4480.4767259999999</v>
      </c>
      <c r="CO17" s="24">
        <f t="shared" si="32"/>
        <v>4480.4767259999999</v>
      </c>
      <c r="CP17" s="24">
        <f t="shared" si="32"/>
        <v>4480.4767259999999</v>
      </c>
      <c r="CQ17" s="24">
        <f t="shared" si="32"/>
        <v>4480.4767259999999</v>
      </c>
      <c r="CR17" s="24">
        <f t="shared" si="32"/>
        <v>4480.4767259999999</v>
      </c>
      <c r="CS17" s="24">
        <f t="shared" si="32"/>
        <v>4480.4767259999999</v>
      </c>
      <c r="CT17" s="24">
        <f t="shared" si="32"/>
        <v>4480.4767259999999</v>
      </c>
      <c r="CU17" s="24">
        <f t="shared" si="32"/>
        <v>4480.4767259999999</v>
      </c>
      <c r="CV17" s="24">
        <f t="shared" si="32"/>
        <v>4480.4767259999999</v>
      </c>
      <c r="CW17" s="24">
        <f t="shared" si="32"/>
        <v>4480.4767259999999</v>
      </c>
      <c r="CX17" s="24">
        <f t="shared" si="32"/>
        <v>4480.4767259999999</v>
      </c>
      <c r="CY17" s="24">
        <f t="shared" si="32"/>
        <v>4480.4767259999999</v>
      </c>
      <c r="CZ17" s="24">
        <f t="shared" si="32"/>
        <v>4480.4767259999999</v>
      </c>
      <c r="DA17" s="24">
        <f t="shared" si="32"/>
        <v>4480.4767259999999</v>
      </c>
      <c r="DB17" s="24">
        <f t="shared" si="32"/>
        <v>4480.4767259999999</v>
      </c>
      <c r="DC17" s="24">
        <f t="shared" si="32"/>
        <v>4480.4767259999999</v>
      </c>
      <c r="DD17" s="24">
        <f t="shared" si="32"/>
        <v>4480.4767259999999</v>
      </c>
      <c r="DE17" s="24">
        <f t="shared" si="32"/>
        <v>4480.4767259999999</v>
      </c>
      <c r="DF17" s="24">
        <f t="shared" si="32"/>
        <v>4480.4767259999999</v>
      </c>
      <c r="DG17" s="24">
        <f t="shared" si="32"/>
        <v>4480.4767259999999</v>
      </c>
      <c r="DH17" s="24">
        <f t="shared" si="32"/>
        <v>4480.4767259999999</v>
      </c>
      <c r="DI17" s="24">
        <f t="shared" si="32"/>
        <v>4480.4767259999999</v>
      </c>
      <c r="DJ17" s="24">
        <f t="shared" si="32"/>
        <v>4480.4767259999999</v>
      </c>
      <c r="DK17" s="24">
        <f t="shared" si="32"/>
        <v>4480.4767259999999</v>
      </c>
      <c r="DL17" s="24">
        <f t="shared" si="32"/>
        <v>4480.4767259999999</v>
      </c>
      <c r="DM17" s="24">
        <f t="shared" si="32"/>
        <v>4480.4767259999999</v>
      </c>
      <c r="DN17" s="24">
        <f t="shared" si="32"/>
        <v>4480.4767259999999</v>
      </c>
      <c r="DO17" s="24">
        <f t="shared" si="32"/>
        <v>4480.4767259999999</v>
      </c>
      <c r="DP17" s="24">
        <f t="shared" si="32"/>
        <v>4480.4767259999999</v>
      </c>
      <c r="DQ17" s="24">
        <f t="shared" si="32"/>
        <v>4480.4767259999999</v>
      </c>
      <c r="DR17" s="24">
        <f t="shared" si="32"/>
        <v>4480.4767259999999</v>
      </c>
      <c r="DS17" s="24">
        <f t="shared" si="32"/>
        <v>4480.4767259999999</v>
      </c>
      <c r="DT17" s="24">
        <f t="shared" si="32"/>
        <v>4480.4767259999999</v>
      </c>
      <c r="DU17" s="24">
        <f t="shared" si="32"/>
        <v>4480.4767259999999</v>
      </c>
      <c r="DV17" s="24">
        <f t="shared" si="32"/>
        <v>4480.4767259999999</v>
      </c>
      <c r="DW17" s="24">
        <f t="shared" si="32"/>
        <v>4480.4767259999999</v>
      </c>
      <c r="DX17" s="24">
        <f t="shared" si="32"/>
        <v>4480.4767259999999</v>
      </c>
      <c r="DY17" s="24">
        <f t="shared" si="32"/>
        <v>4480.4767259999999</v>
      </c>
      <c r="DZ17" s="24">
        <f t="shared" si="32"/>
        <v>4480.4767259999999</v>
      </c>
      <c r="EA17" s="24">
        <f t="shared" si="32"/>
        <v>4480.4767259999999</v>
      </c>
      <c r="EB17" s="24">
        <f t="shared" si="32"/>
        <v>4480.4767259999999</v>
      </c>
      <c r="EC17" s="24">
        <f t="shared" si="32"/>
        <v>4480.4767259999999</v>
      </c>
      <c r="ED17" s="24">
        <f t="shared" si="32"/>
        <v>4480.4767259999999</v>
      </c>
      <c r="EE17" s="24">
        <f t="shared" ref="EE17:GP17" si="33">$C$16</f>
        <v>4480.4767259999999</v>
      </c>
      <c r="EF17" s="24">
        <f t="shared" si="33"/>
        <v>4480.4767259999999</v>
      </c>
      <c r="EG17" s="24">
        <f t="shared" si="33"/>
        <v>4480.4767259999999</v>
      </c>
      <c r="EH17" s="24">
        <f t="shared" si="33"/>
        <v>4480.4767259999999</v>
      </c>
      <c r="EI17" s="24">
        <f t="shared" si="33"/>
        <v>4480.4767259999999</v>
      </c>
      <c r="EJ17" s="24">
        <f t="shared" si="33"/>
        <v>4480.4767259999999</v>
      </c>
      <c r="EK17" s="24">
        <f t="shared" si="33"/>
        <v>4480.4767259999999</v>
      </c>
      <c r="EL17" s="24">
        <f t="shared" si="33"/>
        <v>4480.4767259999999</v>
      </c>
      <c r="EM17" s="24">
        <f t="shared" si="33"/>
        <v>4480.4767259999999</v>
      </c>
      <c r="EN17" s="24">
        <f t="shared" si="33"/>
        <v>4480.4767259999999</v>
      </c>
      <c r="EO17" s="24">
        <f t="shared" si="33"/>
        <v>4480.4767259999999</v>
      </c>
      <c r="EP17" s="24">
        <f t="shared" si="33"/>
        <v>4480.4767259999999</v>
      </c>
      <c r="EQ17" s="24">
        <f t="shared" si="33"/>
        <v>4480.4767259999999</v>
      </c>
      <c r="ER17" s="24">
        <f t="shared" si="33"/>
        <v>4480.4767259999999</v>
      </c>
      <c r="ES17" s="24">
        <f t="shared" si="33"/>
        <v>4480.4767259999999</v>
      </c>
      <c r="ET17" s="24">
        <f t="shared" si="33"/>
        <v>4480.4767259999999</v>
      </c>
      <c r="EU17" s="24">
        <f t="shared" si="33"/>
        <v>4480.4767259999999</v>
      </c>
      <c r="EV17" s="24">
        <f t="shared" si="33"/>
        <v>4480.4767259999999</v>
      </c>
      <c r="EW17" s="24">
        <f t="shared" si="33"/>
        <v>4480.4767259999999</v>
      </c>
      <c r="EX17" s="24">
        <f t="shared" si="33"/>
        <v>4480.4767259999999</v>
      </c>
      <c r="EY17" s="24">
        <f t="shared" si="33"/>
        <v>4480.4767259999999</v>
      </c>
      <c r="EZ17" s="24">
        <f t="shared" si="33"/>
        <v>4480.4767259999999</v>
      </c>
      <c r="FA17" s="24">
        <f t="shared" si="33"/>
        <v>4480.4767259999999</v>
      </c>
      <c r="FB17" s="24">
        <f t="shared" si="33"/>
        <v>4480.4767259999999</v>
      </c>
      <c r="FC17" s="24">
        <f t="shared" si="33"/>
        <v>4480.4767259999999</v>
      </c>
      <c r="FD17" s="24">
        <f t="shared" si="33"/>
        <v>4480.4767259999999</v>
      </c>
      <c r="FE17" s="24">
        <f t="shared" si="33"/>
        <v>4480.4767259999999</v>
      </c>
      <c r="FF17" s="24">
        <f t="shared" si="33"/>
        <v>4480.4767259999999</v>
      </c>
      <c r="FG17" s="24">
        <f t="shared" si="33"/>
        <v>4480.4767259999999</v>
      </c>
      <c r="FH17" s="24">
        <f t="shared" si="33"/>
        <v>4480.4767259999999</v>
      </c>
      <c r="FI17" s="24">
        <f t="shared" si="33"/>
        <v>4480.4767259999999</v>
      </c>
      <c r="FJ17" s="24">
        <f t="shared" si="33"/>
        <v>4480.4767259999999</v>
      </c>
      <c r="FK17" s="24">
        <f t="shared" si="33"/>
        <v>4480.4767259999999</v>
      </c>
      <c r="FL17" s="24">
        <f t="shared" si="33"/>
        <v>4480.4767259999999</v>
      </c>
      <c r="FM17" s="24">
        <f t="shared" si="33"/>
        <v>4480.4767259999999</v>
      </c>
      <c r="FN17" s="24">
        <f t="shared" si="33"/>
        <v>4480.4767259999999</v>
      </c>
      <c r="FO17" s="24">
        <f t="shared" si="33"/>
        <v>4480.4767259999999</v>
      </c>
      <c r="FP17" s="24">
        <f t="shared" si="33"/>
        <v>4480.4767259999999</v>
      </c>
      <c r="FQ17" s="24">
        <f t="shared" si="33"/>
        <v>4480.4767259999999</v>
      </c>
      <c r="FR17" s="24">
        <f t="shared" si="33"/>
        <v>4480.4767259999999</v>
      </c>
      <c r="FS17" s="24">
        <f t="shared" si="33"/>
        <v>4480.4767259999999</v>
      </c>
      <c r="FT17" s="24">
        <f t="shared" si="33"/>
        <v>4480.4767259999999</v>
      </c>
      <c r="FU17" s="24">
        <f t="shared" si="33"/>
        <v>4480.4767259999999</v>
      </c>
      <c r="FV17" s="24">
        <f t="shared" si="33"/>
        <v>4480.4767259999999</v>
      </c>
      <c r="FW17" s="24">
        <f t="shared" si="33"/>
        <v>4480.4767259999999</v>
      </c>
      <c r="FX17" s="24">
        <f t="shared" si="33"/>
        <v>4480.4767259999999</v>
      </c>
      <c r="FY17" s="24">
        <f t="shared" si="33"/>
        <v>4480.4767259999999</v>
      </c>
      <c r="FZ17" s="24">
        <f t="shared" si="33"/>
        <v>4480.4767259999999</v>
      </c>
      <c r="GA17" s="24">
        <f t="shared" si="33"/>
        <v>4480.4767259999999</v>
      </c>
      <c r="GB17" s="24">
        <f t="shared" si="33"/>
        <v>4480.4767259999999</v>
      </c>
      <c r="GC17" s="24">
        <f t="shared" si="33"/>
        <v>4480.4767259999999</v>
      </c>
      <c r="GD17" s="24">
        <f t="shared" si="33"/>
        <v>4480.4767259999999</v>
      </c>
      <c r="GE17" s="24">
        <f t="shared" si="33"/>
        <v>4480.4767259999999</v>
      </c>
      <c r="GF17" s="24">
        <f t="shared" si="33"/>
        <v>4480.4767259999999</v>
      </c>
      <c r="GG17" s="24">
        <f t="shared" si="33"/>
        <v>4480.4767259999999</v>
      </c>
      <c r="GH17" s="24">
        <f t="shared" si="33"/>
        <v>4480.4767259999999</v>
      </c>
      <c r="GI17" s="24">
        <f t="shared" si="33"/>
        <v>4480.4767259999999</v>
      </c>
      <c r="GJ17" s="24">
        <f t="shared" si="33"/>
        <v>4480.4767259999999</v>
      </c>
      <c r="GK17" s="24">
        <f t="shared" si="33"/>
        <v>4480.4767259999999</v>
      </c>
      <c r="GL17" s="24">
        <f t="shared" si="33"/>
        <v>4480.4767259999999</v>
      </c>
      <c r="GM17" s="24">
        <f t="shared" si="33"/>
        <v>4480.4767259999999</v>
      </c>
      <c r="GN17" s="24">
        <f t="shared" si="33"/>
        <v>4480.4767259999999</v>
      </c>
      <c r="GO17" s="24">
        <f t="shared" si="33"/>
        <v>4480.4767259999999</v>
      </c>
      <c r="GP17" s="24">
        <f t="shared" si="33"/>
        <v>4480.4767259999999</v>
      </c>
      <c r="GQ17" s="24">
        <f t="shared" ref="GQ17:IN17" si="34">$C$16</f>
        <v>4480.4767259999999</v>
      </c>
      <c r="GR17" s="24">
        <f t="shared" si="34"/>
        <v>4480.4767259999999</v>
      </c>
      <c r="GS17" s="24">
        <f t="shared" si="34"/>
        <v>4480.4767259999999</v>
      </c>
      <c r="GT17" s="24">
        <f t="shared" si="34"/>
        <v>4480.4767259999999</v>
      </c>
      <c r="GU17" s="24">
        <f t="shared" si="34"/>
        <v>4480.4767259999999</v>
      </c>
      <c r="GV17" s="24">
        <f t="shared" si="34"/>
        <v>4480.4767259999999</v>
      </c>
      <c r="GW17" s="24">
        <f t="shared" si="34"/>
        <v>4480.4767259999999</v>
      </c>
      <c r="GX17" s="24">
        <f t="shared" si="34"/>
        <v>4480.4767259999999</v>
      </c>
      <c r="GY17" s="24">
        <f t="shared" si="34"/>
        <v>4480.4767259999999</v>
      </c>
      <c r="GZ17" s="24">
        <f t="shared" si="34"/>
        <v>4480.4767259999999</v>
      </c>
      <c r="HA17" s="24">
        <f t="shared" si="34"/>
        <v>4480.4767259999999</v>
      </c>
      <c r="HB17" s="24">
        <f t="shared" si="34"/>
        <v>4480.4767259999999</v>
      </c>
      <c r="HC17" s="24">
        <f t="shared" si="34"/>
        <v>4480.4767259999999</v>
      </c>
      <c r="HD17" s="24">
        <f t="shared" si="34"/>
        <v>4480.4767259999999</v>
      </c>
      <c r="HE17" s="24">
        <f t="shared" si="34"/>
        <v>4480.4767259999999</v>
      </c>
      <c r="HF17" s="24">
        <f t="shared" si="34"/>
        <v>4480.4767259999999</v>
      </c>
      <c r="HG17" s="24">
        <f t="shared" si="34"/>
        <v>4480.4767259999999</v>
      </c>
      <c r="HH17" s="24">
        <f t="shared" si="34"/>
        <v>4480.4767259999999</v>
      </c>
      <c r="HI17" s="24">
        <f t="shared" si="34"/>
        <v>4480.4767259999999</v>
      </c>
      <c r="HJ17" s="24">
        <f t="shared" si="34"/>
        <v>4480.4767259999999</v>
      </c>
      <c r="HK17" s="24">
        <f t="shared" si="34"/>
        <v>4480.4767259999999</v>
      </c>
      <c r="HL17" s="24">
        <f t="shared" si="34"/>
        <v>4480.4767259999999</v>
      </c>
      <c r="HM17" s="24">
        <f t="shared" si="34"/>
        <v>4480.4767259999999</v>
      </c>
      <c r="HN17" s="24">
        <f t="shared" si="34"/>
        <v>4480.4767259999999</v>
      </c>
      <c r="HO17" s="24">
        <f t="shared" si="34"/>
        <v>4480.4767259999999</v>
      </c>
      <c r="HP17" s="24">
        <f t="shared" si="34"/>
        <v>4480.4767259999999</v>
      </c>
      <c r="HQ17" s="24">
        <f t="shared" si="34"/>
        <v>4480.4767259999999</v>
      </c>
      <c r="HR17" s="24">
        <f t="shared" si="34"/>
        <v>4480.4767259999999</v>
      </c>
      <c r="HS17" s="24">
        <f t="shared" si="34"/>
        <v>4480.4767259999999</v>
      </c>
      <c r="HT17" s="24">
        <f t="shared" si="34"/>
        <v>4480.4767259999999</v>
      </c>
      <c r="HU17" s="24">
        <f t="shared" si="34"/>
        <v>4480.4767259999999</v>
      </c>
      <c r="HV17" s="24">
        <f t="shared" si="34"/>
        <v>4480.4767259999999</v>
      </c>
      <c r="HW17" s="24">
        <f t="shared" si="34"/>
        <v>4480.4767259999999</v>
      </c>
      <c r="HX17" s="24">
        <f t="shared" si="34"/>
        <v>4480.4767259999999</v>
      </c>
      <c r="HY17" s="24">
        <f t="shared" si="34"/>
        <v>4480.4767259999999</v>
      </c>
      <c r="HZ17" s="24">
        <f t="shared" si="34"/>
        <v>4480.4767259999999</v>
      </c>
      <c r="IA17" s="24">
        <f t="shared" si="34"/>
        <v>4480.4767259999999</v>
      </c>
      <c r="IB17" s="24">
        <f t="shared" si="34"/>
        <v>4480.4767259999999</v>
      </c>
      <c r="IC17" s="24">
        <f t="shared" si="34"/>
        <v>4480.4767259999999</v>
      </c>
      <c r="ID17" s="24">
        <f t="shared" si="34"/>
        <v>4480.4767259999999</v>
      </c>
      <c r="IE17" s="24">
        <f t="shared" si="34"/>
        <v>4480.4767259999999</v>
      </c>
      <c r="IF17" s="24">
        <f t="shared" si="34"/>
        <v>4480.4767259999999</v>
      </c>
      <c r="IG17" s="24">
        <f t="shared" si="34"/>
        <v>4480.4767259999999</v>
      </c>
      <c r="IH17" s="24">
        <f t="shared" si="34"/>
        <v>4480.4767259999999</v>
      </c>
      <c r="II17" s="24">
        <f t="shared" si="34"/>
        <v>4480.4767259999999</v>
      </c>
      <c r="IJ17" s="24">
        <f t="shared" si="34"/>
        <v>4480.4767259999999</v>
      </c>
      <c r="IK17" s="24">
        <f t="shared" si="34"/>
        <v>4480.4767259999999</v>
      </c>
      <c r="IL17" s="24">
        <f t="shared" si="34"/>
        <v>4480.4767259999999</v>
      </c>
      <c r="IM17" s="24">
        <f t="shared" si="34"/>
        <v>4480.4767259999999</v>
      </c>
      <c r="IN17" s="24">
        <f t="shared" si="34"/>
        <v>4480.4767259999999</v>
      </c>
    </row>
    <row r="18" spans="2:248" x14ac:dyDescent="0.3">
      <c r="F18" s="22" t="s">
        <v>559</v>
      </c>
      <c r="G18" s="24">
        <f>G6*$C$15</f>
        <v>12.353463587921848</v>
      </c>
      <c r="H18" s="24">
        <f t="shared" ref="H18:BS18" si="35">H6*$C$15</f>
        <v>17.7797513321492</v>
      </c>
      <c r="I18" s="24">
        <f t="shared" si="35"/>
        <v>21.589698046181173</v>
      </c>
      <c r="J18" s="24">
        <f t="shared" si="35"/>
        <v>29.209591474245116</v>
      </c>
      <c r="K18" s="24">
        <f t="shared" si="35"/>
        <v>34.635879218472468</v>
      </c>
      <c r="L18" s="24">
        <f t="shared" si="35"/>
        <v>41.447602131438721</v>
      </c>
      <c r="M18" s="24">
        <f t="shared" si="35"/>
        <v>49.875666074600353</v>
      </c>
      <c r="N18" s="24">
        <f t="shared" si="35"/>
        <v>65</v>
      </c>
      <c r="O18" s="24">
        <f t="shared" si="35"/>
        <v>89.476021314387211</v>
      </c>
      <c r="P18" s="24">
        <f t="shared" si="35"/>
        <v>127.46003552397868</v>
      </c>
      <c r="Q18" s="24">
        <f t="shared" si="35"/>
        <v>151.82060390763766</v>
      </c>
      <c r="R18" s="24">
        <f>R6*$C$15</f>
        <v>170.17761989342807</v>
      </c>
      <c r="S18" s="24">
        <f t="shared" si="35"/>
        <v>213.70337477797511</v>
      </c>
      <c r="T18" s="24">
        <f t="shared" si="35"/>
        <v>288.97868561278864</v>
      </c>
      <c r="U18" s="24">
        <f t="shared" si="35"/>
        <v>357.90408525754884</v>
      </c>
      <c r="V18" s="24">
        <f t="shared" si="35"/>
        <v>435.14209591474241</v>
      </c>
      <c r="W18" s="24">
        <f t="shared" si="35"/>
        <v>550.24866785079928</v>
      </c>
      <c r="X18" s="24">
        <f t="shared" si="35"/>
        <v>695.80943071353124</v>
      </c>
      <c r="Y18" s="24">
        <f t="shared" si="35"/>
        <v>879.8763034918727</v>
      </c>
      <c r="Z18" s="24">
        <f t="shared" si="35"/>
        <v>1112.6355511632285</v>
      </c>
      <c r="AA18" s="24">
        <f t="shared" si="35"/>
        <v>1406.9680758526486</v>
      </c>
      <c r="AB18" s="24">
        <f t="shared" si="35"/>
        <v>1779.1622462529908</v>
      </c>
      <c r="AC18" s="24">
        <f t="shared" si="35"/>
        <v>2249.8152963233983</v>
      </c>
      <c r="AD18" s="24">
        <f t="shared" si="35"/>
        <v>2844.9731766908171</v>
      </c>
      <c r="AE18" s="24">
        <f>AE6*$C$15</f>
        <v>3597.5719381573581</v>
      </c>
      <c r="AF18" s="24">
        <f t="shared" si="35"/>
        <v>4549.2604135099873</v>
      </c>
      <c r="AG18" s="24">
        <f t="shared" si="35"/>
        <v>5752.7050648858567</v>
      </c>
      <c r="AH18" s="24">
        <f t="shared" si="35"/>
        <v>7274.5045469995348</v>
      </c>
      <c r="AI18" s="24">
        <f t="shared" si="35"/>
        <v>9198.8752782282445</v>
      </c>
      <c r="AJ18" s="24">
        <f t="shared" si="35"/>
        <v>11632.311979143802</v>
      </c>
      <c r="AK18" s="24">
        <f t="shared" si="35"/>
        <v>14709.481092800946</v>
      </c>
      <c r="AL18" s="24">
        <f t="shared" si="35"/>
        <v>18600.673228796462</v>
      </c>
      <c r="AM18" s="24">
        <f t="shared" si="35"/>
        <v>23521.22704952495</v>
      </c>
      <c r="AN18" s="24">
        <f t="shared" si="35"/>
        <v>29743.446116713567</v>
      </c>
      <c r="AO18" s="24">
        <f t="shared" si="35"/>
        <v>37611.668176797386</v>
      </c>
      <c r="AP18" s="24">
        <f t="shared" si="35"/>
        <v>47561.320819734938</v>
      </c>
      <c r="AQ18" s="24">
        <f t="shared" si="35"/>
        <v>60143.018051861545</v>
      </c>
      <c r="AR18" s="24">
        <f t="shared" si="35"/>
        <v>76053.031287676989</v>
      </c>
      <c r="AS18" s="24">
        <f t="shared" si="35"/>
        <v>96171.821025954428</v>
      </c>
      <c r="AT18" s="24">
        <f t="shared" si="35"/>
        <v>121612.76155401378</v>
      </c>
      <c r="AU18" s="24">
        <f t="shared" si="35"/>
        <v>153783.75510641566</v>
      </c>
      <c r="AV18" s="24">
        <f t="shared" si="35"/>
        <v>194465.14520703669</v>
      </c>
      <c r="AW18" s="24">
        <f t="shared" si="35"/>
        <v>245908.24092067062</v>
      </c>
      <c r="AX18" s="24">
        <f t="shared" si="35"/>
        <v>310959.90434850659</v>
      </c>
      <c r="AY18" s="24">
        <f t="shared" si="35"/>
        <v>393220.09604235383</v>
      </c>
      <c r="AZ18" s="24">
        <f t="shared" si="35"/>
        <v>497241.09690446185</v>
      </c>
      <c r="BA18" s="24">
        <f t="shared" si="35"/>
        <v>628779.43151746038</v>
      </c>
      <c r="BB18" s="24">
        <f t="shared" si="35"/>
        <v>795114.43434729706</v>
      </c>
      <c r="BC18" s="24">
        <f t="shared" si="35"/>
        <v>1005451.0882801779</v>
      </c>
      <c r="BD18" s="24">
        <f t="shared" si="35"/>
        <v>1271429.4285874206</v>
      </c>
      <c r="BE18" s="24">
        <f t="shared" si="35"/>
        <v>1607768.7027453629</v>
      </c>
      <c r="BF18" s="24">
        <f t="shared" si="35"/>
        <v>2033081.93392959</v>
      </c>
      <c r="BG18" s="24">
        <f t="shared" si="35"/>
        <v>2570905.9661460086</v>
      </c>
      <c r="BH18" s="24">
        <f t="shared" si="35"/>
        <v>3135055.5701598581</v>
      </c>
      <c r="BI18" s="24">
        <f t="shared" si="35"/>
        <v>3135055.5701598581</v>
      </c>
      <c r="BJ18" s="24">
        <f t="shared" si="35"/>
        <v>3135055.5701598581</v>
      </c>
      <c r="BK18" s="24">
        <f t="shared" si="35"/>
        <v>3135055.5701598581</v>
      </c>
      <c r="BL18" s="24">
        <f t="shared" si="35"/>
        <v>3135055.5701598581</v>
      </c>
      <c r="BM18" s="24">
        <f t="shared" si="35"/>
        <v>3135055.5701598581</v>
      </c>
      <c r="BN18" s="24">
        <f>BN6*$C$15</f>
        <v>3135055.5701598581</v>
      </c>
      <c r="BO18" s="24">
        <f t="shared" si="35"/>
        <v>3135055.5701598581</v>
      </c>
      <c r="BP18" s="24">
        <f t="shared" si="35"/>
        <v>3135055.5701598581</v>
      </c>
      <c r="BQ18" s="24">
        <f t="shared" si="35"/>
        <v>3135055.5701598581</v>
      </c>
      <c r="BR18" s="24">
        <f t="shared" si="35"/>
        <v>3135055.5701598581</v>
      </c>
      <c r="BS18" s="24">
        <f t="shared" si="35"/>
        <v>3135055.5701598581</v>
      </c>
      <c r="BT18" s="24">
        <f t="shared" ref="BT18:EE18" si="36">BT6*$C$15</f>
        <v>3135055.5701598581</v>
      </c>
      <c r="BU18" s="24">
        <f t="shared" si="36"/>
        <v>3135055.5701598581</v>
      </c>
      <c r="BV18" s="24">
        <f t="shared" si="36"/>
        <v>3135055.5701598581</v>
      </c>
      <c r="BW18" s="24">
        <f t="shared" si="36"/>
        <v>3135055.5701598581</v>
      </c>
      <c r="BX18" s="24">
        <f t="shared" si="36"/>
        <v>3135055.5701598581</v>
      </c>
      <c r="BY18" s="24">
        <f t="shared" si="36"/>
        <v>3135055.5701598581</v>
      </c>
      <c r="BZ18" s="24">
        <f t="shared" si="36"/>
        <v>3135055.5701598581</v>
      </c>
      <c r="CA18" s="24">
        <f t="shared" si="36"/>
        <v>3135055.5701598581</v>
      </c>
      <c r="CB18" s="24">
        <f t="shared" si="36"/>
        <v>3135055.5701598581</v>
      </c>
      <c r="CC18" s="24">
        <f t="shared" si="36"/>
        <v>3135055.5701598581</v>
      </c>
      <c r="CD18" s="24">
        <f t="shared" si="36"/>
        <v>3135055.5701598581</v>
      </c>
      <c r="CE18" s="24">
        <f t="shared" si="36"/>
        <v>3135055.5701598581</v>
      </c>
      <c r="CF18" s="24">
        <f t="shared" si="36"/>
        <v>3135055.5701598581</v>
      </c>
      <c r="CG18" s="24">
        <f t="shared" si="36"/>
        <v>3135055.5701598581</v>
      </c>
      <c r="CH18" s="24">
        <f t="shared" si="36"/>
        <v>3135055.5701598581</v>
      </c>
      <c r="CI18" s="24">
        <f t="shared" si="36"/>
        <v>3135055.5701598581</v>
      </c>
      <c r="CJ18" s="24">
        <f t="shared" si="36"/>
        <v>3135055.5701598581</v>
      </c>
      <c r="CK18" s="24">
        <f t="shared" si="36"/>
        <v>3135055.5701598581</v>
      </c>
      <c r="CL18" s="24">
        <f t="shared" si="36"/>
        <v>3135055.5701598581</v>
      </c>
      <c r="CM18" s="24">
        <f t="shared" si="36"/>
        <v>3135055.5701598581</v>
      </c>
      <c r="CN18" s="24">
        <f t="shared" si="36"/>
        <v>3135055.5701598581</v>
      </c>
      <c r="CO18" s="24">
        <f t="shared" si="36"/>
        <v>3135055.5701598581</v>
      </c>
      <c r="CP18" s="24">
        <f t="shared" si="36"/>
        <v>3135055.5701598581</v>
      </c>
      <c r="CQ18" s="24">
        <f t="shared" si="36"/>
        <v>3135055.5701598581</v>
      </c>
      <c r="CR18" s="24">
        <f t="shared" si="36"/>
        <v>3135055.5701598581</v>
      </c>
      <c r="CS18" s="24">
        <f t="shared" si="36"/>
        <v>3135055.5701598581</v>
      </c>
      <c r="CT18" s="24">
        <f t="shared" si="36"/>
        <v>3135055.5701598581</v>
      </c>
      <c r="CU18" s="24">
        <f t="shared" si="36"/>
        <v>3135055.5701598581</v>
      </c>
      <c r="CV18" s="24">
        <f t="shared" si="36"/>
        <v>3135055.5701598581</v>
      </c>
      <c r="CW18" s="24">
        <f t="shared" si="36"/>
        <v>3135055.5701598581</v>
      </c>
      <c r="CX18" s="24">
        <f t="shared" si="36"/>
        <v>3135055.5701598581</v>
      </c>
      <c r="CY18" s="24">
        <f t="shared" si="36"/>
        <v>3135055.5701598581</v>
      </c>
      <c r="CZ18" s="24">
        <f t="shared" si="36"/>
        <v>3135055.5701598581</v>
      </c>
      <c r="DA18" s="24">
        <f t="shared" si="36"/>
        <v>3135055.5701598581</v>
      </c>
      <c r="DB18" s="24">
        <f t="shared" si="36"/>
        <v>3135055.5701598581</v>
      </c>
      <c r="DC18" s="24">
        <f t="shared" si="36"/>
        <v>3135055.5701598581</v>
      </c>
      <c r="DD18" s="24">
        <f t="shared" si="36"/>
        <v>3135055.5701598581</v>
      </c>
      <c r="DE18" s="24">
        <f t="shared" si="36"/>
        <v>3135055.5701598581</v>
      </c>
      <c r="DF18" s="24">
        <f t="shared" si="36"/>
        <v>3135055.5701598581</v>
      </c>
      <c r="DG18" s="24">
        <f t="shared" si="36"/>
        <v>3135055.5701598581</v>
      </c>
      <c r="DH18" s="24">
        <f t="shared" si="36"/>
        <v>3135055.5701598581</v>
      </c>
      <c r="DI18" s="24">
        <f t="shared" si="36"/>
        <v>3135055.5701598581</v>
      </c>
      <c r="DJ18" s="24">
        <f t="shared" si="36"/>
        <v>3135055.5701598581</v>
      </c>
      <c r="DK18" s="24">
        <f t="shared" si="36"/>
        <v>3135055.5701598581</v>
      </c>
      <c r="DL18" s="24">
        <f t="shared" si="36"/>
        <v>3135055.5701598581</v>
      </c>
      <c r="DM18" s="24">
        <f t="shared" si="36"/>
        <v>3135055.5701598581</v>
      </c>
      <c r="DN18" s="24">
        <f t="shared" si="36"/>
        <v>3135055.5701598581</v>
      </c>
      <c r="DO18" s="24">
        <f t="shared" si="36"/>
        <v>3135055.5701598581</v>
      </c>
      <c r="DP18" s="24">
        <f t="shared" si="36"/>
        <v>3135055.5701598581</v>
      </c>
      <c r="DQ18" s="24">
        <f t="shared" si="36"/>
        <v>3135055.5701598581</v>
      </c>
      <c r="DR18" s="24">
        <f t="shared" si="36"/>
        <v>3135055.5701598581</v>
      </c>
      <c r="DS18" s="24">
        <f t="shared" si="36"/>
        <v>3135055.5701598581</v>
      </c>
      <c r="DT18" s="24">
        <f t="shared" si="36"/>
        <v>3135055.5701598581</v>
      </c>
      <c r="DU18" s="24">
        <f t="shared" si="36"/>
        <v>3135055.5701598581</v>
      </c>
      <c r="DV18" s="24">
        <f t="shared" si="36"/>
        <v>3135055.5701598581</v>
      </c>
      <c r="DW18" s="24">
        <f t="shared" si="36"/>
        <v>3135055.5701598581</v>
      </c>
      <c r="DX18" s="24">
        <f t="shared" si="36"/>
        <v>3135055.5701598581</v>
      </c>
      <c r="DY18" s="24">
        <f t="shared" si="36"/>
        <v>3135055.5701598581</v>
      </c>
      <c r="DZ18" s="24">
        <f t="shared" si="36"/>
        <v>3135055.5701598581</v>
      </c>
      <c r="EA18" s="24">
        <f t="shared" si="36"/>
        <v>3135055.5701598581</v>
      </c>
      <c r="EB18" s="24">
        <f t="shared" si="36"/>
        <v>3135055.5701598581</v>
      </c>
      <c r="EC18" s="24">
        <f t="shared" si="36"/>
        <v>3135055.5701598581</v>
      </c>
      <c r="ED18" s="24">
        <f t="shared" si="36"/>
        <v>3135055.5701598581</v>
      </c>
      <c r="EE18" s="24">
        <f t="shared" si="36"/>
        <v>3135055.5701598581</v>
      </c>
      <c r="EF18" s="24">
        <f t="shared" ref="EF18:GQ18" si="37">EF6*$C$15</f>
        <v>3135055.5701598581</v>
      </c>
      <c r="EG18" s="24">
        <f t="shared" si="37"/>
        <v>3135055.5701598581</v>
      </c>
      <c r="EH18" s="24">
        <f t="shared" si="37"/>
        <v>3135055.5701598581</v>
      </c>
      <c r="EI18" s="24">
        <f t="shared" si="37"/>
        <v>3135055.5701598581</v>
      </c>
      <c r="EJ18" s="24">
        <f t="shared" si="37"/>
        <v>3135055.5701598581</v>
      </c>
      <c r="EK18" s="24">
        <f t="shared" si="37"/>
        <v>3135055.5701598581</v>
      </c>
      <c r="EL18" s="24">
        <f t="shared" si="37"/>
        <v>3135055.5701598581</v>
      </c>
      <c r="EM18" s="24">
        <f t="shared" si="37"/>
        <v>3135055.5701598581</v>
      </c>
      <c r="EN18" s="24">
        <f t="shared" si="37"/>
        <v>3135055.5701598581</v>
      </c>
      <c r="EO18" s="24">
        <f t="shared" si="37"/>
        <v>3135055.5701598581</v>
      </c>
      <c r="EP18" s="24">
        <f t="shared" si="37"/>
        <v>3135055.5701598581</v>
      </c>
      <c r="EQ18" s="24">
        <f t="shared" si="37"/>
        <v>3135055.5701598581</v>
      </c>
      <c r="ER18" s="24">
        <f t="shared" si="37"/>
        <v>3135055.5701598581</v>
      </c>
      <c r="ES18" s="24">
        <f t="shared" si="37"/>
        <v>3135055.5701598581</v>
      </c>
      <c r="ET18" s="24">
        <f t="shared" si="37"/>
        <v>3135055.5701598581</v>
      </c>
      <c r="EU18" s="24">
        <f t="shared" si="37"/>
        <v>3135055.5701598581</v>
      </c>
      <c r="EV18" s="24">
        <f t="shared" si="37"/>
        <v>3135055.5701598581</v>
      </c>
      <c r="EW18" s="24">
        <f t="shared" si="37"/>
        <v>3135055.5701598581</v>
      </c>
      <c r="EX18" s="24">
        <f t="shared" si="37"/>
        <v>3135055.5701598581</v>
      </c>
      <c r="EY18" s="24">
        <f t="shared" si="37"/>
        <v>3135055.5701598581</v>
      </c>
      <c r="EZ18" s="24">
        <f t="shared" si="37"/>
        <v>3135055.5701598581</v>
      </c>
      <c r="FA18" s="24">
        <f t="shared" si="37"/>
        <v>3135055.5701598581</v>
      </c>
      <c r="FB18" s="24">
        <f t="shared" si="37"/>
        <v>3135055.5701598581</v>
      </c>
      <c r="FC18" s="24">
        <f t="shared" si="37"/>
        <v>3135055.5701598581</v>
      </c>
      <c r="FD18" s="24">
        <f t="shared" si="37"/>
        <v>3135055.5701598581</v>
      </c>
      <c r="FE18" s="24">
        <f t="shared" si="37"/>
        <v>3135055.5701598581</v>
      </c>
      <c r="FF18" s="24">
        <f t="shared" si="37"/>
        <v>3135055.5701598581</v>
      </c>
      <c r="FG18" s="24">
        <f t="shared" si="37"/>
        <v>3135055.5701598581</v>
      </c>
      <c r="FH18" s="24">
        <f t="shared" si="37"/>
        <v>3135055.5701598581</v>
      </c>
      <c r="FI18" s="24">
        <f t="shared" si="37"/>
        <v>3135055.5701598581</v>
      </c>
      <c r="FJ18" s="24">
        <f t="shared" si="37"/>
        <v>3135055.5701598581</v>
      </c>
      <c r="FK18" s="24">
        <f t="shared" si="37"/>
        <v>3135055.5701598581</v>
      </c>
      <c r="FL18" s="24">
        <f t="shared" si="37"/>
        <v>3135055.5701598581</v>
      </c>
      <c r="FM18" s="24">
        <f t="shared" si="37"/>
        <v>3135055.5701598581</v>
      </c>
      <c r="FN18" s="24">
        <f t="shared" si="37"/>
        <v>3135055.5701598581</v>
      </c>
      <c r="FO18" s="24">
        <f t="shared" si="37"/>
        <v>3135055.5701598581</v>
      </c>
      <c r="FP18" s="24">
        <f t="shared" si="37"/>
        <v>3135055.5701598581</v>
      </c>
      <c r="FQ18" s="24">
        <f t="shared" si="37"/>
        <v>3135055.5701598581</v>
      </c>
      <c r="FR18" s="24">
        <f t="shared" si="37"/>
        <v>3135055.5701598581</v>
      </c>
      <c r="FS18" s="24">
        <f t="shared" si="37"/>
        <v>3135055.5701598581</v>
      </c>
      <c r="FT18" s="24">
        <f t="shared" si="37"/>
        <v>3135055.5701598581</v>
      </c>
      <c r="FU18" s="24">
        <f t="shared" si="37"/>
        <v>3135055.5701598581</v>
      </c>
      <c r="FV18" s="24">
        <f t="shared" si="37"/>
        <v>3135055.5701598581</v>
      </c>
      <c r="FW18" s="24">
        <f t="shared" si="37"/>
        <v>3135055.5701598581</v>
      </c>
      <c r="FX18" s="24">
        <f t="shared" si="37"/>
        <v>3135055.5701598581</v>
      </c>
      <c r="FY18" s="24">
        <f t="shared" si="37"/>
        <v>3135055.5701598581</v>
      </c>
      <c r="FZ18" s="24">
        <f t="shared" si="37"/>
        <v>3135055.5701598581</v>
      </c>
      <c r="GA18" s="24">
        <f t="shared" si="37"/>
        <v>3135055.5701598581</v>
      </c>
      <c r="GB18" s="24">
        <f t="shared" si="37"/>
        <v>3135055.5701598581</v>
      </c>
      <c r="GC18" s="24">
        <f t="shared" si="37"/>
        <v>3135055.5701598581</v>
      </c>
      <c r="GD18" s="24">
        <f t="shared" si="37"/>
        <v>3135055.5701598581</v>
      </c>
      <c r="GE18" s="24">
        <f t="shared" si="37"/>
        <v>3135055.5701598581</v>
      </c>
      <c r="GF18" s="24">
        <f t="shared" si="37"/>
        <v>3135055.5701598581</v>
      </c>
      <c r="GG18" s="24">
        <f t="shared" si="37"/>
        <v>3135055.5701598581</v>
      </c>
      <c r="GH18" s="24">
        <f t="shared" si="37"/>
        <v>3135055.5701598581</v>
      </c>
      <c r="GI18" s="24">
        <f t="shared" si="37"/>
        <v>3135055.5701598581</v>
      </c>
      <c r="GJ18" s="24">
        <f t="shared" si="37"/>
        <v>3135055.5701598581</v>
      </c>
      <c r="GK18" s="24">
        <f t="shared" si="37"/>
        <v>3135055.5701598581</v>
      </c>
      <c r="GL18" s="24">
        <f t="shared" si="37"/>
        <v>3135055.5701598581</v>
      </c>
      <c r="GM18" s="24">
        <f t="shared" si="37"/>
        <v>3135055.5701598581</v>
      </c>
      <c r="GN18" s="24">
        <f t="shared" si="37"/>
        <v>3135055.5701598581</v>
      </c>
      <c r="GO18" s="24">
        <f t="shared" si="37"/>
        <v>3135055.5701598581</v>
      </c>
      <c r="GP18" s="24">
        <f t="shared" si="37"/>
        <v>3135055.5701598581</v>
      </c>
      <c r="GQ18" s="24">
        <f t="shared" si="37"/>
        <v>3135055.5701598581</v>
      </c>
      <c r="GR18" s="24">
        <f t="shared" ref="GR18:IN18" si="38">GR6*$C$15</f>
        <v>3135055.5701598581</v>
      </c>
      <c r="GS18" s="24">
        <f t="shared" si="38"/>
        <v>3135055.5701598581</v>
      </c>
      <c r="GT18" s="24">
        <f t="shared" si="38"/>
        <v>3135055.5701598581</v>
      </c>
      <c r="GU18" s="24">
        <f t="shared" si="38"/>
        <v>3135055.5701598581</v>
      </c>
      <c r="GV18" s="24">
        <f t="shared" si="38"/>
        <v>3135055.5701598581</v>
      </c>
      <c r="GW18" s="24">
        <f t="shared" si="38"/>
        <v>3135055.5701598581</v>
      </c>
      <c r="GX18" s="24">
        <f t="shared" si="38"/>
        <v>3135055.5701598581</v>
      </c>
      <c r="GY18" s="24">
        <f t="shared" si="38"/>
        <v>3135055.5701598581</v>
      </c>
      <c r="GZ18" s="24">
        <f t="shared" si="38"/>
        <v>3135055.5701598581</v>
      </c>
      <c r="HA18" s="24">
        <f t="shared" si="38"/>
        <v>3135055.5701598581</v>
      </c>
      <c r="HB18" s="24">
        <f t="shared" si="38"/>
        <v>3135055.5701598581</v>
      </c>
      <c r="HC18" s="24">
        <f t="shared" si="38"/>
        <v>3135055.5701598581</v>
      </c>
      <c r="HD18" s="24">
        <f t="shared" si="38"/>
        <v>3135055.5701598581</v>
      </c>
      <c r="HE18" s="24">
        <f t="shared" si="38"/>
        <v>3135055.5701598581</v>
      </c>
      <c r="HF18" s="24">
        <f t="shared" si="38"/>
        <v>3135055.5701598581</v>
      </c>
      <c r="HG18" s="24">
        <f t="shared" si="38"/>
        <v>3135055.5701598581</v>
      </c>
      <c r="HH18" s="24">
        <f t="shared" si="38"/>
        <v>3135055.5701598581</v>
      </c>
      <c r="HI18" s="24">
        <f t="shared" si="38"/>
        <v>3135055.5701598581</v>
      </c>
      <c r="HJ18" s="24">
        <f t="shared" si="38"/>
        <v>3135055.5701598581</v>
      </c>
      <c r="HK18" s="24">
        <f t="shared" si="38"/>
        <v>3135055.5701598581</v>
      </c>
      <c r="HL18" s="24">
        <f t="shared" si="38"/>
        <v>3135055.5701598581</v>
      </c>
      <c r="HM18" s="24">
        <f t="shared" si="38"/>
        <v>3135055.5701598581</v>
      </c>
      <c r="HN18" s="24">
        <f t="shared" si="38"/>
        <v>3135055.5701598581</v>
      </c>
      <c r="HO18" s="24">
        <f t="shared" si="38"/>
        <v>3135055.5701598581</v>
      </c>
      <c r="HP18" s="24">
        <f t="shared" si="38"/>
        <v>3135055.5701598581</v>
      </c>
      <c r="HQ18" s="24">
        <f t="shared" si="38"/>
        <v>3135055.5701598581</v>
      </c>
      <c r="HR18" s="24">
        <f t="shared" si="38"/>
        <v>3135055.5701598581</v>
      </c>
      <c r="HS18" s="24">
        <f t="shared" si="38"/>
        <v>3135055.5701598581</v>
      </c>
      <c r="HT18" s="24">
        <f t="shared" si="38"/>
        <v>3135055.5701598581</v>
      </c>
      <c r="HU18" s="24">
        <f t="shared" si="38"/>
        <v>3135055.5701598581</v>
      </c>
      <c r="HV18" s="24">
        <f t="shared" si="38"/>
        <v>3135055.5701598581</v>
      </c>
      <c r="HW18" s="24">
        <f t="shared" si="38"/>
        <v>3135055.5701598581</v>
      </c>
      <c r="HX18" s="24">
        <f t="shared" si="38"/>
        <v>3135055.5701598581</v>
      </c>
      <c r="HY18" s="24">
        <f t="shared" si="38"/>
        <v>3135055.5701598581</v>
      </c>
      <c r="HZ18" s="24">
        <f t="shared" si="38"/>
        <v>3135055.5701598581</v>
      </c>
      <c r="IA18" s="24">
        <f t="shared" si="38"/>
        <v>3135055.5701598581</v>
      </c>
      <c r="IB18" s="24">
        <f t="shared" si="38"/>
        <v>3135055.5701598581</v>
      </c>
      <c r="IC18" s="24">
        <f t="shared" si="38"/>
        <v>3135055.5701598581</v>
      </c>
      <c r="ID18" s="24">
        <f t="shared" si="38"/>
        <v>3135055.5701598581</v>
      </c>
      <c r="IE18" s="24">
        <f t="shared" si="38"/>
        <v>3135055.5701598581</v>
      </c>
      <c r="IF18" s="24">
        <f t="shared" si="38"/>
        <v>3135055.5701598581</v>
      </c>
      <c r="IG18" s="24">
        <f t="shared" si="38"/>
        <v>3135055.5701598581</v>
      </c>
      <c r="IH18" s="24">
        <f t="shared" si="38"/>
        <v>3135055.5701598581</v>
      </c>
      <c r="II18" s="24">
        <f t="shared" si="38"/>
        <v>3135055.5701598581</v>
      </c>
      <c r="IJ18" s="24">
        <f t="shared" si="38"/>
        <v>3135055.5701598581</v>
      </c>
      <c r="IK18" s="24">
        <f t="shared" si="38"/>
        <v>3135055.5701598581</v>
      </c>
      <c r="IL18" s="24">
        <f t="shared" si="38"/>
        <v>3135055.5701598581</v>
      </c>
      <c r="IM18" s="24">
        <f t="shared" si="38"/>
        <v>3135055.5701598581</v>
      </c>
      <c r="IN18" s="24">
        <f t="shared" si="38"/>
        <v>3135055.5701598581</v>
      </c>
    </row>
    <row r="19" spans="2:248" x14ac:dyDescent="0.3">
      <c r="B19" s="19" t="s">
        <v>480</v>
      </c>
      <c r="C19" s="42">
        <f>VLOOKUP(B2,Country_Data!B:K,10,FALSE)</f>
        <v>67886011</v>
      </c>
      <c r="F19" s="22" t="s">
        <v>495</v>
      </c>
      <c r="G19" s="24">
        <f>G9*$C$15</f>
        <v>12.353463587921848</v>
      </c>
      <c r="H19" s="24">
        <f t="shared" ref="H19:BS19" si="39">H9*$C$15</f>
        <v>17.7797513321492</v>
      </c>
      <c r="I19" s="24">
        <f t="shared" si="39"/>
        <v>21.589698046181173</v>
      </c>
      <c r="J19" s="24">
        <f t="shared" si="39"/>
        <v>29.209591474245116</v>
      </c>
      <c r="K19" s="24">
        <f t="shared" si="39"/>
        <v>34.635879218472468</v>
      </c>
      <c r="L19" s="24">
        <f t="shared" si="39"/>
        <v>41.447602131438721</v>
      </c>
      <c r="M19" s="24">
        <f t="shared" si="39"/>
        <v>49.875666074600353</v>
      </c>
      <c r="N19" s="24">
        <f t="shared" si="39"/>
        <v>65</v>
      </c>
      <c r="O19" s="24">
        <f t="shared" si="39"/>
        <v>89.476021314387211</v>
      </c>
      <c r="P19" s="24">
        <f t="shared" si="39"/>
        <v>127.46003552397868</v>
      </c>
      <c r="Q19" s="24">
        <f t="shared" si="39"/>
        <v>151.82060390763766</v>
      </c>
      <c r="R19" s="24">
        <f t="shared" si="39"/>
        <v>170.17761989342807</v>
      </c>
      <c r="S19" s="24">
        <f t="shared" si="39"/>
        <v>213.70337477797511</v>
      </c>
      <c r="T19" s="24">
        <f t="shared" si="39"/>
        <v>288.97868561278864</v>
      </c>
      <c r="U19" s="24">
        <f t="shared" si="39"/>
        <v>357.90408525754884</v>
      </c>
      <c r="V19" s="24">
        <f t="shared" si="39"/>
        <v>435.14209591474241</v>
      </c>
      <c r="W19" s="24">
        <f t="shared" si="39"/>
        <v>550.24866785079928</v>
      </c>
      <c r="X19" s="24">
        <f t="shared" si="39"/>
        <v>605.27353463587929</v>
      </c>
      <c r="Y19" s="24">
        <f t="shared" si="39"/>
        <v>665.80088809946722</v>
      </c>
      <c r="Z19" s="24">
        <f t="shared" si="39"/>
        <v>732.38097690941402</v>
      </c>
      <c r="AA19" s="24">
        <f t="shared" si="39"/>
        <v>805.61907460035548</v>
      </c>
      <c r="AB19" s="24">
        <f t="shared" si="39"/>
        <v>886.1809820603911</v>
      </c>
      <c r="AC19" s="24">
        <f t="shared" si="39"/>
        <v>974.79908026643022</v>
      </c>
      <c r="AD19" s="24">
        <f t="shared" si="39"/>
        <v>1072.2789882930733</v>
      </c>
      <c r="AE19" s="24">
        <f t="shared" si="39"/>
        <v>1179.5068871223809</v>
      </c>
      <c r="AF19" s="24">
        <f t="shared" si="39"/>
        <v>1297.4575758346191</v>
      </c>
      <c r="AG19" s="24">
        <f t="shared" si="39"/>
        <v>1427.203333418081</v>
      </c>
      <c r="AH19" s="24">
        <f t="shared" si="39"/>
        <v>1569.9236667598891</v>
      </c>
      <c r="AI19" s="24">
        <f t="shared" si="39"/>
        <v>1726.9160334358783</v>
      </c>
      <c r="AJ19" s="24">
        <f t="shared" si="39"/>
        <v>1899.6076367794662</v>
      </c>
      <c r="AK19" s="24">
        <f t="shared" si="39"/>
        <v>2089.5684004574132</v>
      </c>
      <c r="AL19" s="24">
        <f t="shared" si="39"/>
        <v>2298.5252405031547</v>
      </c>
      <c r="AM19" s="24">
        <f t="shared" si="39"/>
        <v>2528.3777645534706</v>
      </c>
      <c r="AN19" s="24">
        <f t="shared" si="39"/>
        <v>2781.215541008818</v>
      </c>
      <c r="AO19" s="24">
        <f t="shared" si="39"/>
        <v>3059.3370951096999</v>
      </c>
      <c r="AP19" s="24">
        <f t="shared" si="39"/>
        <v>3365.2708046206703</v>
      </c>
      <c r="AQ19" s="24">
        <f t="shared" si="39"/>
        <v>3701.7978850827376</v>
      </c>
      <c r="AR19" s="24">
        <f t="shared" si="39"/>
        <v>4071.9776735910123</v>
      </c>
      <c r="AS19" s="24">
        <f t="shared" si="39"/>
        <v>4479.1754409501136</v>
      </c>
      <c r="AT19" s="24">
        <f t="shared" si="39"/>
        <v>4927.0929850451257</v>
      </c>
      <c r="AU19" s="24">
        <f t="shared" si="39"/>
        <v>5419.8022835496386</v>
      </c>
      <c r="AV19" s="24">
        <f t="shared" si="39"/>
        <v>5961.7825119046029</v>
      </c>
      <c r="AW19" s="24">
        <f t="shared" si="39"/>
        <v>6557.9607630950632</v>
      </c>
      <c r="AX19" s="24">
        <f t="shared" si="39"/>
        <v>7213.7568394045702</v>
      </c>
      <c r="AY19" s="24">
        <f t="shared" si="39"/>
        <v>7935.132523345027</v>
      </c>
      <c r="AZ19" s="24">
        <f t="shared" si="39"/>
        <v>8728.6457756795298</v>
      </c>
      <c r="BA19" s="24">
        <f t="shared" si="39"/>
        <v>9601.5103532474841</v>
      </c>
      <c r="BB19" s="24">
        <f t="shared" si="39"/>
        <v>10561.661388572235</v>
      </c>
      <c r="BC19" s="24">
        <f t="shared" si="39"/>
        <v>11617.827527429457</v>
      </c>
      <c r="BD19" s="24">
        <f t="shared" si="39"/>
        <v>12779.610280172405</v>
      </c>
      <c r="BE19" s="24">
        <f t="shared" si="39"/>
        <v>14057.571308189645</v>
      </c>
      <c r="BF19" s="24">
        <f t="shared" si="39"/>
        <v>15463.328439008612</v>
      </c>
      <c r="BG19" s="24">
        <f t="shared" si="39"/>
        <v>17009.661282909474</v>
      </c>
      <c r="BH19" s="24">
        <f t="shared" si="39"/>
        <v>18710.627411200421</v>
      </c>
      <c r="BI19" s="24">
        <f t="shared" si="39"/>
        <v>20581.690152320465</v>
      </c>
      <c r="BJ19" s="24">
        <f t="shared" si="39"/>
        <v>22639.859167552513</v>
      </c>
      <c r="BK19" s="24">
        <f t="shared" si="39"/>
        <v>24903.845084307766</v>
      </c>
      <c r="BL19" s="24">
        <f t="shared" si="39"/>
        <v>27394.229592738546</v>
      </c>
      <c r="BM19" s="24">
        <f t="shared" si="39"/>
        <v>30133.652552012401</v>
      </c>
      <c r="BN19" s="24">
        <f t="shared" si="39"/>
        <v>33147.017807213648</v>
      </c>
      <c r="BO19" s="24">
        <f t="shared" si="39"/>
        <v>36461.719587935011</v>
      </c>
      <c r="BP19" s="24">
        <f t="shared" si="39"/>
        <v>40107.891546728519</v>
      </c>
      <c r="BQ19" s="24">
        <f t="shared" si="39"/>
        <v>44118.680701401376</v>
      </c>
      <c r="BR19" s="24">
        <f t="shared" si="39"/>
        <v>48530.548771541522</v>
      </c>
      <c r="BS19" s="24">
        <f t="shared" si="39"/>
        <v>53383.60364869568</v>
      </c>
      <c r="BT19" s="24">
        <f t="shared" ref="BT19:EE19" si="40">BT9*$C$15</f>
        <v>58721.964013565252</v>
      </c>
      <c r="BU19" s="24">
        <f t="shared" si="40"/>
        <v>64594.160414921775</v>
      </c>
      <c r="BV19" s="24">
        <f t="shared" si="40"/>
        <v>71053.576456413954</v>
      </c>
      <c r="BW19" s="24">
        <f t="shared" si="40"/>
        <v>78158.934102055355</v>
      </c>
      <c r="BX19" s="24">
        <f t="shared" si="40"/>
        <v>85974.82751226089</v>
      </c>
      <c r="BY19" s="24">
        <f t="shared" si="40"/>
        <v>94572.310263487001</v>
      </c>
      <c r="BZ19" s="24">
        <f t="shared" si="40"/>
        <v>104029.5412898357</v>
      </c>
      <c r="CA19" s="24">
        <f t="shared" si="40"/>
        <v>114432.49541881929</v>
      </c>
      <c r="CB19" s="24">
        <f t="shared" si="40"/>
        <v>125875.74496070124</v>
      </c>
      <c r="CC19" s="24">
        <f t="shared" si="40"/>
        <v>138463.31945677137</v>
      </c>
      <c r="CD19" s="24">
        <f t="shared" si="40"/>
        <v>152309.65140244851</v>
      </c>
      <c r="CE19" s="24">
        <f t="shared" si="40"/>
        <v>167540.61654269337</v>
      </c>
      <c r="CF19" s="24">
        <f t="shared" si="40"/>
        <v>184294.67819696272</v>
      </c>
      <c r="CG19" s="24">
        <f t="shared" si="40"/>
        <v>202724.14601665898</v>
      </c>
      <c r="CH19" s="24">
        <f t="shared" si="40"/>
        <v>222996.5606183249</v>
      </c>
      <c r="CI19" s="24">
        <f t="shared" si="40"/>
        <v>245296.21668015741</v>
      </c>
      <c r="CJ19" s="24">
        <f t="shared" si="40"/>
        <v>269825.83834817319</v>
      </c>
      <c r="CK19" s="24">
        <f t="shared" si="40"/>
        <v>296808.42218299053</v>
      </c>
      <c r="CL19" s="24">
        <f t="shared" si="40"/>
        <v>326489.26440128963</v>
      </c>
      <c r="CM19" s="24">
        <f t="shared" si="40"/>
        <v>359138.19084141863</v>
      </c>
      <c r="CN19" s="24">
        <f t="shared" si="40"/>
        <v>395052.00992556056</v>
      </c>
      <c r="CO19" s="24">
        <f t="shared" si="40"/>
        <v>434557.21091811662</v>
      </c>
      <c r="CP19" s="24">
        <f t="shared" si="40"/>
        <v>478012.93200992834</v>
      </c>
      <c r="CQ19" s="24">
        <f t="shared" si="40"/>
        <v>525814.22521092114</v>
      </c>
      <c r="CR19" s="24">
        <f t="shared" si="40"/>
        <v>578395.64773201337</v>
      </c>
      <c r="CS19" s="24">
        <f t="shared" si="40"/>
        <v>636235.21250521473</v>
      </c>
      <c r="CT19" s="24">
        <f t="shared" si="40"/>
        <v>699858.73375573626</v>
      </c>
      <c r="CU19" s="24">
        <f t="shared" si="40"/>
        <v>769844.60713131004</v>
      </c>
      <c r="CV19" s="24">
        <f t="shared" si="40"/>
        <v>846829.06784444116</v>
      </c>
      <c r="CW19" s="24">
        <f t="shared" si="40"/>
        <v>931511.97462888528</v>
      </c>
      <c r="CX19" s="24">
        <f t="shared" si="40"/>
        <v>1024663.1720917738</v>
      </c>
      <c r="CY19" s="24">
        <f t="shared" si="40"/>
        <v>1127129.4893009514</v>
      </c>
      <c r="CZ19" s="24">
        <f t="shared" si="40"/>
        <v>1239842.4382310465</v>
      </c>
      <c r="DA19" s="24">
        <f t="shared" si="40"/>
        <v>1363826.6820541513</v>
      </c>
      <c r="DB19" s="24">
        <f t="shared" si="40"/>
        <v>1500209.3502595664</v>
      </c>
      <c r="DC19" s="24">
        <f t="shared" si="40"/>
        <v>1650230.2852855234</v>
      </c>
      <c r="DD19" s="24">
        <f t="shared" si="40"/>
        <v>1815253.3138140757</v>
      </c>
      <c r="DE19" s="24">
        <f t="shared" si="40"/>
        <v>1996778.6451954835</v>
      </c>
      <c r="DF19" s="24">
        <f t="shared" si="40"/>
        <v>2196456.5097150323</v>
      </c>
      <c r="DG19" s="24">
        <f t="shared" si="40"/>
        <v>2416102.1606865358</v>
      </c>
      <c r="DH19" s="24">
        <f t="shared" si="40"/>
        <v>2657712.3767551892</v>
      </c>
      <c r="DI19" s="24">
        <f t="shared" si="40"/>
        <v>2923483.6144307083</v>
      </c>
      <c r="DJ19" s="24">
        <f t="shared" si="40"/>
        <v>3135055.5701598581</v>
      </c>
      <c r="DK19" s="24">
        <f t="shared" si="40"/>
        <v>3135055.5701598581</v>
      </c>
      <c r="DL19" s="24">
        <f t="shared" si="40"/>
        <v>3135055.5701598581</v>
      </c>
      <c r="DM19" s="24">
        <f t="shared" si="40"/>
        <v>3135055.5701598581</v>
      </c>
      <c r="DN19" s="24">
        <f t="shared" si="40"/>
        <v>3135055.5701598581</v>
      </c>
      <c r="DO19" s="24">
        <f t="shared" si="40"/>
        <v>3135055.5701598581</v>
      </c>
      <c r="DP19" s="24">
        <f t="shared" si="40"/>
        <v>3135055.5701598581</v>
      </c>
      <c r="DQ19" s="24">
        <f t="shared" si="40"/>
        <v>3135055.5701598581</v>
      </c>
      <c r="DR19" s="24">
        <f t="shared" si="40"/>
        <v>3135055.5701598581</v>
      </c>
      <c r="DS19" s="24">
        <f t="shared" si="40"/>
        <v>3135055.5701598581</v>
      </c>
      <c r="DT19" s="24">
        <f t="shared" si="40"/>
        <v>3135055.5701598581</v>
      </c>
      <c r="DU19" s="24">
        <f t="shared" si="40"/>
        <v>3135055.5701598581</v>
      </c>
      <c r="DV19" s="24">
        <f t="shared" si="40"/>
        <v>3135055.5701598581</v>
      </c>
      <c r="DW19" s="24">
        <f t="shared" si="40"/>
        <v>3135055.5701598581</v>
      </c>
      <c r="DX19" s="24">
        <f t="shared" si="40"/>
        <v>3135055.5701598581</v>
      </c>
      <c r="DY19" s="24">
        <f t="shared" si="40"/>
        <v>3135055.5701598581</v>
      </c>
      <c r="DZ19" s="24">
        <f t="shared" si="40"/>
        <v>3135055.5701598581</v>
      </c>
      <c r="EA19" s="24">
        <f t="shared" si="40"/>
        <v>3135055.5701598581</v>
      </c>
      <c r="EB19" s="24">
        <f t="shared" si="40"/>
        <v>3135055.5701598581</v>
      </c>
      <c r="EC19" s="24">
        <f t="shared" si="40"/>
        <v>3135055.5701598581</v>
      </c>
      <c r="ED19" s="24">
        <f t="shared" si="40"/>
        <v>3135055.5701598581</v>
      </c>
      <c r="EE19" s="24">
        <f t="shared" si="40"/>
        <v>3135055.5701598581</v>
      </c>
      <c r="EF19" s="24">
        <f t="shared" ref="EF19:GQ19" si="41">EF9*$C$15</f>
        <v>3135055.5701598581</v>
      </c>
      <c r="EG19" s="24">
        <f t="shared" si="41"/>
        <v>3135055.5701598581</v>
      </c>
      <c r="EH19" s="24">
        <f t="shared" si="41"/>
        <v>3135055.5701598581</v>
      </c>
      <c r="EI19" s="24">
        <f t="shared" si="41"/>
        <v>3135055.5701598581</v>
      </c>
      <c r="EJ19" s="24">
        <f t="shared" si="41"/>
        <v>3135055.5701598581</v>
      </c>
      <c r="EK19" s="24">
        <f t="shared" si="41"/>
        <v>3135055.5701598581</v>
      </c>
      <c r="EL19" s="24">
        <f t="shared" si="41"/>
        <v>3135055.5701598581</v>
      </c>
      <c r="EM19" s="24">
        <f t="shared" si="41"/>
        <v>3135055.5701598581</v>
      </c>
      <c r="EN19" s="24">
        <f t="shared" si="41"/>
        <v>3135055.5701598581</v>
      </c>
      <c r="EO19" s="24">
        <f t="shared" si="41"/>
        <v>3135055.5701598581</v>
      </c>
      <c r="EP19" s="24">
        <f t="shared" si="41"/>
        <v>3135055.5701598581</v>
      </c>
      <c r="EQ19" s="24">
        <f t="shared" si="41"/>
        <v>3135055.5701598581</v>
      </c>
      <c r="ER19" s="24">
        <f t="shared" si="41"/>
        <v>3135055.5701598581</v>
      </c>
      <c r="ES19" s="24">
        <f t="shared" si="41"/>
        <v>3135055.5701598581</v>
      </c>
      <c r="ET19" s="24">
        <f t="shared" si="41"/>
        <v>3135055.5701598581</v>
      </c>
      <c r="EU19" s="24">
        <f t="shared" si="41"/>
        <v>3135055.5701598581</v>
      </c>
      <c r="EV19" s="24">
        <f t="shared" si="41"/>
        <v>3135055.5701598581</v>
      </c>
      <c r="EW19" s="24">
        <f t="shared" si="41"/>
        <v>3135055.5701598581</v>
      </c>
      <c r="EX19" s="24">
        <f t="shared" si="41"/>
        <v>3135055.5701598581</v>
      </c>
      <c r="EY19" s="24">
        <f t="shared" si="41"/>
        <v>3135055.5701598581</v>
      </c>
      <c r="EZ19" s="24">
        <f t="shared" si="41"/>
        <v>3135055.5701598581</v>
      </c>
      <c r="FA19" s="24">
        <f t="shared" si="41"/>
        <v>3135055.5701598581</v>
      </c>
      <c r="FB19" s="24">
        <f t="shared" si="41"/>
        <v>3135055.5701598581</v>
      </c>
      <c r="FC19" s="24">
        <f t="shared" si="41"/>
        <v>3135055.5701598581</v>
      </c>
      <c r="FD19" s="24">
        <f t="shared" si="41"/>
        <v>3135055.5701598581</v>
      </c>
      <c r="FE19" s="24">
        <f t="shared" si="41"/>
        <v>3135055.5701598581</v>
      </c>
      <c r="FF19" s="24">
        <f t="shared" si="41"/>
        <v>3135055.5701598581</v>
      </c>
      <c r="FG19" s="24">
        <f t="shared" si="41"/>
        <v>3135055.5701598581</v>
      </c>
      <c r="FH19" s="24">
        <f t="shared" si="41"/>
        <v>3135055.5701598581</v>
      </c>
      <c r="FI19" s="24">
        <f t="shared" si="41"/>
        <v>3135055.5701598581</v>
      </c>
      <c r="FJ19" s="24">
        <f t="shared" si="41"/>
        <v>3135055.5701598581</v>
      </c>
      <c r="FK19" s="24">
        <f t="shared" si="41"/>
        <v>3135055.5701598581</v>
      </c>
      <c r="FL19" s="24">
        <f t="shared" si="41"/>
        <v>3135055.5701598581</v>
      </c>
      <c r="FM19" s="24">
        <f t="shared" si="41"/>
        <v>3135055.5701598581</v>
      </c>
      <c r="FN19" s="24">
        <f t="shared" si="41"/>
        <v>3135055.5701598581</v>
      </c>
      <c r="FO19" s="24">
        <f t="shared" si="41"/>
        <v>3135055.5701598581</v>
      </c>
      <c r="FP19" s="24">
        <f t="shared" si="41"/>
        <v>3135055.5701598581</v>
      </c>
      <c r="FQ19" s="24">
        <f t="shared" si="41"/>
        <v>3135055.5701598581</v>
      </c>
      <c r="FR19" s="24">
        <f t="shared" si="41"/>
        <v>3135055.5701598581</v>
      </c>
      <c r="FS19" s="24">
        <f t="shared" si="41"/>
        <v>3135055.5701598581</v>
      </c>
      <c r="FT19" s="24">
        <f t="shared" si="41"/>
        <v>3135055.5701598581</v>
      </c>
      <c r="FU19" s="24">
        <f t="shared" si="41"/>
        <v>3135055.5701598581</v>
      </c>
      <c r="FV19" s="24">
        <f t="shared" si="41"/>
        <v>3135055.5701598581</v>
      </c>
      <c r="FW19" s="24">
        <f t="shared" si="41"/>
        <v>3135055.5701598581</v>
      </c>
      <c r="FX19" s="24">
        <f t="shared" si="41"/>
        <v>3135055.5701598581</v>
      </c>
      <c r="FY19" s="24">
        <f t="shared" si="41"/>
        <v>3135055.5701598581</v>
      </c>
      <c r="FZ19" s="24">
        <f t="shared" si="41"/>
        <v>3135055.5701598581</v>
      </c>
      <c r="GA19" s="24">
        <f t="shared" si="41"/>
        <v>3135055.5701598581</v>
      </c>
      <c r="GB19" s="24">
        <f t="shared" si="41"/>
        <v>3135055.5701598581</v>
      </c>
      <c r="GC19" s="24">
        <f t="shared" si="41"/>
        <v>3135055.5701598581</v>
      </c>
      <c r="GD19" s="24">
        <f t="shared" si="41"/>
        <v>3135055.5701598581</v>
      </c>
      <c r="GE19" s="24">
        <f t="shared" si="41"/>
        <v>3135055.5701598581</v>
      </c>
      <c r="GF19" s="24">
        <f t="shared" si="41"/>
        <v>3135055.5701598581</v>
      </c>
      <c r="GG19" s="24">
        <f t="shared" si="41"/>
        <v>3135055.5701598581</v>
      </c>
      <c r="GH19" s="24">
        <f t="shared" si="41"/>
        <v>3135055.5701598581</v>
      </c>
      <c r="GI19" s="24">
        <f t="shared" si="41"/>
        <v>3135055.5701598581</v>
      </c>
      <c r="GJ19" s="24">
        <f t="shared" si="41"/>
        <v>3135055.5701598581</v>
      </c>
      <c r="GK19" s="24">
        <f t="shared" si="41"/>
        <v>3135055.5701598581</v>
      </c>
      <c r="GL19" s="24">
        <f t="shared" si="41"/>
        <v>3135055.5701598581</v>
      </c>
      <c r="GM19" s="24">
        <f t="shared" si="41"/>
        <v>3135055.5701598581</v>
      </c>
      <c r="GN19" s="24">
        <f t="shared" si="41"/>
        <v>3135055.5701598581</v>
      </c>
      <c r="GO19" s="24">
        <f t="shared" si="41"/>
        <v>3135055.5701598581</v>
      </c>
      <c r="GP19" s="24">
        <f t="shared" si="41"/>
        <v>3135055.5701598581</v>
      </c>
      <c r="GQ19" s="24">
        <f t="shared" si="41"/>
        <v>3135055.5701598581</v>
      </c>
      <c r="GR19" s="24">
        <f t="shared" ref="GR19:IN19" si="42">GR9*$C$15</f>
        <v>3135055.5701598581</v>
      </c>
      <c r="GS19" s="24">
        <f t="shared" si="42"/>
        <v>3135055.5701598581</v>
      </c>
      <c r="GT19" s="24">
        <f t="shared" si="42"/>
        <v>3135055.5701598581</v>
      </c>
      <c r="GU19" s="24">
        <f t="shared" si="42"/>
        <v>3135055.5701598581</v>
      </c>
      <c r="GV19" s="24">
        <f t="shared" si="42"/>
        <v>3135055.5701598581</v>
      </c>
      <c r="GW19" s="24">
        <f t="shared" si="42"/>
        <v>3135055.5701598581</v>
      </c>
      <c r="GX19" s="24">
        <f t="shared" si="42"/>
        <v>3135055.5701598581</v>
      </c>
      <c r="GY19" s="24">
        <f t="shared" si="42"/>
        <v>3135055.5701598581</v>
      </c>
      <c r="GZ19" s="24">
        <f t="shared" si="42"/>
        <v>3135055.5701598581</v>
      </c>
      <c r="HA19" s="24">
        <f t="shared" si="42"/>
        <v>3135055.5701598581</v>
      </c>
      <c r="HB19" s="24">
        <f t="shared" si="42"/>
        <v>3135055.5701598581</v>
      </c>
      <c r="HC19" s="24">
        <f t="shared" si="42"/>
        <v>3135055.5701598581</v>
      </c>
      <c r="HD19" s="24">
        <f t="shared" si="42"/>
        <v>3135055.5701598581</v>
      </c>
      <c r="HE19" s="24">
        <f t="shared" si="42"/>
        <v>3135055.5701598581</v>
      </c>
      <c r="HF19" s="24">
        <f t="shared" si="42"/>
        <v>3135055.5701598581</v>
      </c>
      <c r="HG19" s="24">
        <f t="shared" si="42"/>
        <v>3135055.5701598581</v>
      </c>
      <c r="HH19" s="24">
        <f t="shared" si="42"/>
        <v>3135055.5701598581</v>
      </c>
      <c r="HI19" s="24">
        <f t="shared" si="42"/>
        <v>3135055.5701598581</v>
      </c>
      <c r="HJ19" s="24">
        <f t="shared" si="42"/>
        <v>3135055.5701598581</v>
      </c>
      <c r="HK19" s="24">
        <f t="shared" si="42"/>
        <v>3135055.5701598581</v>
      </c>
      <c r="HL19" s="24">
        <f t="shared" si="42"/>
        <v>3135055.5701598581</v>
      </c>
      <c r="HM19" s="24">
        <f t="shared" si="42"/>
        <v>3135055.5701598581</v>
      </c>
      <c r="HN19" s="24">
        <f t="shared" si="42"/>
        <v>3135055.5701598581</v>
      </c>
      <c r="HO19" s="24">
        <f t="shared" si="42"/>
        <v>3135055.5701598581</v>
      </c>
      <c r="HP19" s="24">
        <f t="shared" si="42"/>
        <v>3135055.5701598581</v>
      </c>
      <c r="HQ19" s="24">
        <f t="shared" si="42"/>
        <v>3135055.5701598581</v>
      </c>
      <c r="HR19" s="24">
        <f t="shared" si="42"/>
        <v>3135055.5701598581</v>
      </c>
      <c r="HS19" s="24">
        <f t="shared" si="42"/>
        <v>3135055.5701598581</v>
      </c>
      <c r="HT19" s="24">
        <f t="shared" si="42"/>
        <v>3135055.5701598581</v>
      </c>
      <c r="HU19" s="24">
        <f t="shared" si="42"/>
        <v>3135055.5701598581</v>
      </c>
      <c r="HV19" s="24">
        <f t="shared" si="42"/>
        <v>3135055.5701598581</v>
      </c>
      <c r="HW19" s="24">
        <f t="shared" si="42"/>
        <v>3135055.5701598581</v>
      </c>
      <c r="HX19" s="24">
        <f t="shared" si="42"/>
        <v>3135055.5701598581</v>
      </c>
      <c r="HY19" s="24">
        <f t="shared" si="42"/>
        <v>3135055.5701598581</v>
      </c>
      <c r="HZ19" s="24">
        <f t="shared" si="42"/>
        <v>3135055.5701598581</v>
      </c>
      <c r="IA19" s="24">
        <f t="shared" si="42"/>
        <v>3135055.5701598581</v>
      </c>
      <c r="IB19" s="24">
        <f t="shared" si="42"/>
        <v>3135055.5701598581</v>
      </c>
      <c r="IC19" s="24">
        <f t="shared" si="42"/>
        <v>3135055.5701598581</v>
      </c>
      <c r="ID19" s="24">
        <f t="shared" si="42"/>
        <v>3135055.5701598581</v>
      </c>
      <c r="IE19" s="24">
        <f t="shared" si="42"/>
        <v>3135055.5701598581</v>
      </c>
      <c r="IF19" s="24">
        <f t="shared" si="42"/>
        <v>3135055.5701598581</v>
      </c>
      <c r="IG19" s="24">
        <f t="shared" si="42"/>
        <v>3135055.5701598581</v>
      </c>
      <c r="IH19" s="24">
        <f t="shared" si="42"/>
        <v>3135055.5701598581</v>
      </c>
      <c r="II19" s="24">
        <f t="shared" si="42"/>
        <v>3135055.5701598581</v>
      </c>
      <c r="IJ19" s="24">
        <f t="shared" si="42"/>
        <v>3135055.5701598581</v>
      </c>
      <c r="IK19" s="24">
        <f t="shared" si="42"/>
        <v>3135055.5701598581</v>
      </c>
      <c r="IL19" s="24">
        <f t="shared" si="42"/>
        <v>3135055.5701598581</v>
      </c>
      <c r="IM19" s="24">
        <f t="shared" si="42"/>
        <v>3135055.5701598581</v>
      </c>
      <c r="IN19" s="24">
        <f t="shared" si="42"/>
        <v>3135055.5701598581</v>
      </c>
    </row>
    <row r="20" spans="2:248" x14ac:dyDescent="0.3">
      <c r="B20" s="19" t="s">
        <v>492</v>
      </c>
      <c r="C20" s="44">
        <v>0.4</v>
      </c>
      <c r="F20" s="22" t="s">
        <v>499</v>
      </c>
      <c r="G20" s="24">
        <f>G11*$C$15</f>
        <v>12.353463587921848</v>
      </c>
      <c r="H20" s="24">
        <f t="shared" ref="H20:BS20" si="43">H11*$C$15</f>
        <v>17.7797513321492</v>
      </c>
      <c r="I20" s="24">
        <f t="shared" si="43"/>
        <v>21.589698046181173</v>
      </c>
      <c r="J20" s="24">
        <f t="shared" si="43"/>
        <v>29.209591474245116</v>
      </c>
      <c r="K20" s="24">
        <f t="shared" si="43"/>
        <v>34.635879218472468</v>
      </c>
      <c r="L20" s="24">
        <f t="shared" si="43"/>
        <v>41.447602131438721</v>
      </c>
      <c r="M20" s="24">
        <f t="shared" si="43"/>
        <v>49.875666074600353</v>
      </c>
      <c r="N20" s="24">
        <f t="shared" si="43"/>
        <v>65</v>
      </c>
      <c r="O20" s="24">
        <f t="shared" si="43"/>
        <v>89.476021314387211</v>
      </c>
      <c r="P20" s="24">
        <f t="shared" si="43"/>
        <v>127.46003552397868</v>
      </c>
      <c r="Q20" s="24">
        <f t="shared" si="43"/>
        <v>151.82060390763766</v>
      </c>
      <c r="R20" s="24">
        <f t="shared" si="43"/>
        <v>170.17761989342807</v>
      </c>
      <c r="S20" s="24">
        <f t="shared" si="43"/>
        <v>213.70337477797511</v>
      </c>
      <c r="T20" s="24">
        <f t="shared" si="43"/>
        <v>288.97868561278864</v>
      </c>
      <c r="U20" s="24">
        <f t="shared" si="43"/>
        <v>357.90408525754884</v>
      </c>
      <c r="V20" s="24">
        <f t="shared" si="43"/>
        <v>435.14209591474241</v>
      </c>
      <c r="W20" s="24">
        <f t="shared" si="43"/>
        <v>550.24866785079928</v>
      </c>
      <c r="X20" s="24">
        <f t="shared" si="43"/>
        <v>687.81083481349913</v>
      </c>
      <c r="Y20" s="24">
        <f t="shared" si="43"/>
        <v>859.76354351687382</v>
      </c>
      <c r="Z20" s="24">
        <f t="shared" si="43"/>
        <v>1074.7044293960923</v>
      </c>
      <c r="AA20" s="24">
        <f t="shared" si="43"/>
        <v>1343.3805367451155</v>
      </c>
      <c r="AB20" s="24">
        <f t="shared" si="43"/>
        <v>1679.2256709313942</v>
      </c>
      <c r="AC20" s="24">
        <f t="shared" si="43"/>
        <v>2099.032088664243</v>
      </c>
      <c r="AD20" s="24">
        <f t="shared" si="43"/>
        <v>2623.7901108303035</v>
      </c>
      <c r="AE20" s="24">
        <f t="shared" si="43"/>
        <v>3279.7376385378793</v>
      </c>
      <c r="AF20" s="24">
        <f t="shared" si="43"/>
        <v>4099.6720481723496</v>
      </c>
      <c r="AG20" s="24">
        <f t="shared" si="43"/>
        <v>5124.590060215437</v>
      </c>
      <c r="AH20" s="24">
        <f t="shared" si="43"/>
        <v>6405.737575269296</v>
      </c>
      <c r="AI20" s="24">
        <f t="shared" si="43"/>
        <v>8007.1719690866194</v>
      </c>
      <c r="AJ20" s="24">
        <f t="shared" si="43"/>
        <v>10008.964961358275</v>
      </c>
      <c r="AK20" s="24">
        <f t="shared" si="43"/>
        <v>12511.206201697843</v>
      </c>
      <c r="AL20" s="24">
        <f t="shared" si="43"/>
        <v>15639.007752122305</v>
      </c>
      <c r="AM20" s="24">
        <f t="shared" si="43"/>
        <v>19548.759690152881</v>
      </c>
      <c r="AN20" s="24">
        <f t="shared" si="43"/>
        <v>24435.9496126911</v>
      </c>
      <c r="AO20" s="24">
        <f t="shared" si="43"/>
        <v>30544.937015863878</v>
      </c>
      <c r="AP20" s="24">
        <f t="shared" si="43"/>
        <v>38181.171269829851</v>
      </c>
      <c r="AQ20" s="24">
        <f t="shared" si="43"/>
        <v>47726.464087287313</v>
      </c>
      <c r="AR20" s="24">
        <f t="shared" si="43"/>
        <v>59658.080109109134</v>
      </c>
      <c r="AS20" s="24">
        <f t="shared" si="43"/>
        <v>74572.60013638642</v>
      </c>
      <c r="AT20" s="24">
        <f t="shared" si="43"/>
        <v>93215.750170483021</v>
      </c>
      <c r="AU20" s="24">
        <f t="shared" si="43"/>
        <v>116519.68771310378</v>
      </c>
      <c r="AV20" s="24">
        <f t="shared" si="43"/>
        <v>145649.60964137971</v>
      </c>
      <c r="AW20" s="24">
        <f t="shared" si="43"/>
        <v>182062.01205172465</v>
      </c>
      <c r="AX20" s="24">
        <f t="shared" si="43"/>
        <v>227577.5150646558</v>
      </c>
      <c r="AY20" s="24">
        <f t="shared" si="43"/>
        <v>284471.89383081975</v>
      </c>
      <c r="AZ20" s="24">
        <f t="shared" si="43"/>
        <v>355589.86728852469</v>
      </c>
      <c r="BA20" s="24">
        <f t="shared" si="43"/>
        <v>444487.33411065582</v>
      </c>
      <c r="BB20" s="24">
        <f t="shared" si="43"/>
        <v>555609.16763831978</v>
      </c>
      <c r="BC20" s="24">
        <f t="shared" si="43"/>
        <v>694511.45954789978</v>
      </c>
      <c r="BD20" s="24">
        <f t="shared" si="43"/>
        <v>868139.3244348747</v>
      </c>
      <c r="BE20" s="24">
        <f t="shared" si="43"/>
        <v>1085174.1555435935</v>
      </c>
      <c r="BF20" s="24">
        <f t="shared" si="43"/>
        <v>1356467.6944294919</v>
      </c>
      <c r="BG20" s="24">
        <f t="shared" si="43"/>
        <v>1695584.6180368648</v>
      </c>
      <c r="BH20" s="24">
        <f t="shared" si="43"/>
        <v>2119480.7725460809</v>
      </c>
      <c r="BI20" s="24">
        <f t="shared" si="43"/>
        <v>2649350.9656826011</v>
      </c>
      <c r="BJ20" s="24">
        <f t="shared" si="43"/>
        <v>3135055.5701598581</v>
      </c>
      <c r="BK20" s="24">
        <f t="shared" si="43"/>
        <v>3135055.5701598581</v>
      </c>
      <c r="BL20" s="24">
        <f t="shared" si="43"/>
        <v>3135055.5701598581</v>
      </c>
      <c r="BM20" s="24">
        <f t="shared" si="43"/>
        <v>3135055.5701598581</v>
      </c>
      <c r="BN20" s="24">
        <f t="shared" si="43"/>
        <v>3135055.5701598581</v>
      </c>
      <c r="BO20" s="24">
        <f t="shared" si="43"/>
        <v>3135055.5701598581</v>
      </c>
      <c r="BP20" s="24">
        <f t="shared" si="43"/>
        <v>3135055.5701598581</v>
      </c>
      <c r="BQ20" s="24">
        <f t="shared" si="43"/>
        <v>3135055.5701598581</v>
      </c>
      <c r="BR20" s="24">
        <f t="shared" si="43"/>
        <v>3135055.5701598581</v>
      </c>
      <c r="BS20" s="24">
        <f t="shared" si="43"/>
        <v>3135055.5701598581</v>
      </c>
      <c r="BT20" s="24">
        <f t="shared" ref="BT20:EE20" si="44">BT11*$C$15</f>
        <v>3135055.5701598581</v>
      </c>
      <c r="BU20" s="24">
        <f t="shared" si="44"/>
        <v>3135055.5701598581</v>
      </c>
      <c r="BV20" s="24">
        <f t="shared" si="44"/>
        <v>3135055.5701598581</v>
      </c>
      <c r="BW20" s="24">
        <f t="shared" si="44"/>
        <v>3135055.5701598581</v>
      </c>
      <c r="BX20" s="24">
        <f t="shared" si="44"/>
        <v>3135055.5701598581</v>
      </c>
      <c r="BY20" s="24">
        <f t="shared" si="44"/>
        <v>3135055.5701598581</v>
      </c>
      <c r="BZ20" s="24">
        <f t="shared" si="44"/>
        <v>3135055.5701598581</v>
      </c>
      <c r="CA20" s="24">
        <f t="shared" si="44"/>
        <v>3135055.5701598581</v>
      </c>
      <c r="CB20" s="24">
        <f t="shared" si="44"/>
        <v>3135055.5701598581</v>
      </c>
      <c r="CC20" s="24">
        <f t="shared" si="44"/>
        <v>3135055.5701598581</v>
      </c>
      <c r="CD20" s="24">
        <f t="shared" si="44"/>
        <v>3135055.5701598581</v>
      </c>
      <c r="CE20" s="24">
        <f t="shared" si="44"/>
        <v>3135055.5701598581</v>
      </c>
      <c r="CF20" s="24">
        <f t="shared" si="44"/>
        <v>3135055.5701598581</v>
      </c>
      <c r="CG20" s="24">
        <f t="shared" si="44"/>
        <v>3135055.5701598581</v>
      </c>
      <c r="CH20" s="24">
        <f t="shared" si="44"/>
        <v>3135055.5701598581</v>
      </c>
      <c r="CI20" s="24">
        <f t="shared" si="44"/>
        <v>3135055.5701598581</v>
      </c>
      <c r="CJ20" s="24">
        <f t="shared" si="44"/>
        <v>3135055.5701598581</v>
      </c>
      <c r="CK20" s="24">
        <f t="shared" si="44"/>
        <v>3135055.5701598581</v>
      </c>
      <c r="CL20" s="24">
        <f t="shared" si="44"/>
        <v>3135055.5701598581</v>
      </c>
      <c r="CM20" s="24">
        <f t="shared" si="44"/>
        <v>3135055.5701598581</v>
      </c>
      <c r="CN20" s="24">
        <f t="shared" si="44"/>
        <v>3135055.5701598581</v>
      </c>
      <c r="CO20" s="24">
        <f t="shared" si="44"/>
        <v>3135055.5701598581</v>
      </c>
      <c r="CP20" s="24">
        <f t="shared" si="44"/>
        <v>3135055.5701598581</v>
      </c>
      <c r="CQ20" s="24">
        <f t="shared" si="44"/>
        <v>3135055.5701598581</v>
      </c>
      <c r="CR20" s="24">
        <f t="shared" si="44"/>
        <v>3135055.5701598581</v>
      </c>
      <c r="CS20" s="24">
        <f t="shared" si="44"/>
        <v>3135055.5701598581</v>
      </c>
      <c r="CT20" s="24">
        <f t="shared" si="44"/>
        <v>3135055.5701598581</v>
      </c>
      <c r="CU20" s="24">
        <f t="shared" si="44"/>
        <v>3135055.5701598581</v>
      </c>
      <c r="CV20" s="24">
        <f t="shared" si="44"/>
        <v>3135055.5701598581</v>
      </c>
      <c r="CW20" s="24">
        <f t="shared" si="44"/>
        <v>3135055.5701598581</v>
      </c>
      <c r="CX20" s="24">
        <f t="shared" si="44"/>
        <v>3135055.5701598581</v>
      </c>
      <c r="CY20" s="24">
        <f t="shared" si="44"/>
        <v>3135055.5701598581</v>
      </c>
      <c r="CZ20" s="24">
        <f t="shared" si="44"/>
        <v>3135055.5701598581</v>
      </c>
      <c r="DA20" s="24">
        <f t="shared" si="44"/>
        <v>3135055.5701598581</v>
      </c>
      <c r="DB20" s="24">
        <f t="shared" si="44"/>
        <v>3135055.5701598581</v>
      </c>
      <c r="DC20" s="24">
        <f t="shared" si="44"/>
        <v>3135055.5701598581</v>
      </c>
      <c r="DD20" s="24">
        <f t="shared" si="44"/>
        <v>3135055.5701598581</v>
      </c>
      <c r="DE20" s="24">
        <f t="shared" si="44"/>
        <v>3135055.5701598581</v>
      </c>
      <c r="DF20" s="24">
        <f t="shared" si="44"/>
        <v>3135055.5701598581</v>
      </c>
      <c r="DG20" s="24">
        <f t="shared" si="44"/>
        <v>3135055.5701598581</v>
      </c>
      <c r="DH20" s="24">
        <f t="shared" si="44"/>
        <v>3135055.5701598581</v>
      </c>
      <c r="DI20" s="24">
        <f t="shared" si="44"/>
        <v>3135055.5701598581</v>
      </c>
      <c r="DJ20" s="24">
        <f t="shared" si="44"/>
        <v>3135055.5701598581</v>
      </c>
      <c r="DK20" s="24">
        <f t="shared" si="44"/>
        <v>3135055.5701598581</v>
      </c>
      <c r="DL20" s="24">
        <f t="shared" si="44"/>
        <v>3135055.5701598581</v>
      </c>
      <c r="DM20" s="24">
        <f t="shared" si="44"/>
        <v>3135055.5701598581</v>
      </c>
      <c r="DN20" s="24">
        <f t="shared" si="44"/>
        <v>3135055.5701598581</v>
      </c>
      <c r="DO20" s="24">
        <f t="shared" si="44"/>
        <v>3135055.5701598581</v>
      </c>
      <c r="DP20" s="24">
        <f t="shared" si="44"/>
        <v>3135055.5701598581</v>
      </c>
      <c r="DQ20" s="24">
        <f t="shared" si="44"/>
        <v>3135055.5701598581</v>
      </c>
      <c r="DR20" s="24">
        <f t="shared" si="44"/>
        <v>3135055.5701598581</v>
      </c>
      <c r="DS20" s="24">
        <f t="shared" si="44"/>
        <v>3135055.5701598581</v>
      </c>
      <c r="DT20" s="24">
        <f t="shared" si="44"/>
        <v>3135055.5701598581</v>
      </c>
      <c r="DU20" s="24">
        <f t="shared" si="44"/>
        <v>3135055.5701598581</v>
      </c>
      <c r="DV20" s="24">
        <f t="shared" si="44"/>
        <v>3135055.5701598581</v>
      </c>
      <c r="DW20" s="24">
        <f t="shared" si="44"/>
        <v>3135055.5701598581</v>
      </c>
      <c r="DX20" s="24">
        <f t="shared" si="44"/>
        <v>3135055.5701598581</v>
      </c>
      <c r="DY20" s="24">
        <f t="shared" si="44"/>
        <v>3135055.5701598581</v>
      </c>
      <c r="DZ20" s="24">
        <f t="shared" si="44"/>
        <v>3135055.5701598581</v>
      </c>
      <c r="EA20" s="24">
        <f t="shared" si="44"/>
        <v>3135055.5701598581</v>
      </c>
      <c r="EB20" s="24">
        <f t="shared" si="44"/>
        <v>3135055.5701598581</v>
      </c>
      <c r="EC20" s="24">
        <f t="shared" si="44"/>
        <v>3135055.5701598581</v>
      </c>
      <c r="ED20" s="24">
        <f t="shared" si="44"/>
        <v>3135055.5701598581</v>
      </c>
      <c r="EE20" s="24">
        <f t="shared" si="44"/>
        <v>3135055.5701598581</v>
      </c>
      <c r="EF20" s="24">
        <f t="shared" ref="EF20:GQ20" si="45">EF11*$C$15</f>
        <v>3135055.5701598581</v>
      </c>
      <c r="EG20" s="24">
        <f t="shared" si="45"/>
        <v>3135055.5701598581</v>
      </c>
      <c r="EH20" s="24">
        <f t="shared" si="45"/>
        <v>3135055.5701598581</v>
      </c>
      <c r="EI20" s="24">
        <f t="shared" si="45"/>
        <v>3135055.5701598581</v>
      </c>
      <c r="EJ20" s="24">
        <f t="shared" si="45"/>
        <v>3135055.5701598581</v>
      </c>
      <c r="EK20" s="24">
        <f t="shared" si="45"/>
        <v>3135055.5701598581</v>
      </c>
      <c r="EL20" s="24">
        <f t="shared" si="45"/>
        <v>3135055.5701598581</v>
      </c>
      <c r="EM20" s="24">
        <f t="shared" si="45"/>
        <v>3135055.5701598581</v>
      </c>
      <c r="EN20" s="24">
        <f t="shared" si="45"/>
        <v>3135055.5701598581</v>
      </c>
      <c r="EO20" s="24">
        <f t="shared" si="45"/>
        <v>3135055.5701598581</v>
      </c>
      <c r="EP20" s="24">
        <f t="shared" si="45"/>
        <v>3135055.5701598581</v>
      </c>
      <c r="EQ20" s="24">
        <f t="shared" si="45"/>
        <v>3135055.5701598581</v>
      </c>
      <c r="ER20" s="24">
        <f t="shared" si="45"/>
        <v>3135055.5701598581</v>
      </c>
      <c r="ES20" s="24">
        <f t="shared" si="45"/>
        <v>3135055.5701598581</v>
      </c>
      <c r="ET20" s="24">
        <f t="shared" si="45"/>
        <v>3135055.5701598581</v>
      </c>
      <c r="EU20" s="24">
        <f t="shared" si="45"/>
        <v>3135055.5701598581</v>
      </c>
      <c r="EV20" s="24">
        <f t="shared" si="45"/>
        <v>3135055.5701598581</v>
      </c>
      <c r="EW20" s="24">
        <f t="shared" si="45"/>
        <v>3135055.5701598581</v>
      </c>
      <c r="EX20" s="24">
        <f t="shared" si="45"/>
        <v>3135055.5701598581</v>
      </c>
      <c r="EY20" s="24">
        <f t="shared" si="45"/>
        <v>3135055.5701598581</v>
      </c>
      <c r="EZ20" s="24">
        <f t="shared" si="45"/>
        <v>3135055.5701598581</v>
      </c>
      <c r="FA20" s="24">
        <f t="shared" si="45"/>
        <v>3135055.5701598581</v>
      </c>
      <c r="FB20" s="24">
        <f t="shared" si="45"/>
        <v>3135055.5701598581</v>
      </c>
      <c r="FC20" s="24">
        <f t="shared" si="45"/>
        <v>3135055.5701598581</v>
      </c>
      <c r="FD20" s="24">
        <f t="shared" si="45"/>
        <v>3135055.5701598581</v>
      </c>
      <c r="FE20" s="24">
        <f t="shared" si="45"/>
        <v>3135055.5701598581</v>
      </c>
      <c r="FF20" s="24">
        <f t="shared" si="45"/>
        <v>3135055.5701598581</v>
      </c>
      <c r="FG20" s="24">
        <f t="shared" si="45"/>
        <v>3135055.5701598581</v>
      </c>
      <c r="FH20" s="24">
        <f t="shared" si="45"/>
        <v>3135055.5701598581</v>
      </c>
      <c r="FI20" s="24">
        <f t="shared" si="45"/>
        <v>3135055.5701598581</v>
      </c>
      <c r="FJ20" s="24">
        <f t="shared" si="45"/>
        <v>3135055.5701598581</v>
      </c>
      <c r="FK20" s="24">
        <f t="shared" si="45"/>
        <v>3135055.5701598581</v>
      </c>
      <c r="FL20" s="24">
        <f t="shared" si="45"/>
        <v>3135055.5701598581</v>
      </c>
      <c r="FM20" s="24">
        <f t="shared" si="45"/>
        <v>3135055.5701598581</v>
      </c>
      <c r="FN20" s="24">
        <f t="shared" si="45"/>
        <v>3135055.5701598581</v>
      </c>
      <c r="FO20" s="24">
        <f t="shared" si="45"/>
        <v>3135055.5701598581</v>
      </c>
      <c r="FP20" s="24">
        <f t="shared" si="45"/>
        <v>3135055.5701598581</v>
      </c>
      <c r="FQ20" s="24">
        <f t="shared" si="45"/>
        <v>3135055.5701598581</v>
      </c>
      <c r="FR20" s="24">
        <f t="shared" si="45"/>
        <v>3135055.5701598581</v>
      </c>
      <c r="FS20" s="24">
        <f t="shared" si="45"/>
        <v>3135055.5701598581</v>
      </c>
      <c r="FT20" s="24">
        <f t="shared" si="45"/>
        <v>3135055.5701598581</v>
      </c>
      <c r="FU20" s="24">
        <f t="shared" si="45"/>
        <v>3135055.5701598581</v>
      </c>
      <c r="FV20" s="24">
        <f t="shared" si="45"/>
        <v>3135055.5701598581</v>
      </c>
      <c r="FW20" s="24">
        <f t="shared" si="45"/>
        <v>3135055.5701598581</v>
      </c>
      <c r="FX20" s="24">
        <f t="shared" si="45"/>
        <v>3135055.5701598581</v>
      </c>
      <c r="FY20" s="24">
        <f t="shared" si="45"/>
        <v>3135055.5701598581</v>
      </c>
      <c r="FZ20" s="24">
        <f t="shared" si="45"/>
        <v>3135055.5701598581</v>
      </c>
      <c r="GA20" s="24">
        <f t="shared" si="45"/>
        <v>3135055.5701598581</v>
      </c>
      <c r="GB20" s="24">
        <f t="shared" si="45"/>
        <v>3135055.5701598581</v>
      </c>
      <c r="GC20" s="24">
        <f t="shared" si="45"/>
        <v>3135055.5701598581</v>
      </c>
      <c r="GD20" s="24">
        <f t="shared" si="45"/>
        <v>3135055.5701598581</v>
      </c>
      <c r="GE20" s="24">
        <f t="shared" si="45"/>
        <v>3135055.5701598581</v>
      </c>
      <c r="GF20" s="24">
        <f t="shared" si="45"/>
        <v>3135055.5701598581</v>
      </c>
      <c r="GG20" s="24">
        <f t="shared" si="45"/>
        <v>3135055.5701598581</v>
      </c>
      <c r="GH20" s="24">
        <f t="shared" si="45"/>
        <v>3135055.5701598581</v>
      </c>
      <c r="GI20" s="24">
        <f t="shared" si="45"/>
        <v>3135055.5701598581</v>
      </c>
      <c r="GJ20" s="24">
        <f t="shared" si="45"/>
        <v>3135055.5701598581</v>
      </c>
      <c r="GK20" s="24">
        <f t="shared" si="45"/>
        <v>3135055.5701598581</v>
      </c>
      <c r="GL20" s="24">
        <f t="shared" si="45"/>
        <v>3135055.5701598581</v>
      </c>
      <c r="GM20" s="24">
        <f t="shared" si="45"/>
        <v>3135055.5701598581</v>
      </c>
      <c r="GN20" s="24">
        <f t="shared" si="45"/>
        <v>3135055.5701598581</v>
      </c>
      <c r="GO20" s="24">
        <f t="shared" si="45"/>
        <v>3135055.5701598581</v>
      </c>
      <c r="GP20" s="24">
        <f t="shared" si="45"/>
        <v>3135055.5701598581</v>
      </c>
      <c r="GQ20" s="24">
        <f t="shared" si="45"/>
        <v>3135055.5701598581</v>
      </c>
      <c r="GR20" s="24">
        <f t="shared" ref="GR20:IN20" si="46">GR11*$C$15</f>
        <v>3135055.5701598581</v>
      </c>
      <c r="GS20" s="24">
        <f t="shared" si="46"/>
        <v>3135055.5701598581</v>
      </c>
      <c r="GT20" s="24">
        <f t="shared" si="46"/>
        <v>3135055.5701598581</v>
      </c>
      <c r="GU20" s="24">
        <f t="shared" si="46"/>
        <v>3135055.5701598581</v>
      </c>
      <c r="GV20" s="24">
        <f t="shared" si="46"/>
        <v>3135055.5701598581</v>
      </c>
      <c r="GW20" s="24">
        <f t="shared" si="46"/>
        <v>3135055.5701598581</v>
      </c>
      <c r="GX20" s="24">
        <f t="shared" si="46"/>
        <v>3135055.5701598581</v>
      </c>
      <c r="GY20" s="24">
        <f t="shared" si="46"/>
        <v>3135055.5701598581</v>
      </c>
      <c r="GZ20" s="24">
        <f t="shared" si="46"/>
        <v>3135055.5701598581</v>
      </c>
      <c r="HA20" s="24">
        <f t="shared" si="46"/>
        <v>3135055.5701598581</v>
      </c>
      <c r="HB20" s="24">
        <f t="shared" si="46"/>
        <v>3135055.5701598581</v>
      </c>
      <c r="HC20" s="24">
        <f t="shared" si="46"/>
        <v>3135055.5701598581</v>
      </c>
      <c r="HD20" s="24">
        <f t="shared" si="46"/>
        <v>3135055.5701598581</v>
      </c>
      <c r="HE20" s="24">
        <f t="shared" si="46"/>
        <v>3135055.5701598581</v>
      </c>
      <c r="HF20" s="24">
        <f t="shared" si="46"/>
        <v>3135055.5701598581</v>
      </c>
      <c r="HG20" s="24">
        <f t="shared" si="46"/>
        <v>3135055.5701598581</v>
      </c>
      <c r="HH20" s="24">
        <f t="shared" si="46"/>
        <v>3135055.5701598581</v>
      </c>
      <c r="HI20" s="24">
        <f t="shared" si="46"/>
        <v>3135055.5701598581</v>
      </c>
      <c r="HJ20" s="24">
        <f t="shared" si="46"/>
        <v>3135055.5701598581</v>
      </c>
      <c r="HK20" s="24">
        <f t="shared" si="46"/>
        <v>3135055.5701598581</v>
      </c>
      <c r="HL20" s="24">
        <f t="shared" si="46"/>
        <v>3135055.5701598581</v>
      </c>
      <c r="HM20" s="24">
        <f t="shared" si="46"/>
        <v>3135055.5701598581</v>
      </c>
      <c r="HN20" s="24">
        <f t="shared" si="46"/>
        <v>3135055.5701598581</v>
      </c>
      <c r="HO20" s="24">
        <f t="shared" si="46"/>
        <v>3135055.5701598581</v>
      </c>
      <c r="HP20" s="24">
        <f t="shared" si="46"/>
        <v>3135055.5701598581</v>
      </c>
      <c r="HQ20" s="24">
        <f t="shared" si="46"/>
        <v>3135055.5701598581</v>
      </c>
      <c r="HR20" s="24">
        <f t="shared" si="46"/>
        <v>3135055.5701598581</v>
      </c>
      <c r="HS20" s="24">
        <f t="shared" si="46"/>
        <v>3135055.5701598581</v>
      </c>
      <c r="HT20" s="24">
        <f t="shared" si="46"/>
        <v>3135055.5701598581</v>
      </c>
      <c r="HU20" s="24">
        <f t="shared" si="46"/>
        <v>3135055.5701598581</v>
      </c>
      <c r="HV20" s="24">
        <f t="shared" si="46"/>
        <v>3135055.5701598581</v>
      </c>
      <c r="HW20" s="24">
        <f t="shared" si="46"/>
        <v>3135055.5701598581</v>
      </c>
      <c r="HX20" s="24">
        <f t="shared" si="46"/>
        <v>3135055.5701598581</v>
      </c>
      <c r="HY20" s="24">
        <f t="shared" si="46"/>
        <v>3135055.5701598581</v>
      </c>
      <c r="HZ20" s="24">
        <f t="shared" si="46"/>
        <v>3135055.5701598581</v>
      </c>
      <c r="IA20" s="24">
        <f t="shared" si="46"/>
        <v>3135055.5701598581</v>
      </c>
      <c r="IB20" s="24">
        <f t="shared" si="46"/>
        <v>3135055.5701598581</v>
      </c>
      <c r="IC20" s="24">
        <f t="shared" si="46"/>
        <v>3135055.5701598581</v>
      </c>
      <c r="ID20" s="24">
        <f t="shared" si="46"/>
        <v>3135055.5701598581</v>
      </c>
      <c r="IE20" s="24">
        <f t="shared" si="46"/>
        <v>3135055.5701598581</v>
      </c>
      <c r="IF20" s="24">
        <f t="shared" si="46"/>
        <v>3135055.5701598581</v>
      </c>
      <c r="IG20" s="24">
        <f t="shared" si="46"/>
        <v>3135055.5701598581</v>
      </c>
      <c r="IH20" s="24">
        <f t="shared" si="46"/>
        <v>3135055.5701598581</v>
      </c>
      <c r="II20" s="24">
        <f t="shared" si="46"/>
        <v>3135055.5701598581</v>
      </c>
      <c r="IJ20" s="24">
        <f t="shared" si="46"/>
        <v>3135055.5701598581</v>
      </c>
      <c r="IK20" s="24">
        <f t="shared" si="46"/>
        <v>3135055.5701598581</v>
      </c>
      <c r="IL20" s="24">
        <f t="shared" si="46"/>
        <v>3135055.5701598581</v>
      </c>
      <c r="IM20" s="24">
        <f t="shared" si="46"/>
        <v>3135055.5701598581</v>
      </c>
      <c r="IN20" s="24">
        <f t="shared" si="46"/>
        <v>3135055.5701598581</v>
      </c>
    </row>
    <row r="21" spans="2:248" x14ac:dyDescent="0.3">
      <c r="B21" s="19" t="s">
        <v>493</v>
      </c>
      <c r="C21" s="42">
        <f>C20*C19</f>
        <v>27154404.400000002</v>
      </c>
      <c r="F21" s="22" t="s">
        <v>496</v>
      </c>
      <c r="G21" s="24">
        <f>G13*$C$15</f>
        <v>12.353463587921848</v>
      </c>
      <c r="H21" s="24">
        <f t="shared" ref="H21:BS21" si="47">H13*$C$15</f>
        <v>17.7797513321492</v>
      </c>
      <c r="I21" s="24">
        <f t="shared" si="47"/>
        <v>21.589698046181173</v>
      </c>
      <c r="J21" s="24">
        <f t="shared" si="47"/>
        <v>29.209591474245116</v>
      </c>
      <c r="K21" s="24">
        <f t="shared" si="47"/>
        <v>34.635879218472468</v>
      </c>
      <c r="L21" s="24">
        <f t="shared" si="47"/>
        <v>41.447602131438721</v>
      </c>
      <c r="M21" s="24">
        <f t="shared" si="47"/>
        <v>49.875666074600353</v>
      </c>
      <c r="N21" s="24">
        <f t="shared" si="47"/>
        <v>65</v>
      </c>
      <c r="O21" s="24">
        <f t="shared" si="47"/>
        <v>89.476021314387211</v>
      </c>
      <c r="P21" s="24">
        <f t="shared" si="47"/>
        <v>127.46003552397868</v>
      </c>
      <c r="Q21" s="24">
        <f t="shared" si="47"/>
        <v>151.82060390763766</v>
      </c>
      <c r="R21" s="24">
        <f t="shared" si="47"/>
        <v>170.17761989342807</v>
      </c>
      <c r="S21" s="24">
        <f t="shared" si="47"/>
        <v>213.70337477797511</v>
      </c>
      <c r="T21" s="24">
        <f t="shared" si="47"/>
        <v>288.97868561278864</v>
      </c>
      <c r="U21" s="24">
        <f t="shared" si="47"/>
        <v>357.90408525754884</v>
      </c>
      <c r="V21" s="24">
        <f t="shared" si="47"/>
        <v>435.14209591474241</v>
      </c>
      <c r="W21" s="24">
        <f t="shared" si="47"/>
        <v>550.24866785079928</v>
      </c>
      <c r="X21" s="24">
        <f t="shared" si="47"/>
        <v>550.24866785079928</v>
      </c>
      <c r="Y21" s="24">
        <f t="shared" si="47"/>
        <v>550.24866785079928</v>
      </c>
      <c r="Z21" s="24">
        <f t="shared" si="47"/>
        <v>550.24866785079928</v>
      </c>
      <c r="AA21" s="24">
        <f t="shared" si="47"/>
        <v>550.24866785079928</v>
      </c>
      <c r="AB21" s="24">
        <f t="shared" si="47"/>
        <v>550.24866785079928</v>
      </c>
      <c r="AC21" s="24">
        <f t="shared" si="47"/>
        <v>550.24866785079928</v>
      </c>
      <c r="AD21" s="24">
        <f t="shared" si="47"/>
        <v>550.24866785079928</v>
      </c>
      <c r="AE21" s="24">
        <f t="shared" si="47"/>
        <v>550.24866785079928</v>
      </c>
      <c r="AF21" s="24">
        <f t="shared" si="47"/>
        <v>550.24866785079928</v>
      </c>
      <c r="AG21" s="24">
        <f t="shared" si="47"/>
        <v>550.24866785079928</v>
      </c>
      <c r="AH21" s="24">
        <f t="shared" si="47"/>
        <v>550.24866785079928</v>
      </c>
      <c r="AI21" s="24">
        <f t="shared" si="47"/>
        <v>550.24866785079928</v>
      </c>
      <c r="AJ21" s="24">
        <f t="shared" si="47"/>
        <v>550.24866785079928</v>
      </c>
      <c r="AK21" s="24">
        <f t="shared" si="47"/>
        <v>550.24866785079928</v>
      </c>
      <c r="AL21" s="24">
        <f t="shared" si="47"/>
        <v>550.24866785079928</v>
      </c>
      <c r="AM21" s="24">
        <f t="shared" si="47"/>
        <v>550.24866785079928</v>
      </c>
      <c r="AN21" s="24">
        <f t="shared" si="47"/>
        <v>550.24866785079928</v>
      </c>
      <c r="AO21" s="24">
        <f t="shared" si="47"/>
        <v>550.24866785079928</v>
      </c>
      <c r="AP21" s="24">
        <f t="shared" si="47"/>
        <v>550.24866785079928</v>
      </c>
      <c r="AQ21" s="24">
        <f t="shared" si="47"/>
        <v>550.24866785079928</v>
      </c>
      <c r="AR21" s="24">
        <f t="shared" si="47"/>
        <v>550.24866785079928</v>
      </c>
      <c r="AS21" s="24">
        <f t="shared" si="47"/>
        <v>550.24866785079928</v>
      </c>
      <c r="AT21" s="24">
        <f t="shared" si="47"/>
        <v>550.24866785079928</v>
      </c>
      <c r="AU21" s="24">
        <f t="shared" si="47"/>
        <v>550.24866785079928</v>
      </c>
      <c r="AV21" s="24">
        <f t="shared" si="47"/>
        <v>550.24866785079928</v>
      </c>
      <c r="AW21" s="24">
        <f t="shared" si="47"/>
        <v>550.24866785079928</v>
      </c>
      <c r="AX21" s="24">
        <f t="shared" si="47"/>
        <v>550.24866785079928</v>
      </c>
      <c r="AY21" s="24">
        <f t="shared" si="47"/>
        <v>550.24866785079928</v>
      </c>
      <c r="AZ21" s="24">
        <f t="shared" si="47"/>
        <v>550.24866785079928</v>
      </c>
      <c r="BA21" s="24">
        <f t="shared" si="47"/>
        <v>550.24866785079928</v>
      </c>
      <c r="BB21" s="24">
        <f t="shared" si="47"/>
        <v>550.24866785079928</v>
      </c>
      <c r="BC21" s="24">
        <f t="shared" si="47"/>
        <v>550.24866785079928</v>
      </c>
      <c r="BD21" s="24">
        <f t="shared" si="47"/>
        <v>550.24866785079928</v>
      </c>
      <c r="BE21" s="24">
        <f t="shared" si="47"/>
        <v>550.24866785079928</v>
      </c>
      <c r="BF21" s="24">
        <f t="shared" si="47"/>
        <v>550.24866785079928</v>
      </c>
      <c r="BG21" s="24">
        <f t="shared" si="47"/>
        <v>550.24866785079928</v>
      </c>
      <c r="BH21" s="24">
        <f t="shared" si="47"/>
        <v>550.24866785079928</v>
      </c>
      <c r="BI21" s="24">
        <f t="shared" si="47"/>
        <v>550.24866785079928</v>
      </c>
      <c r="BJ21" s="24">
        <f t="shared" si="47"/>
        <v>550.24866785079928</v>
      </c>
      <c r="BK21" s="24">
        <f t="shared" si="47"/>
        <v>550.24866785079928</v>
      </c>
      <c r="BL21" s="24">
        <f t="shared" si="47"/>
        <v>550.24866785079928</v>
      </c>
      <c r="BM21" s="24">
        <f t="shared" si="47"/>
        <v>550.24866785079928</v>
      </c>
      <c r="BN21" s="24">
        <f t="shared" si="47"/>
        <v>550.24866785079928</v>
      </c>
      <c r="BO21" s="24">
        <f t="shared" si="47"/>
        <v>550.24866785079928</v>
      </c>
      <c r="BP21" s="24">
        <f t="shared" si="47"/>
        <v>550.24866785079928</v>
      </c>
      <c r="BQ21" s="24">
        <f t="shared" si="47"/>
        <v>550.24866785079928</v>
      </c>
      <c r="BR21" s="24">
        <f t="shared" si="47"/>
        <v>550.24866785079928</v>
      </c>
      <c r="BS21" s="24">
        <f t="shared" si="47"/>
        <v>550.24866785079928</v>
      </c>
      <c r="BT21" s="24">
        <f t="shared" ref="BT21:EE21" si="48">BT13*$C$15</f>
        <v>550.24866785079928</v>
      </c>
      <c r="BU21" s="24">
        <f t="shared" si="48"/>
        <v>550.24866785079928</v>
      </c>
      <c r="BV21" s="24">
        <f t="shared" si="48"/>
        <v>550.24866785079928</v>
      </c>
      <c r="BW21" s="24">
        <f t="shared" si="48"/>
        <v>550.24866785079928</v>
      </c>
      <c r="BX21" s="24">
        <f t="shared" si="48"/>
        <v>550.24866785079928</v>
      </c>
      <c r="BY21" s="24">
        <f t="shared" si="48"/>
        <v>550.24866785079928</v>
      </c>
      <c r="BZ21" s="24">
        <f t="shared" si="48"/>
        <v>550.24866785079928</v>
      </c>
      <c r="CA21" s="24">
        <f t="shared" si="48"/>
        <v>550.24866785079928</v>
      </c>
      <c r="CB21" s="24">
        <f t="shared" si="48"/>
        <v>550.24866785079928</v>
      </c>
      <c r="CC21" s="24">
        <f t="shared" si="48"/>
        <v>550.24866785079928</v>
      </c>
      <c r="CD21" s="24">
        <f t="shared" si="48"/>
        <v>550.24866785079928</v>
      </c>
      <c r="CE21" s="24">
        <f t="shared" si="48"/>
        <v>550.24866785079928</v>
      </c>
      <c r="CF21" s="24">
        <f t="shared" si="48"/>
        <v>550.24866785079928</v>
      </c>
      <c r="CG21" s="24">
        <f t="shared" si="48"/>
        <v>550.24866785079928</v>
      </c>
      <c r="CH21" s="24">
        <f t="shared" si="48"/>
        <v>550.24866785079928</v>
      </c>
      <c r="CI21" s="24">
        <f t="shared" si="48"/>
        <v>550.24866785079928</v>
      </c>
      <c r="CJ21" s="24">
        <f t="shared" si="48"/>
        <v>550.24866785079928</v>
      </c>
      <c r="CK21" s="24">
        <f t="shared" si="48"/>
        <v>550.24866785079928</v>
      </c>
      <c r="CL21" s="24">
        <f t="shared" si="48"/>
        <v>550.24866785079928</v>
      </c>
      <c r="CM21" s="24">
        <f t="shared" si="48"/>
        <v>550.24866785079928</v>
      </c>
      <c r="CN21" s="24">
        <f t="shared" si="48"/>
        <v>550.24866785079928</v>
      </c>
      <c r="CO21" s="24">
        <f t="shared" si="48"/>
        <v>550.24866785079928</v>
      </c>
      <c r="CP21" s="24">
        <f t="shared" si="48"/>
        <v>550.24866785079928</v>
      </c>
      <c r="CQ21" s="24">
        <f t="shared" si="48"/>
        <v>550.24866785079928</v>
      </c>
      <c r="CR21" s="24">
        <f t="shared" si="48"/>
        <v>550.24866785079928</v>
      </c>
      <c r="CS21" s="24">
        <f t="shared" si="48"/>
        <v>550.24866785079928</v>
      </c>
      <c r="CT21" s="24">
        <f t="shared" si="48"/>
        <v>550.24866785079928</v>
      </c>
      <c r="CU21" s="24">
        <f t="shared" si="48"/>
        <v>550.24866785079928</v>
      </c>
      <c r="CV21" s="24">
        <f t="shared" si="48"/>
        <v>550.24866785079928</v>
      </c>
      <c r="CW21" s="24">
        <f t="shared" si="48"/>
        <v>550.24866785079928</v>
      </c>
      <c r="CX21" s="24">
        <f t="shared" si="48"/>
        <v>550.24866785079928</v>
      </c>
      <c r="CY21" s="24">
        <f t="shared" si="48"/>
        <v>550.24866785079928</v>
      </c>
      <c r="CZ21" s="24">
        <f t="shared" si="48"/>
        <v>550.24866785079928</v>
      </c>
      <c r="DA21" s="24">
        <f t="shared" si="48"/>
        <v>550.24866785079928</v>
      </c>
      <c r="DB21" s="24">
        <f t="shared" si="48"/>
        <v>550.24866785079928</v>
      </c>
      <c r="DC21" s="24">
        <f t="shared" si="48"/>
        <v>550.24866785079928</v>
      </c>
      <c r="DD21" s="24">
        <f t="shared" si="48"/>
        <v>550.24866785079928</v>
      </c>
      <c r="DE21" s="24">
        <f t="shared" si="48"/>
        <v>550.24866785079928</v>
      </c>
      <c r="DF21" s="24">
        <f t="shared" si="48"/>
        <v>550.24866785079928</v>
      </c>
      <c r="DG21" s="24">
        <f t="shared" si="48"/>
        <v>550.24866785079928</v>
      </c>
      <c r="DH21" s="24">
        <f t="shared" si="48"/>
        <v>550.24866785079928</v>
      </c>
      <c r="DI21" s="24">
        <f t="shared" si="48"/>
        <v>550.24866785079928</v>
      </c>
      <c r="DJ21" s="24">
        <f t="shared" si="48"/>
        <v>550.24866785079928</v>
      </c>
      <c r="DK21" s="24">
        <f t="shared" si="48"/>
        <v>550.24866785079928</v>
      </c>
      <c r="DL21" s="24">
        <f t="shared" si="48"/>
        <v>550.24866785079928</v>
      </c>
      <c r="DM21" s="24">
        <f t="shared" si="48"/>
        <v>550.24866785079928</v>
      </c>
      <c r="DN21" s="24">
        <f t="shared" si="48"/>
        <v>550.24866785079928</v>
      </c>
      <c r="DO21" s="24">
        <f t="shared" si="48"/>
        <v>550.24866785079928</v>
      </c>
      <c r="DP21" s="24">
        <f t="shared" si="48"/>
        <v>550.24866785079928</v>
      </c>
      <c r="DQ21" s="24">
        <f t="shared" si="48"/>
        <v>550.24866785079928</v>
      </c>
      <c r="DR21" s="24">
        <f t="shared" si="48"/>
        <v>550.24866785079928</v>
      </c>
      <c r="DS21" s="24">
        <f t="shared" si="48"/>
        <v>550.24866785079928</v>
      </c>
      <c r="DT21" s="24">
        <f t="shared" si="48"/>
        <v>550.24866785079928</v>
      </c>
      <c r="DU21" s="24">
        <f t="shared" si="48"/>
        <v>550.24866785079928</v>
      </c>
      <c r="DV21" s="24">
        <f t="shared" si="48"/>
        <v>550.24866785079928</v>
      </c>
      <c r="DW21" s="24">
        <f t="shared" si="48"/>
        <v>550.24866785079928</v>
      </c>
      <c r="DX21" s="24">
        <f t="shared" si="48"/>
        <v>550.24866785079928</v>
      </c>
      <c r="DY21" s="24">
        <f t="shared" si="48"/>
        <v>550.24866785079928</v>
      </c>
      <c r="DZ21" s="24">
        <f t="shared" si="48"/>
        <v>550.24866785079928</v>
      </c>
      <c r="EA21" s="24">
        <f t="shared" si="48"/>
        <v>550.24866785079928</v>
      </c>
      <c r="EB21" s="24">
        <f t="shared" si="48"/>
        <v>550.24866785079928</v>
      </c>
      <c r="EC21" s="24">
        <f t="shared" si="48"/>
        <v>550.24866785079928</v>
      </c>
      <c r="ED21" s="24">
        <f t="shared" si="48"/>
        <v>550.24866785079928</v>
      </c>
      <c r="EE21" s="24">
        <f t="shared" si="48"/>
        <v>550.24866785079928</v>
      </c>
      <c r="EF21" s="24">
        <f t="shared" ref="EF21:GQ21" si="49">EF13*$C$15</f>
        <v>550.24866785079928</v>
      </c>
      <c r="EG21" s="24">
        <f t="shared" si="49"/>
        <v>550.24866785079928</v>
      </c>
      <c r="EH21" s="24">
        <f t="shared" si="49"/>
        <v>550.24866785079928</v>
      </c>
      <c r="EI21" s="24">
        <f t="shared" si="49"/>
        <v>550.24866785079928</v>
      </c>
      <c r="EJ21" s="24">
        <f t="shared" si="49"/>
        <v>550.24866785079928</v>
      </c>
      <c r="EK21" s="24">
        <f t="shared" si="49"/>
        <v>550.24866785079928</v>
      </c>
      <c r="EL21" s="24">
        <f t="shared" si="49"/>
        <v>550.24866785079928</v>
      </c>
      <c r="EM21" s="24">
        <f t="shared" si="49"/>
        <v>550.24866785079928</v>
      </c>
      <c r="EN21" s="24">
        <f t="shared" si="49"/>
        <v>550.24866785079928</v>
      </c>
      <c r="EO21" s="24">
        <f t="shared" si="49"/>
        <v>550.24866785079928</v>
      </c>
      <c r="EP21" s="24">
        <f t="shared" si="49"/>
        <v>550.24866785079928</v>
      </c>
      <c r="EQ21" s="24">
        <f t="shared" si="49"/>
        <v>550.24866785079928</v>
      </c>
      <c r="ER21" s="24">
        <f t="shared" si="49"/>
        <v>550.24866785079928</v>
      </c>
      <c r="ES21" s="24">
        <f t="shared" si="49"/>
        <v>550.24866785079928</v>
      </c>
      <c r="ET21" s="24">
        <f t="shared" si="49"/>
        <v>550.24866785079928</v>
      </c>
      <c r="EU21" s="24">
        <f t="shared" si="49"/>
        <v>550.24866785079928</v>
      </c>
      <c r="EV21" s="24">
        <f t="shared" si="49"/>
        <v>550.24866785079928</v>
      </c>
      <c r="EW21" s="24">
        <f t="shared" si="49"/>
        <v>550.24866785079928</v>
      </c>
      <c r="EX21" s="24">
        <f t="shared" si="49"/>
        <v>550.24866785079928</v>
      </c>
      <c r="EY21" s="24">
        <f t="shared" si="49"/>
        <v>550.24866785079928</v>
      </c>
      <c r="EZ21" s="24">
        <f t="shared" si="49"/>
        <v>550.24866785079928</v>
      </c>
      <c r="FA21" s="24">
        <f t="shared" si="49"/>
        <v>550.24866785079928</v>
      </c>
      <c r="FB21" s="24">
        <f t="shared" si="49"/>
        <v>550.24866785079928</v>
      </c>
      <c r="FC21" s="24">
        <f t="shared" si="49"/>
        <v>550.24866785079928</v>
      </c>
      <c r="FD21" s="24">
        <f t="shared" si="49"/>
        <v>550.24866785079928</v>
      </c>
      <c r="FE21" s="24">
        <f t="shared" si="49"/>
        <v>550.24866785079928</v>
      </c>
      <c r="FF21" s="24">
        <f t="shared" si="49"/>
        <v>550.24866785079928</v>
      </c>
      <c r="FG21" s="24">
        <f t="shared" si="49"/>
        <v>550.24866785079928</v>
      </c>
      <c r="FH21" s="24">
        <f t="shared" si="49"/>
        <v>550.24866785079928</v>
      </c>
      <c r="FI21" s="24">
        <f t="shared" si="49"/>
        <v>550.24866785079928</v>
      </c>
      <c r="FJ21" s="24">
        <f t="shared" si="49"/>
        <v>550.24866785079928</v>
      </c>
      <c r="FK21" s="24">
        <f t="shared" si="49"/>
        <v>550.24866785079928</v>
      </c>
      <c r="FL21" s="24">
        <f t="shared" si="49"/>
        <v>550.24866785079928</v>
      </c>
      <c r="FM21" s="24">
        <f t="shared" si="49"/>
        <v>550.24866785079928</v>
      </c>
      <c r="FN21" s="24">
        <f t="shared" si="49"/>
        <v>550.24866785079928</v>
      </c>
      <c r="FO21" s="24">
        <f t="shared" si="49"/>
        <v>550.24866785079928</v>
      </c>
      <c r="FP21" s="24">
        <f t="shared" si="49"/>
        <v>550.24866785079928</v>
      </c>
      <c r="FQ21" s="24">
        <f t="shared" si="49"/>
        <v>550.24866785079928</v>
      </c>
      <c r="FR21" s="24">
        <f t="shared" si="49"/>
        <v>550.24866785079928</v>
      </c>
      <c r="FS21" s="24">
        <f t="shared" si="49"/>
        <v>550.24866785079928</v>
      </c>
      <c r="FT21" s="24">
        <f t="shared" si="49"/>
        <v>550.24866785079928</v>
      </c>
      <c r="FU21" s="24">
        <f t="shared" si="49"/>
        <v>550.24866785079928</v>
      </c>
      <c r="FV21" s="24">
        <f t="shared" si="49"/>
        <v>550.24866785079928</v>
      </c>
      <c r="FW21" s="24">
        <f t="shared" si="49"/>
        <v>550.24866785079928</v>
      </c>
      <c r="FX21" s="24">
        <f t="shared" si="49"/>
        <v>550.24866785079928</v>
      </c>
      <c r="FY21" s="24">
        <f t="shared" si="49"/>
        <v>550.24866785079928</v>
      </c>
      <c r="FZ21" s="24">
        <f t="shared" si="49"/>
        <v>550.24866785079928</v>
      </c>
      <c r="GA21" s="24">
        <f t="shared" si="49"/>
        <v>550.24866785079928</v>
      </c>
      <c r="GB21" s="24">
        <f t="shared" si="49"/>
        <v>550.24866785079928</v>
      </c>
      <c r="GC21" s="24">
        <f t="shared" si="49"/>
        <v>550.24866785079928</v>
      </c>
      <c r="GD21" s="24">
        <f t="shared" si="49"/>
        <v>550.24866785079928</v>
      </c>
      <c r="GE21" s="24">
        <f t="shared" si="49"/>
        <v>550.24866785079928</v>
      </c>
      <c r="GF21" s="24">
        <f t="shared" si="49"/>
        <v>550.24866785079928</v>
      </c>
      <c r="GG21" s="24">
        <f t="shared" si="49"/>
        <v>550.24866785079928</v>
      </c>
      <c r="GH21" s="24">
        <f t="shared" si="49"/>
        <v>550.24866785079928</v>
      </c>
      <c r="GI21" s="24">
        <f t="shared" si="49"/>
        <v>550.24866785079928</v>
      </c>
      <c r="GJ21" s="24">
        <f t="shared" si="49"/>
        <v>550.24866785079928</v>
      </c>
      <c r="GK21" s="24">
        <f t="shared" si="49"/>
        <v>550.24866785079928</v>
      </c>
      <c r="GL21" s="24">
        <f t="shared" si="49"/>
        <v>550.24866785079928</v>
      </c>
      <c r="GM21" s="24">
        <f t="shared" si="49"/>
        <v>550.24866785079928</v>
      </c>
      <c r="GN21" s="24">
        <f t="shared" si="49"/>
        <v>550.24866785079928</v>
      </c>
      <c r="GO21" s="24">
        <f t="shared" si="49"/>
        <v>550.24866785079928</v>
      </c>
      <c r="GP21" s="24">
        <f t="shared" si="49"/>
        <v>550.24866785079928</v>
      </c>
      <c r="GQ21" s="24">
        <f t="shared" si="49"/>
        <v>550.24866785079928</v>
      </c>
      <c r="GR21" s="24">
        <f t="shared" ref="GR21:IN21" si="50">GR13*$C$15</f>
        <v>550.24866785079928</v>
      </c>
      <c r="GS21" s="24">
        <f t="shared" si="50"/>
        <v>550.24866785079928</v>
      </c>
      <c r="GT21" s="24">
        <f t="shared" si="50"/>
        <v>550.24866785079928</v>
      </c>
      <c r="GU21" s="24">
        <f t="shared" si="50"/>
        <v>550.24866785079928</v>
      </c>
      <c r="GV21" s="24">
        <f t="shared" si="50"/>
        <v>550.24866785079928</v>
      </c>
      <c r="GW21" s="24">
        <f t="shared" si="50"/>
        <v>550.24866785079928</v>
      </c>
      <c r="GX21" s="24">
        <f t="shared" si="50"/>
        <v>550.24866785079928</v>
      </c>
      <c r="GY21" s="24">
        <f t="shared" si="50"/>
        <v>550.24866785079928</v>
      </c>
      <c r="GZ21" s="24">
        <f t="shared" si="50"/>
        <v>550.24866785079928</v>
      </c>
      <c r="HA21" s="24">
        <f t="shared" si="50"/>
        <v>550.24866785079928</v>
      </c>
      <c r="HB21" s="24">
        <f t="shared" si="50"/>
        <v>550.24866785079928</v>
      </c>
      <c r="HC21" s="24">
        <f t="shared" si="50"/>
        <v>550.24866785079928</v>
      </c>
      <c r="HD21" s="24">
        <f t="shared" si="50"/>
        <v>550.24866785079928</v>
      </c>
      <c r="HE21" s="24">
        <f t="shared" si="50"/>
        <v>550.24866785079928</v>
      </c>
      <c r="HF21" s="24">
        <f t="shared" si="50"/>
        <v>550.24866785079928</v>
      </c>
      <c r="HG21" s="24">
        <f t="shared" si="50"/>
        <v>550.24866785079928</v>
      </c>
      <c r="HH21" s="24">
        <f t="shared" si="50"/>
        <v>550.24866785079928</v>
      </c>
      <c r="HI21" s="24">
        <f t="shared" si="50"/>
        <v>550.24866785079928</v>
      </c>
      <c r="HJ21" s="24">
        <f t="shared" si="50"/>
        <v>550.24866785079928</v>
      </c>
      <c r="HK21" s="24">
        <f t="shared" si="50"/>
        <v>550.24866785079928</v>
      </c>
      <c r="HL21" s="24">
        <f t="shared" si="50"/>
        <v>550.24866785079928</v>
      </c>
      <c r="HM21" s="24">
        <f t="shared" si="50"/>
        <v>550.24866785079928</v>
      </c>
      <c r="HN21" s="24">
        <f t="shared" si="50"/>
        <v>550.24866785079928</v>
      </c>
      <c r="HO21" s="24">
        <f t="shared" si="50"/>
        <v>550.24866785079928</v>
      </c>
      <c r="HP21" s="24">
        <f t="shared" si="50"/>
        <v>550.24866785079928</v>
      </c>
      <c r="HQ21" s="24">
        <f t="shared" si="50"/>
        <v>550.24866785079928</v>
      </c>
      <c r="HR21" s="24">
        <f t="shared" si="50"/>
        <v>550.24866785079928</v>
      </c>
      <c r="HS21" s="24">
        <f t="shared" si="50"/>
        <v>550.24866785079928</v>
      </c>
      <c r="HT21" s="24">
        <f t="shared" si="50"/>
        <v>550.24866785079928</v>
      </c>
      <c r="HU21" s="24">
        <f t="shared" si="50"/>
        <v>550.24866785079928</v>
      </c>
      <c r="HV21" s="24">
        <f t="shared" si="50"/>
        <v>550.24866785079928</v>
      </c>
      <c r="HW21" s="24">
        <f t="shared" si="50"/>
        <v>550.24866785079928</v>
      </c>
      <c r="HX21" s="24">
        <f t="shared" si="50"/>
        <v>550.24866785079928</v>
      </c>
      <c r="HY21" s="24">
        <f t="shared" si="50"/>
        <v>550.24866785079928</v>
      </c>
      <c r="HZ21" s="24">
        <f t="shared" si="50"/>
        <v>550.24866785079928</v>
      </c>
      <c r="IA21" s="24">
        <f t="shared" si="50"/>
        <v>550.24866785079928</v>
      </c>
      <c r="IB21" s="24">
        <f t="shared" si="50"/>
        <v>550.24866785079928</v>
      </c>
      <c r="IC21" s="24">
        <f t="shared" si="50"/>
        <v>550.24866785079928</v>
      </c>
      <c r="ID21" s="24">
        <f t="shared" si="50"/>
        <v>550.24866785079928</v>
      </c>
      <c r="IE21" s="24">
        <f t="shared" si="50"/>
        <v>550.24866785079928</v>
      </c>
      <c r="IF21" s="24">
        <f t="shared" si="50"/>
        <v>550.24866785079928</v>
      </c>
      <c r="IG21" s="24">
        <f t="shared" si="50"/>
        <v>550.24866785079928</v>
      </c>
      <c r="IH21" s="24">
        <f t="shared" si="50"/>
        <v>550.24866785079928</v>
      </c>
      <c r="II21" s="24">
        <f t="shared" si="50"/>
        <v>550.24866785079928</v>
      </c>
      <c r="IJ21" s="24">
        <f t="shared" si="50"/>
        <v>550.24866785079928</v>
      </c>
      <c r="IK21" s="24">
        <f t="shared" si="50"/>
        <v>550.24866785079928</v>
      </c>
      <c r="IL21" s="24">
        <f t="shared" si="50"/>
        <v>550.24866785079928</v>
      </c>
      <c r="IM21" s="24">
        <f t="shared" si="50"/>
        <v>550.24866785079928</v>
      </c>
      <c r="IN21" s="24">
        <f t="shared" si="50"/>
        <v>550.24866785079928</v>
      </c>
    </row>
    <row r="22" spans="2:248" x14ac:dyDescent="0.3">
      <c r="C22" s="42"/>
      <c r="F22" s="22" t="s">
        <v>497</v>
      </c>
      <c r="G22" s="24">
        <f>G15*$C$15</f>
        <v>12.353463587921848</v>
      </c>
      <c r="H22" s="24">
        <f t="shared" ref="H22:BS22" si="51">H15*$C$15</f>
        <v>17.7797513321492</v>
      </c>
      <c r="I22" s="24">
        <f t="shared" si="51"/>
        <v>21.589698046181173</v>
      </c>
      <c r="J22" s="24">
        <f t="shared" si="51"/>
        <v>29.209591474245116</v>
      </c>
      <c r="K22" s="24">
        <f t="shared" si="51"/>
        <v>34.635879218472468</v>
      </c>
      <c r="L22" s="24">
        <f t="shared" si="51"/>
        <v>41.447602131438721</v>
      </c>
      <c r="M22" s="24">
        <f t="shared" si="51"/>
        <v>49.875666074600353</v>
      </c>
      <c r="N22" s="24">
        <f t="shared" si="51"/>
        <v>65</v>
      </c>
      <c r="O22" s="24">
        <f t="shared" si="51"/>
        <v>89.476021314387211</v>
      </c>
      <c r="P22" s="24">
        <f t="shared" si="51"/>
        <v>127.46003552397868</v>
      </c>
      <c r="Q22" s="24">
        <f t="shared" si="51"/>
        <v>151.82060390763766</v>
      </c>
      <c r="R22" s="24">
        <f t="shared" si="51"/>
        <v>170.17761989342807</v>
      </c>
      <c r="S22" s="24">
        <f t="shared" si="51"/>
        <v>213.70337477797511</v>
      </c>
      <c r="T22" s="24">
        <f t="shared" si="51"/>
        <v>288.97868561278864</v>
      </c>
      <c r="U22" s="24">
        <f t="shared" si="51"/>
        <v>357.90408525754884</v>
      </c>
      <c r="V22" s="24">
        <f t="shared" si="51"/>
        <v>435.14209591474241</v>
      </c>
      <c r="W22" s="24">
        <f t="shared" si="51"/>
        <v>550.24866785079928</v>
      </c>
      <c r="X22" s="24">
        <f t="shared" si="51"/>
        <v>770.34813499111897</v>
      </c>
      <c r="Y22" s="24">
        <f t="shared" si="51"/>
        <v>1078.4873889875664</v>
      </c>
      <c r="Z22" s="24">
        <f t="shared" si="51"/>
        <v>1509.8823445825929</v>
      </c>
      <c r="AA22" s="24">
        <f t="shared" si="51"/>
        <v>2113.83528241563</v>
      </c>
      <c r="AB22" s="24">
        <f t="shared" si="51"/>
        <v>2959.369395381882</v>
      </c>
      <c r="AC22" s="24">
        <f t="shared" si="51"/>
        <v>4143.1171535346348</v>
      </c>
      <c r="AD22" s="24">
        <f t="shared" si="51"/>
        <v>5800.3640149484872</v>
      </c>
      <c r="AE22" s="24">
        <f t="shared" si="51"/>
        <v>8120.5096209278827</v>
      </c>
      <c r="AF22" s="24">
        <f t="shared" si="51"/>
        <v>11368.713469299035</v>
      </c>
      <c r="AG22" s="24">
        <f t="shared" si="51"/>
        <v>15916.19885701865</v>
      </c>
      <c r="AH22" s="24">
        <f t="shared" si="51"/>
        <v>22282.678399826109</v>
      </c>
      <c r="AI22" s="24">
        <f t="shared" si="51"/>
        <v>31195.749759756549</v>
      </c>
      <c r="AJ22" s="24">
        <f t="shared" si="51"/>
        <v>43674.049663659163</v>
      </c>
      <c r="AK22" s="24">
        <f t="shared" si="51"/>
        <v>61143.669529122824</v>
      </c>
      <c r="AL22" s="24">
        <f t="shared" si="51"/>
        <v>85601.137340771951</v>
      </c>
      <c r="AM22" s="24">
        <f t="shared" si="51"/>
        <v>119841.59227708072</v>
      </c>
      <c r="AN22" s="24">
        <f t="shared" si="51"/>
        <v>167778.22918791301</v>
      </c>
      <c r="AO22" s="24">
        <f t="shared" si="51"/>
        <v>234889.52086307816</v>
      </c>
      <c r="AP22" s="24">
        <f t="shared" si="51"/>
        <v>328845.32920830941</v>
      </c>
      <c r="AQ22" s="24">
        <f t="shared" si="51"/>
        <v>460383.46089163318</v>
      </c>
      <c r="AR22" s="24">
        <f t="shared" si="51"/>
        <v>644536.84524828638</v>
      </c>
      <c r="AS22" s="24">
        <f t="shared" si="51"/>
        <v>902351.58334760088</v>
      </c>
      <c r="AT22" s="24">
        <f t="shared" si="51"/>
        <v>1263292.2166866411</v>
      </c>
      <c r="AU22" s="24">
        <f t="shared" si="51"/>
        <v>1768609.1033612976</v>
      </c>
      <c r="AV22" s="24">
        <f t="shared" si="51"/>
        <v>2476052.7447058167</v>
      </c>
      <c r="AW22" s="24">
        <f t="shared" si="51"/>
        <v>3135055.5701598581</v>
      </c>
      <c r="AX22" s="24">
        <f t="shared" si="51"/>
        <v>3135055.5701598581</v>
      </c>
      <c r="AY22" s="24">
        <f t="shared" si="51"/>
        <v>3135055.5701598581</v>
      </c>
      <c r="AZ22" s="24">
        <f t="shared" si="51"/>
        <v>3135055.5701598581</v>
      </c>
      <c r="BA22" s="24">
        <f t="shared" si="51"/>
        <v>3135055.5701598581</v>
      </c>
      <c r="BB22" s="24">
        <f t="shared" si="51"/>
        <v>3135055.5701598581</v>
      </c>
      <c r="BC22" s="24">
        <f t="shared" si="51"/>
        <v>3135055.5701598581</v>
      </c>
      <c r="BD22" s="24">
        <f t="shared" si="51"/>
        <v>3135055.5701598581</v>
      </c>
      <c r="BE22" s="24">
        <f t="shared" si="51"/>
        <v>3135055.5701598581</v>
      </c>
      <c r="BF22" s="24">
        <f t="shared" si="51"/>
        <v>3135055.5701598581</v>
      </c>
      <c r="BG22" s="24">
        <f t="shared" si="51"/>
        <v>3135055.5701598581</v>
      </c>
      <c r="BH22" s="24">
        <f t="shared" si="51"/>
        <v>3135055.5701598581</v>
      </c>
      <c r="BI22" s="24">
        <f t="shared" si="51"/>
        <v>3135055.5701598581</v>
      </c>
      <c r="BJ22" s="24">
        <f t="shared" si="51"/>
        <v>3135055.5701598581</v>
      </c>
      <c r="BK22" s="24">
        <f t="shared" si="51"/>
        <v>3135055.5701598581</v>
      </c>
      <c r="BL22" s="24">
        <f t="shared" si="51"/>
        <v>3135055.5701598581</v>
      </c>
      <c r="BM22" s="24">
        <f t="shared" si="51"/>
        <v>3135055.5701598581</v>
      </c>
      <c r="BN22" s="24">
        <f t="shared" si="51"/>
        <v>3135055.5701598581</v>
      </c>
      <c r="BO22" s="24">
        <f t="shared" si="51"/>
        <v>3135055.5701598581</v>
      </c>
      <c r="BP22" s="24">
        <f t="shared" si="51"/>
        <v>3135055.5701598581</v>
      </c>
      <c r="BQ22" s="24">
        <f t="shared" si="51"/>
        <v>3135055.5701598581</v>
      </c>
      <c r="BR22" s="24">
        <f t="shared" si="51"/>
        <v>3135055.5701598581</v>
      </c>
      <c r="BS22" s="24">
        <f t="shared" si="51"/>
        <v>3135055.5701598581</v>
      </c>
      <c r="BT22" s="24">
        <f t="shared" ref="BT22:EE22" si="52">BT15*$C$15</f>
        <v>3135055.5701598581</v>
      </c>
      <c r="BU22" s="24">
        <f t="shared" si="52"/>
        <v>3135055.5701598581</v>
      </c>
      <c r="BV22" s="24">
        <f t="shared" si="52"/>
        <v>3135055.5701598581</v>
      </c>
      <c r="BW22" s="24">
        <f t="shared" si="52"/>
        <v>3135055.5701598581</v>
      </c>
      <c r="BX22" s="24">
        <f t="shared" si="52"/>
        <v>3135055.5701598581</v>
      </c>
      <c r="BY22" s="24">
        <f t="shared" si="52"/>
        <v>3135055.5701598581</v>
      </c>
      <c r="BZ22" s="24">
        <f t="shared" si="52"/>
        <v>3135055.5701598581</v>
      </c>
      <c r="CA22" s="24">
        <f t="shared" si="52"/>
        <v>3135055.5701598581</v>
      </c>
      <c r="CB22" s="24">
        <f t="shared" si="52"/>
        <v>3135055.5701598581</v>
      </c>
      <c r="CC22" s="24">
        <f t="shared" si="52"/>
        <v>3135055.5701598581</v>
      </c>
      <c r="CD22" s="24">
        <f t="shared" si="52"/>
        <v>3135055.5701598581</v>
      </c>
      <c r="CE22" s="24">
        <f t="shared" si="52"/>
        <v>3135055.5701598581</v>
      </c>
      <c r="CF22" s="24">
        <f t="shared" si="52"/>
        <v>3135055.5701598581</v>
      </c>
      <c r="CG22" s="24">
        <f t="shared" si="52"/>
        <v>3135055.5701598581</v>
      </c>
      <c r="CH22" s="24">
        <f t="shared" si="52"/>
        <v>3135055.5701598581</v>
      </c>
      <c r="CI22" s="24">
        <f t="shared" si="52"/>
        <v>3135055.5701598581</v>
      </c>
      <c r="CJ22" s="24">
        <f t="shared" si="52"/>
        <v>3135055.5701598581</v>
      </c>
      <c r="CK22" s="24">
        <f t="shared" si="52"/>
        <v>3135055.5701598581</v>
      </c>
      <c r="CL22" s="24">
        <f t="shared" si="52"/>
        <v>3135055.5701598581</v>
      </c>
      <c r="CM22" s="24">
        <f t="shared" si="52"/>
        <v>3135055.5701598581</v>
      </c>
      <c r="CN22" s="24">
        <f t="shared" si="52"/>
        <v>3135055.5701598581</v>
      </c>
      <c r="CO22" s="24">
        <f t="shared" si="52"/>
        <v>3135055.5701598581</v>
      </c>
      <c r="CP22" s="24">
        <f t="shared" si="52"/>
        <v>3135055.5701598581</v>
      </c>
      <c r="CQ22" s="24">
        <f t="shared" si="52"/>
        <v>3135055.5701598581</v>
      </c>
      <c r="CR22" s="24">
        <f t="shared" si="52"/>
        <v>3135055.5701598581</v>
      </c>
      <c r="CS22" s="24">
        <f t="shared" si="52"/>
        <v>3135055.5701598581</v>
      </c>
      <c r="CT22" s="24">
        <f t="shared" si="52"/>
        <v>3135055.5701598581</v>
      </c>
      <c r="CU22" s="24">
        <f t="shared" si="52"/>
        <v>3135055.5701598581</v>
      </c>
      <c r="CV22" s="24">
        <f t="shared" si="52"/>
        <v>3135055.5701598581</v>
      </c>
      <c r="CW22" s="24">
        <f t="shared" si="52"/>
        <v>3135055.5701598581</v>
      </c>
      <c r="CX22" s="24">
        <f t="shared" si="52"/>
        <v>3135055.5701598581</v>
      </c>
      <c r="CY22" s="24">
        <f t="shared" si="52"/>
        <v>3135055.5701598581</v>
      </c>
      <c r="CZ22" s="24">
        <f t="shared" si="52"/>
        <v>3135055.5701598581</v>
      </c>
      <c r="DA22" s="24">
        <f t="shared" si="52"/>
        <v>3135055.5701598581</v>
      </c>
      <c r="DB22" s="24">
        <f t="shared" si="52"/>
        <v>3135055.5701598581</v>
      </c>
      <c r="DC22" s="24">
        <f t="shared" si="52"/>
        <v>3135055.5701598581</v>
      </c>
      <c r="DD22" s="24">
        <f t="shared" si="52"/>
        <v>3135055.5701598581</v>
      </c>
      <c r="DE22" s="24">
        <f t="shared" si="52"/>
        <v>3135055.5701598581</v>
      </c>
      <c r="DF22" s="24">
        <f t="shared" si="52"/>
        <v>3135055.5701598581</v>
      </c>
      <c r="DG22" s="24">
        <f t="shared" si="52"/>
        <v>3135055.5701598581</v>
      </c>
      <c r="DH22" s="24">
        <f t="shared" si="52"/>
        <v>3135055.5701598581</v>
      </c>
      <c r="DI22" s="24">
        <f t="shared" si="52"/>
        <v>3135055.5701598581</v>
      </c>
      <c r="DJ22" s="24">
        <f t="shared" si="52"/>
        <v>3135055.5701598581</v>
      </c>
      <c r="DK22" s="24">
        <f t="shared" si="52"/>
        <v>3135055.5701598581</v>
      </c>
      <c r="DL22" s="24">
        <f t="shared" si="52"/>
        <v>3135055.5701598581</v>
      </c>
      <c r="DM22" s="24">
        <f t="shared" si="52"/>
        <v>3135055.5701598581</v>
      </c>
      <c r="DN22" s="24">
        <f t="shared" si="52"/>
        <v>3135055.5701598581</v>
      </c>
      <c r="DO22" s="24">
        <f t="shared" si="52"/>
        <v>3135055.5701598581</v>
      </c>
      <c r="DP22" s="24">
        <f t="shared" si="52"/>
        <v>3135055.5701598581</v>
      </c>
      <c r="DQ22" s="24">
        <f t="shared" si="52"/>
        <v>3135055.5701598581</v>
      </c>
      <c r="DR22" s="24">
        <f t="shared" si="52"/>
        <v>3135055.5701598581</v>
      </c>
      <c r="DS22" s="24">
        <f t="shared" si="52"/>
        <v>3135055.5701598581</v>
      </c>
      <c r="DT22" s="24">
        <f t="shared" si="52"/>
        <v>3135055.5701598581</v>
      </c>
      <c r="DU22" s="24">
        <f t="shared" si="52"/>
        <v>3135055.5701598581</v>
      </c>
      <c r="DV22" s="24">
        <f t="shared" si="52"/>
        <v>3135055.5701598581</v>
      </c>
      <c r="DW22" s="24">
        <f t="shared" si="52"/>
        <v>3135055.5701598581</v>
      </c>
      <c r="DX22" s="24">
        <f t="shared" si="52"/>
        <v>3135055.5701598581</v>
      </c>
      <c r="DY22" s="24">
        <f t="shared" si="52"/>
        <v>3135055.5701598581</v>
      </c>
      <c r="DZ22" s="24">
        <f t="shared" si="52"/>
        <v>3135055.5701598581</v>
      </c>
      <c r="EA22" s="24">
        <f t="shared" si="52"/>
        <v>3135055.5701598581</v>
      </c>
      <c r="EB22" s="24">
        <f t="shared" si="52"/>
        <v>3135055.5701598581</v>
      </c>
      <c r="EC22" s="24">
        <f t="shared" si="52"/>
        <v>3135055.5701598581</v>
      </c>
      <c r="ED22" s="24">
        <f t="shared" si="52"/>
        <v>3135055.5701598581</v>
      </c>
      <c r="EE22" s="24">
        <f t="shared" si="52"/>
        <v>3135055.5701598581</v>
      </c>
      <c r="EF22" s="24">
        <f t="shared" ref="EF22:GQ22" si="53">EF15*$C$15</f>
        <v>3135055.5701598581</v>
      </c>
      <c r="EG22" s="24">
        <f t="shared" si="53"/>
        <v>3135055.5701598581</v>
      </c>
      <c r="EH22" s="24">
        <f t="shared" si="53"/>
        <v>3135055.5701598581</v>
      </c>
      <c r="EI22" s="24">
        <f t="shared" si="53"/>
        <v>3135055.5701598581</v>
      </c>
      <c r="EJ22" s="24">
        <f t="shared" si="53"/>
        <v>3135055.5701598581</v>
      </c>
      <c r="EK22" s="24">
        <f t="shared" si="53"/>
        <v>3135055.5701598581</v>
      </c>
      <c r="EL22" s="24">
        <f t="shared" si="53"/>
        <v>3135055.5701598581</v>
      </c>
      <c r="EM22" s="24">
        <f t="shared" si="53"/>
        <v>3135055.5701598581</v>
      </c>
      <c r="EN22" s="24">
        <f t="shared" si="53"/>
        <v>3135055.5701598581</v>
      </c>
      <c r="EO22" s="24">
        <f t="shared" si="53"/>
        <v>3135055.5701598581</v>
      </c>
      <c r="EP22" s="24">
        <f t="shared" si="53"/>
        <v>3135055.5701598581</v>
      </c>
      <c r="EQ22" s="24">
        <f t="shared" si="53"/>
        <v>3135055.5701598581</v>
      </c>
      <c r="ER22" s="24">
        <f t="shared" si="53"/>
        <v>3135055.5701598581</v>
      </c>
      <c r="ES22" s="24">
        <f t="shared" si="53"/>
        <v>3135055.5701598581</v>
      </c>
      <c r="ET22" s="24">
        <f t="shared" si="53"/>
        <v>3135055.5701598581</v>
      </c>
      <c r="EU22" s="24">
        <f t="shared" si="53"/>
        <v>3135055.5701598581</v>
      </c>
      <c r="EV22" s="24">
        <f t="shared" si="53"/>
        <v>3135055.5701598581</v>
      </c>
      <c r="EW22" s="24">
        <f t="shared" si="53"/>
        <v>3135055.5701598581</v>
      </c>
      <c r="EX22" s="24">
        <f t="shared" si="53"/>
        <v>3135055.5701598581</v>
      </c>
      <c r="EY22" s="24">
        <f t="shared" si="53"/>
        <v>3135055.5701598581</v>
      </c>
      <c r="EZ22" s="24">
        <f t="shared" si="53"/>
        <v>3135055.5701598581</v>
      </c>
      <c r="FA22" s="24">
        <f t="shared" si="53"/>
        <v>3135055.5701598581</v>
      </c>
      <c r="FB22" s="24">
        <f t="shared" si="53"/>
        <v>3135055.5701598581</v>
      </c>
      <c r="FC22" s="24">
        <f t="shared" si="53"/>
        <v>3135055.5701598581</v>
      </c>
      <c r="FD22" s="24">
        <f t="shared" si="53"/>
        <v>3135055.5701598581</v>
      </c>
      <c r="FE22" s="24">
        <f t="shared" si="53"/>
        <v>3135055.5701598581</v>
      </c>
      <c r="FF22" s="24">
        <f t="shared" si="53"/>
        <v>3135055.5701598581</v>
      </c>
      <c r="FG22" s="24">
        <f t="shared" si="53"/>
        <v>3135055.5701598581</v>
      </c>
      <c r="FH22" s="24">
        <f t="shared" si="53"/>
        <v>3135055.5701598581</v>
      </c>
      <c r="FI22" s="24">
        <f t="shared" si="53"/>
        <v>3135055.5701598581</v>
      </c>
      <c r="FJ22" s="24">
        <f t="shared" si="53"/>
        <v>3135055.5701598581</v>
      </c>
      <c r="FK22" s="24">
        <f t="shared" si="53"/>
        <v>3135055.5701598581</v>
      </c>
      <c r="FL22" s="24">
        <f t="shared" si="53"/>
        <v>3135055.5701598581</v>
      </c>
      <c r="FM22" s="24">
        <f t="shared" si="53"/>
        <v>3135055.5701598581</v>
      </c>
      <c r="FN22" s="24">
        <f t="shared" si="53"/>
        <v>3135055.5701598581</v>
      </c>
      <c r="FO22" s="24">
        <f t="shared" si="53"/>
        <v>3135055.5701598581</v>
      </c>
      <c r="FP22" s="24">
        <f t="shared" si="53"/>
        <v>3135055.5701598581</v>
      </c>
      <c r="FQ22" s="24">
        <f t="shared" si="53"/>
        <v>3135055.5701598581</v>
      </c>
      <c r="FR22" s="24">
        <f t="shared" si="53"/>
        <v>3135055.5701598581</v>
      </c>
      <c r="FS22" s="24">
        <f t="shared" si="53"/>
        <v>3135055.5701598581</v>
      </c>
      <c r="FT22" s="24">
        <f t="shared" si="53"/>
        <v>3135055.5701598581</v>
      </c>
      <c r="FU22" s="24">
        <f t="shared" si="53"/>
        <v>3135055.5701598581</v>
      </c>
      <c r="FV22" s="24">
        <f t="shared" si="53"/>
        <v>3135055.5701598581</v>
      </c>
      <c r="FW22" s="24">
        <f t="shared" si="53"/>
        <v>3135055.5701598581</v>
      </c>
      <c r="FX22" s="24">
        <f t="shared" si="53"/>
        <v>3135055.5701598581</v>
      </c>
      <c r="FY22" s="24">
        <f t="shared" si="53"/>
        <v>3135055.5701598581</v>
      </c>
      <c r="FZ22" s="24">
        <f t="shared" si="53"/>
        <v>3135055.5701598581</v>
      </c>
      <c r="GA22" s="24">
        <f t="shared" si="53"/>
        <v>3135055.5701598581</v>
      </c>
      <c r="GB22" s="24">
        <f t="shared" si="53"/>
        <v>3135055.5701598581</v>
      </c>
      <c r="GC22" s="24">
        <f t="shared" si="53"/>
        <v>3135055.5701598581</v>
      </c>
      <c r="GD22" s="24">
        <f t="shared" si="53"/>
        <v>3135055.5701598581</v>
      </c>
      <c r="GE22" s="24">
        <f t="shared" si="53"/>
        <v>3135055.5701598581</v>
      </c>
      <c r="GF22" s="24">
        <f t="shared" si="53"/>
        <v>3135055.5701598581</v>
      </c>
      <c r="GG22" s="24">
        <f t="shared" si="53"/>
        <v>3135055.5701598581</v>
      </c>
      <c r="GH22" s="24">
        <f t="shared" si="53"/>
        <v>3135055.5701598581</v>
      </c>
      <c r="GI22" s="24">
        <f t="shared" si="53"/>
        <v>3135055.5701598581</v>
      </c>
      <c r="GJ22" s="24">
        <f t="shared" si="53"/>
        <v>3135055.5701598581</v>
      </c>
      <c r="GK22" s="24">
        <f t="shared" si="53"/>
        <v>3135055.5701598581</v>
      </c>
      <c r="GL22" s="24">
        <f t="shared" si="53"/>
        <v>3135055.5701598581</v>
      </c>
      <c r="GM22" s="24">
        <f t="shared" si="53"/>
        <v>3135055.5701598581</v>
      </c>
      <c r="GN22" s="24">
        <f t="shared" si="53"/>
        <v>3135055.5701598581</v>
      </c>
      <c r="GO22" s="24">
        <f t="shared" si="53"/>
        <v>3135055.5701598581</v>
      </c>
      <c r="GP22" s="24">
        <f t="shared" si="53"/>
        <v>3135055.5701598581</v>
      </c>
      <c r="GQ22" s="24">
        <f t="shared" si="53"/>
        <v>3135055.5701598581</v>
      </c>
      <c r="GR22" s="24">
        <f t="shared" ref="GR22:IN22" si="54">GR15*$C$15</f>
        <v>3135055.5701598581</v>
      </c>
      <c r="GS22" s="24">
        <f t="shared" si="54"/>
        <v>3135055.5701598581</v>
      </c>
      <c r="GT22" s="24">
        <f t="shared" si="54"/>
        <v>3135055.5701598581</v>
      </c>
      <c r="GU22" s="24">
        <f t="shared" si="54"/>
        <v>3135055.5701598581</v>
      </c>
      <c r="GV22" s="24">
        <f t="shared" si="54"/>
        <v>3135055.5701598581</v>
      </c>
      <c r="GW22" s="24">
        <f t="shared" si="54"/>
        <v>3135055.5701598581</v>
      </c>
      <c r="GX22" s="24">
        <f t="shared" si="54"/>
        <v>3135055.5701598581</v>
      </c>
      <c r="GY22" s="24">
        <f t="shared" si="54"/>
        <v>3135055.5701598581</v>
      </c>
      <c r="GZ22" s="24">
        <f t="shared" si="54"/>
        <v>3135055.5701598581</v>
      </c>
      <c r="HA22" s="24">
        <f t="shared" si="54"/>
        <v>3135055.5701598581</v>
      </c>
      <c r="HB22" s="24">
        <f t="shared" si="54"/>
        <v>3135055.5701598581</v>
      </c>
      <c r="HC22" s="24">
        <f t="shared" si="54"/>
        <v>3135055.5701598581</v>
      </c>
      <c r="HD22" s="24">
        <f t="shared" si="54"/>
        <v>3135055.5701598581</v>
      </c>
      <c r="HE22" s="24">
        <f t="shared" si="54"/>
        <v>3135055.5701598581</v>
      </c>
      <c r="HF22" s="24">
        <f t="shared" si="54"/>
        <v>3135055.5701598581</v>
      </c>
      <c r="HG22" s="24">
        <f t="shared" si="54"/>
        <v>3135055.5701598581</v>
      </c>
      <c r="HH22" s="24">
        <f t="shared" si="54"/>
        <v>3135055.5701598581</v>
      </c>
      <c r="HI22" s="24">
        <f t="shared" si="54"/>
        <v>3135055.5701598581</v>
      </c>
      <c r="HJ22" s="24">
        <f t="shared" si="54"/>
        <v>3135055.5701598581</v>
      </c>
      <c r="HK22" s="24">
        <f t="shared" si="54"/>
        <v>3135055.5701598581</v>
      </c>
      <c r="HL22" s="24">
        <f t="shared" si="54"/>
        <v>3135055.5701598581</v>
      </c>
      <c r="HM22" s="24">
        <f t="shared" si="54"/>
        <v>3135055.5701598581</v>
      </c>
      <c r="HN22" s="24">
        <f t="shared" si="54"/>
        <v>3135055.5701598581</v>
      </c>
      <c r="HO22" s="24">
        <f t="shared" si="54"/>
        <v>3135055.5701598581</v>
      </c>
      <c r="HP22" s="24">
        <f t="shared" si="54"/>
        <v>3135055.5701598581</v>
      </c>
      <c r="HQ22" s="24">
        <f t="shared" si="54"/>
        <v>3135055.5701598581</v>
      </c>
      <c r="HR22" s="24">
        <f t="shared" si="54"/>
        <v>3135055.5701598581</v>
      </c>
      <c r="HS22" s="24">
        <f t="shared" si="54"/>
        <v>3135055.5701598581</v>
      </c>
      <c r="HT22" s="24">
        <f t="shared" si="54"/>
        <v>3135055.5701598581</v>
      </c>
      <c r="HU22" s="24">
        <f t="shared" si="54"/>
        <v>3135055.5701598581</v>
      </c>
      <c r="HV22" s="24">
        <f t="shared" si="54"/>
        <v>3135055.5701598581</v>
      </c>
      <c r="HW22" s="24">
        <f t="shared" si="54"/>
        <v>3135055.5701598581</v>
      </c>
      <c r="HX22" s="24">
        <f t="shared" si="54"/>
        <v>3135055.5701598581</v>
      </c>
      <c r="HY22" s="24">
        <f t="shared" si="54"/>
        <v>3135055.5701598581</v>
      </c>
      <c r="HZ22" s="24">
        <f t="shared" si="54"/>
        <v>3135055.5701598581</v>
      </c>
      <c r="IA22" s="24">
        <f t="shared" si="54"/>
        <v>3135055.5701598581</v>
      </c>
      <c r="IB22" s="24">
        <f t="shared" si="54"/>
        <v>3135055.5701598581</v>
      </c>
      <c r="IC22" s="24">
        <f t="shared" si="54"/>
        <v>3135055.5701598581</v>
      </c>
      <c r="ID22" s="24">
        <f t="shared" si="54"/>
        <v>3135055.5701598581</v>
      </c>
      <c r="IE22" s="24">
        <f t="shared" si="54"/>
        <v>3135055.5701598581</v>
      </c>
      <c r="IF22" s="24">
        <f t="shared" si="54"/>
        <v>3135055.5701598581</v>
      </c>
      <c r="IG22" s="24">
        <f t="shared" si="54"/>
        <v>3135055.5701598581</v>
      </c>
      <c r="IH22" s="24">
        <f t="shared" si="54"/>
        <v>3135055.5701598581</v>
      </c>
      <c r="II22" s="24">
        <f t="shared" si="54"/>
        <v>3135055.5701598581</v>
      </c>
      <c r="IJ22" s="24">
        <f t="shared" si="54"/>
        <v>3135055.5701598581</v>
      </c>
      <c r="IK22" s="24">
        <f t="shared" si="54"/>
        <v>3135055.5701598581</v>
      </c>
      <c r="IL22" s="24">
        <f t="shared" si="54"/>
        <v>3135055.5701598581</v>
      </c>
      <c r="IM22" s="24">
        <f t="shared" si="54"/>
        <v>3135055.5701598581</v>
      </c>
      <c r="IN22" s="24">
        <f t="shared" si="54"/>
        <v>3135055.5701598581</v>
      </c>
    </row>
    <row r="23" spans="2:248" x14ac:dyDescent="0.3">
      <c r="B23" s="19" t="s">
        <v>503</v>
      </c>
      <c r="C23" s="56">
        <f>IF(VLOOKUP(B2,Country_Data!C:J,8,FALSE)="","Not initiated",VLOOKUP(B2,Country_Data!C:J,8,FALSE))</f>
        <v>43904</v>
      </c>
      <c r="F23" s="22" t="s">
        <v>476</v>
      </c>
      <c r="G23" s="27">
        <f t="shared" ref="G23:AE23" ca="1" si="55">IF(G3=TODAY(),1,-1000)</f>
        <v>-1000</v>
      </c>
      <c r="H23" s="27">
        <f t="shared" ca="1" si="55"/>
        <v>-1000</v>
      </c>
      <c r="I23" s="27">
        <f t="shared" ca="1" si="55"/>
        <v>-1000</v>
      </c>
      <c r="J23" s="27">
        <f t="shared" ca="1" si="55"/>
        <v>-1000</v>
      </c>
      <c r="K23" s="27">
        <f t="shared" ca="1" si="55"/>
        <v>-1000</v>
      </c>
      <c r="L23" s="27">
        <f t="shared" ca="1" si="55"/>
        <v>-1000</v>
      </c>
      <c r="M23" s="27">
        <f t="shared" ca="1" si="55"/>
        <v>-1000</v>
      </c>
      <c r="N23" s="27">
        <f t="shared" ca="1" si="55"/>
        <v>-1000</v>
      </c>
      <c r="O23" s="27">
        <f t="shared" ca="1" si="55"/>
        <v>-1000</v>
      </c>
      <c r="P23" s="27">
        <f t="shared" ca="1" si="55"/>
        <v>-1000</v>
      </c>
      <c r="Q23" s="27">
        <f t="shared" ca="1" si="55"/>
        <v>-1000</v>
      </c>
      <c r="R23" s="27">
        <f t="shared" ca="1" si="55"/>
        <v>-1000</v>
      </c>
      <c r="S23" s="27">
        <f t="shared" ca="1" si="55"/>
        <v>-1000</v>
      </c>
      <c r="T23" s="27">
        <f t="shared" ca="1" si="55"/>
        <v>-1000</v>
      </c>
      <c r="U23" s="27">
        <f t="shared" ca="1" si="55"/>
        <v>-1000</v>
      </c>
      <c r="V23" s="27">
        <f t="shared" ca="1" si="55"/>
        <v>-1000</v>
      </c>
      <c r="W23" s="27">
        <f t="shared" ca="1" si="55"/>
        <v>-1000</v>
      </c>
      <c r="X23" s="27">
        <f t="shared" ca="1" si="55"/>
        <v>1</v>
      </c>
      <c r="Y23" s="27">
        <f t="shared" ca="1" si="55"/>
        <v>-1000</v>
      </c>
      <c r="Z23" s="27">
        <f t="shared" ca="1" si="55"/>
        <v>-1000</v>
      </c>
      <c r="AA23" s="27">
        <f t="shared" ca="1" si="55"/>
        <v>-1000</v>
      </c>
      <c r="AB23" s="27">
        <f t="shared" ca="1" si="55"/>
        <v>-1000</v>
      </c>
      <c r="AC23" s="27">
        <f t="shared" ca="1" si="55"/>
        <v>-1000</v>
      </c>
      <c r="AD23" s="27">
        <f t="shared" ca="1" si="55"/>
        <v>-1000</v>
      </c>
      <c r="AE23" s="27">
        <f t="shared" ca="1" si="55"/>
        <v>-1000</v>
      </c>
      <c r="AF23" s="27">
        <f ca="1">IF(AF3=TODAY(),1,-1000)</f>
        <v>-1000</v>
      </c>
      <c r="AG23" s="27">
        <f t="shared" ref="AG23:CR23" ca="1" si="56">IF(AG3=TODAY(),1,-1000)</f>
        <v>-1000</v>
      </c>
      <c r="AH23" s="27">
        <f t="shared" ca="1" si="56"/>
        <v>-1000</v>
      </c>
      <c r="AI23" s="27">
        <f t="shared" ca="1" si="56"/>
        <v>-1000</v>
      </c>
      <c r="AJ23" s="27">
        <f t="shared" ca="1" si="56"/>
        <v>-1000</v>
      </c>
      <c r="AK23" s="27">
        <f t="shared" ca="1" si="56"/>
        <v>-1000</v>
      </c>
      <c r="AL23" s="27">
        <f t="shared" ca="1" si="56"/>
        <v>-1000</v>
      </c>
      <c r="AM23" s="27">
        <f t="shared" ca="1" si="56"/>
        <v>-1000</v>
      </c>
      <c r="AN23" s="27">
        <f t="shared" ca="1" si="56"/>
        <v>-1000</v>
      </c>
      <c r="AO23" s="27">
        <f t="shared" ca="1" si="56"/>
        <v>-1000</v>
      </c>
      <c r="AP23" s="27">
        <f t="shared" ca="1" si="56"/>
        <v>-1000</v>
      </c>
      <c r="AQ23" s="27">
        <f t="shared" ca="1" si="56"/>
        <v>-1000</v>
      </c>
      <c r="AR23" s="27">
        <f t="shared" ca="1" si="56"/>
        <v>-1000</v>
      </c>
      <c r="AS23" s="27">
        <f t="shared" ca="1" si="56"/>
        <v>-1000</v>
      </c>
      <c r="AT23" s="27">
        <f t="shared" ca="1" si="56"/>
        <v>-1000</v>
      </c>
      <c r="AU23" s="27">
        <f t="shared" ca="1" si="56"/>
        <v>-1000</v>
      </c>
      <c r="AV23" s="27">
        <f t="shared" ca="1" si="56"/>
        <v>-1000</v>
      </c>
      <c r="AW23" s="27">
        <f t="shared" ca="1" si="56"/>
        <v>-1000</v>
      </c>
      <c r="AX23" s="27">
        <f t="shared" ca="1" si="56"/>
        <v>-1000</v>
      </c>
      <c r="AY23" s="27">
        <f t="shared" ca="1" si="56"/>
        <v>-1000</v>
      </c>
      <c r="AZ23" s="27">
        <f t="shared" ca="1" si="56"/>
        <v>-1000</v>
      </c>
      <c r="BA23" s="27">
        <f t="shared" ca="1" si="56"/>
        <v>-1000</v>
      </c>
      <c r="BB23" s="27">
        <f t="shared" ca="1" si="56"/>
        <v>-1000</v>
      </c>
      <c r="BC23" s="27">
        <f t="shared" ca="1" si="56"/>
        <v>-1000</v>
      </c>
      <c r="BD23" s="27">
        <f t="shared" ca="1" si="56"/>
        <v>-1000</v>
      </c>
      <c r="BE23" s="27">
        <f t="shared" ca="1" si="56"/>
        <v>-1000</v>
      </c>
      <c r="BF23" s="27">
        <f t="shared" ca="1" si="56"/>
        <v>-1000</v>
      </c>
      <c r="BG23" s="27">
        <f t="shared" ca="1" si="56"/>
        <v>-1000</v>
      </c>
      <c r="BH23" s="27">
        <f t="shared" ca="1" si="56"/>
        <v>-1000</v>
      </c>
      <c r="BI23" s="27">
        <f t="shared" ca="1" si="56"/>
        <v>-1000</v>
      </c>
      <c r="BJ23" s="27">
        <f t="shared" ca="1" si="56"/>
        <v>-1000</v>
      </c>
      <c r="BK23" s="27">
        <f t="shared" ca="1" si="56"/>
        <v>-1000</v>
      </c>
      <c r="BL23" s="27">
        <f t="shared" ca="1" si="56"/>
        <v>-1000</v>
      </c>
      <c r="BM23" s="27">
        <f t="shared" ca="1" si="56"/>
        <v>-1000</v>
      </c>
      <c r="BN23" s="27">
        <f t="shared" ca="1" si="56"/>
        <v>-1000</v>
      </c>
      <c r="BO23" s="27">
        <f t="shared" ca="1" si="56"/>
        <v>-1000</v>
      </c>
      <c r="BP23" s="27">
        <f t="shared" ca="1" si="56"/>
        <v>-1000</v>
      </c>
      <c r="BQ23" s="27">
        <f t="shared" ca="1" si="56"/>
        <v>-1000</v>
      </c>
      <c r="BR23" s="27">
        <f t="shared" ca="1" si="56"/>
        <v>-1000</v>
      </c>
      <c r="BS23" s="27">
        <f t="shared" ca="1" si="56"/>
        <v>-1000</v>
      </c>
      <c r="BT23" s="27">
        <f t="shared" ca="1" si="56"/>
        <v>-1000</v>
      </c>
      <c r="BU23" s="27">
        <f t="shared" ca="1" si="56"/>
        <v>-1000</v>
      </c>
      <c r="BV23" s="27">
        <f t="shared" ca="1" si="56"/>
        <v>-1000</v>
      </c>
      <c r="BW23" s="27">
        <f t="shared" ca="1" si="56"/>
        <v>-1000</v>
      </c>
      <c r="BX23" s="27">
        <f t="shared" ca="1" si="56"/>
        <v>-1000</v>
      </c>
      <c r="BY23" s="27">
        <f t="shared" ca="1" si="56"/>
        <v>-1000</v>
      </c>
      <c r="BZ23" s="27">
        <f t="shared" ca="1" si="56"/>
        <v>-1000</v>
      </c>
      <c r="CA23" s="27">
        <f t="shared" ca="1" si="56"/>
        <v>-1000</v>
      </c>
      <c r="CB23" s="27">
        <f t="shared" ca="1" si="56"/>
        <v>-1000</v>
      </c>
      <c r="CC23" s="27">
        <f t="shared" ca="1" si="56"/>
        <v>-1000</v>
      </c>
      <c r="CD23" s="27">
        <f t="shared" ca="1" si="56"/>
        <v>-1000</v>
      </c>
      <c r="CE23" s="27">
        <f t="shared" ca="1" si="56"/>
        <v>-1000</v>
      </c>
      <c r="CF23" s="27">
        <f t="shared" ca="1" si="56"/>
        <v>-1000</v>
      </c>
      <c r="CG23" s="27">
        <f t="shared" ca="1" si="56"/>
        <v>-1000</v>
      </c>
      <c r="CH23" s="27">
        <f t="shared" ca="1" si="56"/>
        <v>-1000</v>
      </c>
      <c r="CI23" s="27">
        <f t="shared" ca="1" si="56"/>
        <v>-1000</v>
      </c>
      <c r="CJ23" s="27">
        <f t="shared" ca="1" si="56"/>
        <v>-1000</v>
      </c>
      <c r="CK23" s="27">
        <f t="shared" ca="1" si="56"/>
        <v>-1000</v>
      </c>
      <c r="CL23" s="27">
        <f t="shared" ca="1" si="56"/>
        <v>-1000</v>
      </c>
      <c r="CM23" s="27">
        <f t="shared" ca="1" si="56"/>
        <v>-1000</v>
      </c>
      <c r="CN23" s="27">
        <f t="shared" ca="1" si="56"/>
        <v>-1000</v>
      </c>
      <c r="CO23" s="27">
        <f t="shared" ca="1" si="56"/>
        <v>-1000</v>
      </c>
      <c r="CP23" s="27">
        <f t="shared" ca="1" si="56"/>
        <v>-1000</v>
      </c>
      <c r="CQ23" s="27">
        <f t="shared" ca="1" si="56"/>
        <v>-1000</v>
      </c>
      <c r="CR23" s="27">
        <f t="shared" ca="1" si="56"/>
        <v>-1000</v>
      </c>
      <c r="CS23" s="27">
        <f t="shared" ref="CS23:FD23" ca="1" si="57">IF(CS3=TODAY(),1,-1000)</f>
        <v>-1000</v>
      </c>
      <c r="CT23" s="27">
        <f t="shared" ca="1" si="57"/>
        <v>-1000</v>
      </c>
      <c r="CU23" s="27">
        <f t="shared" ca="1" si="57"/>
        <v>-1000</v>
      </c>
      <c r="CV23" s="27">
        <f t="shared" ca="1" si="57"/>
        <v>-1000</v>
      </c>
      <c r="CW23" s="27">
        <f t="shared" ca="1" si="57"/>
        <v>-1000</v>
      </c>
      <c r="CX23" s="27">
        <f t="shared" ca="1" si="57"/>
        <v>-1000</v>
      </c>
      <c r="CY23" s="27">
        <f t="shared" ca="1" si="57"/>
        <v>-1000</v>
      </c>
      <c r="CZ23" s="27">
        <f t="shared" ca="1" si="57"/>
        <v>-1000</v>
      </c>
      <c r="DA23" s="27">
        <f t="shared" ca="1" si="57"/>
        <v>-1000</v>
      </c>
      <c r="DB23" s="27">
        <f t="shared" ca="1" si="57"/>
        <v>-1000</v>
      </c>
      <c r="DC23" s="27">
        <f t="shared" ca="1" si="57"/>
        <v>-1000</v>
      </c>
      <c r="DD23" s="27">
        <f t="shared" ca="1" si="57"/>
        <v>-1000</v>
      </c>
      <c r="DE23" s="27">
        <f t="shared" ca="1" si="57"/>
        <v>-1000</v>
      </c>
      <c r="DF23" s="27">
        <f t="shared" ca="1" si="57"/>
        <v>-1000</v>
      </c>
      <c r="DG23" s="27">
        <f t="shared" ca="1" si="57"/>
        <v>-1000</v>
      </c>
      <c r="DH23" s="27">
        <f t="shared" ca="1" si="57"/>
        <v>-1000</v>
      </c>
      <c r="DI23" s="27">
        <f t="shared" ca="1" si="57"/>
        <v>-1000</v>
      </c>
      <c r="DJ23" s="27">
        <f t="shared" ca="1" si="57"/>
        <v>-1000</v>
      </c>
      <c r="DK23" s="27">
        <f t="shared" ca="1" si="57"/>
        <v>-1000</v>
      </c>
      <c r="DL23" s="27">
        <f t="shared" ca="1" si="57"/>
        <v>-1000</v>
      </c>
      <c r="DM23" s="27">
        <f t="shared" ca="1" si="57"/>
        <v>-1000</v>
      </c>
      <c r="DN23" s="27">
        <f t="shared" ca="1" si="57"/>
        <v>-1000</v>
      </c>
      <c r="DO23" s="27">
        <f t="shared" ca="1" si="57"/>
        <v>-1000</v>
      </c>
      <c r="DP23" s="27">
        <f t="shared" ca="1" si="57"/>
        <v>-1000</v>
      </c>
      <c r="DQ23" s="27">
        <f t="shared" ca="1" si="57"/>
        <v>-1000</v>
      </c>
      <c r="DR23" s="27">
        <f t="shared" ca="1" si="57"/>
        <v>-1000</v>
      </c>
      <c r="DS23" s="27">
        <f t="shared" ca="1" si="57"/>
        <v>-1000</v>
      </c>
      <c r="DT23" s="27">
        <f t="shared" ca="1" si="57"/>
        <v>-1000</v>
      </c>
      <c r="DU23" s="27">
        <f t="shared" ca="1" si="57"/>
        <v>-1000</v>
      </c>
      <c r="DV23" s="27">
        <f t="shared" ca="1" si="57"/>
        <v>-1000</v>
      </c>
      <c r="DW23" s="27">
        <f t="shared" ca="1" si="57"/>
        <v>-1000</v>
      </c>
      <c r="DX23" s="27">
        <f t="shared" ca="1" si="57"/>
        <v>-1000</v>
      </c>
      <c r="DY23" s="27">
        <f t="shared" ca="1" si="57"/>
        <v>-1000</v>
      </c>
      <c r="DZ23" s="27">
        <f t="shared" ca="1" si="57"/>
        <v>-1000</v>
      </c>
      <c r="EA23" s="27">
        <f t="shared" ca="1" si="57"/>
        <v>-1000</v>
      </c>
      <c r="EB23" s="27">
        <f t="shared" ca="1" si="57"/>
        <v>-1000</v>
      </c>
      <c r="EC23" s="27">
        <f t="shared" ca="1" si="57"/>
        <v>-1000</v>
      </c>
      <c r="ED23" s="27">
        <f t="shared" ca="1" si="57"/>
        <v>-1000</v>
      </c>
      <c r="EE23" s="27">
        <f t="shared" ca="1" si="57"/>
        <v>-1000</v>
      </c>
      <c r="EF23" s="27">
        <f t="shared" ca="1" si="57"/>
        <v>-1000</v>
      </c>
      <c r="EG23" s="27">
        <f t="shared" ca="1" si="57"/>
        <v>-1000</v>
      </c>
      <c r="EH23" s="27">
        <f t="shared" ca="1" si="57"/>
        <v>-1000</v>
      </c>
      <c r="EI23" s="27">
        <f t="shared" ca="1" si="57"/>
        <v>-1000</v>
      </c>
      <c r="EJ23" s="27">
        <f t="shared" ca="1" si="57"/>
        <v>-1000</v>
      </c>
      <c r="EK23" s="27">
        <f t="shared" ca="1" si="57"/>
        <v>-1000</v>
      </c>
      <c r="EL23" s="27">
        <f t="shared" ca="1" si="57"/>
        <v>-1000</v>
      </c>
      <c r="EM23" s="27">
        <f t="shared" ca="1" si="57"/>
        <v>-1000</v>
      </c>
      <c r="EN23" s="27">
        <f t="shared" ca="1" si="57"/>
        <v>-1000</v>
      </c>
      <c r="EO23" s="27">
        <f t="shared" ca="1" si="57"/>
        <v>-1000</v>
      </c>
      <c r="EP23" s="27">
        <f t="shared" ca="1" si="57"/>
        <v>-1000</v>
      </c>
      <c r="EQ23" s="27">
        <f t="shared" ca="1" si="57"/>
        <v>-1000</v>
      </c>
      <c r="ER23" s="27">
        <f t="shared" ca="1" si="57"/>
        <v>-1000</v>
      </c>
      <c r="ES23" s="27">
        <f t="shared" ca="1" si="57"/>
        <v>-1000</v>
      </c>
      <c r="ET23" s="27">
        <f t="shared" ca="1" si="57"/>
        <v>-1000</v>
      </c>
      <c r="EU23" s="27">
        <f t="shared" ca="1" si="57"/>
        <v>-1000</v>
      </c>
      <c r="EV23" s="27">
        <f t="shared" ca="1" si="57"/>
        <v>-1000</v>
      </c>
      <c r="EW23" s="27">
        <f t="shared" ca="1" si="57"/>
        <v>-1000</v>
      </c>
      <c r="EX23" s="27">
        <f t="shared" ca="1" si="57"/>
        <v>-1000</v>
      </c>
      <c r="EY23" s="27">
        <f t="shared" ca="1" si="57"/>
        <v>-1000</v>
      </c>
      <c r="EZ23" s="27">
        <f t="shared" ca="1" si="57"/>
        <v>-1000</v>
      </c>
      <c r="FA23" s="27">
        <f t="shared" ca="1" si="57"/>
        <v>-1000</v>
      </c>
      <c r="FB23" s="27">
        <f t="shared" ca="1" si="57"/>
        <v>-1000</v>
      </c>
      <c r="FC23" s="27">
        <f t="shared" ca="1" si="57"/>
        <v>-1000</v>
      </c>
      <c r="FD23" s="27">
        <f t="shared" ca="1" si="57"/>
        <v>-1000</v>
      </c>
      <c r="FE23" s="27">
        <f t="shared" ref="FE23:HP23" ca="1" si="58">IF(FE3=TODAY(),1,-1000)</f>
        <v>-1000</v>
      </c>
      <c r="FF23" s="27">
        <f t="shared" ca="1" si="58"/>
        <v>-1000</v>
      </c>
      <c r="FG23" s="27">
        <f t="shared" ca="1" si="58"/>
        <v>-1000</v>
      </c>
      <c r="FH23" s="27">
        <f t="shared" ca="1" si="58"/>
        <v>-1000</v>
      </c>
      <c r="FI23" s="27">
        <f t="shared" ca="1" si="58"/>
        <v>-1000</v>
      </c>
      <c r="FJ23" s="27">
        <f t="shared" ca="1" si="58"/>
        <v>-1000</v>
      </c>
      <c r="FK23" s="27">
        <f t="shared" ca="1" si="58"/>
        <v>-1000</v>
      </c>
      <c r="FL23" s="27">
        <f t="shared" ca="1" si="58"/>
        <v>-1000</v>
      </c>
      <c r="FM23" s="27">
        <f t="shared" ca="1" si="58"/>
        <v>-1000</v>
      </c>
      <c r="FN23" s="27">
        <f t="shared" ca="1" si="58"/>
        <v>-1000</v>
      </c>
      <c r="FO23" s="27">
        <f t="shared" ca="1" si="58"/>
        <v>-1000</v>
      </c>
      <c r="FP23" s="27">
        <f t="shared" ca="1" si="58"/>
        <v>-1000</v>
      </c>
      <c r="FQ23" s="27">
        <f t="shared" ca="1" si="58"/>
        <v>-1000</v>
      </c>
      <c r="FR23" s="27">
        <f t="shared" ca="1" si="58"/>
        <v>-1000</v>
      </c>
      <c r="FS23" s="27">
        <f t="shared" ca="1" si="58"/>
        <v>-1000</v>
      </c>
      <c r="FT23" s="27">
        <f t="shared" ca="1" si="58"/>
        <v>-1000</v>
      </c>
      <c r="FU23" s="27">
        <f t="shared" ca="1" si="58"/>
        <v>-1000</v>
      </c>
      <c r="FV23" s="27">
        <f t="shared" ca="1" si="58"/>
        <v>-1000</v>
      </c>
      <c r="FW23" s="27">
        <f t="shared" ca="1" si="58"/>
        <v>-1000</v>
      </c>
      <c r="FX23" s="27">
        <f t="shared" ca="1" si="58"/>
        <v>-1000</v>
      </c>
      <c r="FY23" s="27">
        <f t="shared" ca="1" si="58"/>
        <v>-1000</v>
      </c>
      <c r="FZ23" s="27">
        <f t="shared" ca="1" si="58"/>
        <v>-1000</v>
      </c>
      <c r="GA23" s="27">
        <f t="shared" ca="1" si="58"/>
        <v>-1000</v>
      </c>
      <c r="GB23" s="27">
        <f t="shared" ca="1" si="58"/>
        <v>-1000</v>
      </c>
      <c r="GC23" s="27">
        <f t="shared" ca="1" si="58"/>
        <v>-1000</v>
      </c>
      <c r="GD23" s="27">
        <f t="shared" ca="1" si="58"/>
        <v>-1000</v>
      </c>
      <c r="GE23" s="27">
        <f t="shared" ca="1" si="58"/>
        <v>-1000</v>
      </c>
      <c r="GF23" s="27">
        <f t="shared" ca="1" si="58"/>
        <v>-1000</v>
      </c>
      <c r="GG23" s="27">
        <f t="shared" ca="1" si="58"/>
        <v>-1000</v>
      </c>
      <c r="GH23" s="27">
        <f t="shared" ca="1" si="58"/>
        <v>-1000</v>
      </c>
      <c r="GI23" s="27">
        <f t="shared" ca="1" si="58"/>
        <v>-1000</v>
      </c>
      <c r="GJ23" s="27">
        <f t="shared" ca="1" si="58"/>
        <v>-1000</v>
      </c>
      <c r="GK23" s="27">
        <f t="shared" ca="1" si="58"/>
        <v>-1000</v>
      </c>
      <c r="GL23" s="27">
        <f t="shared" ca="1" si="58"/>
        <v>-1000</v>
      </c>
      <c r="GM23" s="27">
        <f t="shared" ca="1" si="58"/>
        <v>-1000</v>
      </c>
      <c r="GN23" s="27">
        <f t="shared" ca="1" si="58"/>
        <v>-1000</v>
      </c>
      <c r="GO23" s="27">
        <f t="shared" ca="1" si="58"/>
        <v>-1000</v>
      </c>
      <c r="GP23" s="27">
        <f t="shared" ca="1" si="58"/>
        <v>-1000</v>
      </c>
      <c r="GQ23" s="27">
        <f t="shared" ca="1" si="58"/>
        <v>-1000</v>
      </c>
      <c r="GR23" s="27">
        <f t="shared" ca="1" si="58"/>
        <v>-1000</v>
      </c>
      <c r="GS23" s="27">
        <f t="shared" ca="1" si="58"/>
        <v>-1000</v>
      </c>
      <c r="GT23" s="27">
        <f t="shared" ca="1" si="58"/>
        <v>-1000</v>
      </c>
      <c r="GU23" s="27">
        <f t="shared" ca="1" si="58"/>
        <v>-1000</v>
      </c>
      <c r="GV23" s="27">
        <f t="shared" ca="1" si="58"/>
        <v>-1000</v>
      </c>
      <c r="GW23" s="27">
        <f t="shared" ca="1" si="58"/>
        <v>-1000</v>
      </c>
      <c r="GX23" s="27">
        <f t="shared" ca="1" si="58"/>
        <v>-1000</v>
      </c>
      <c r="GY23" s="27">
        <f t="shared" ca="1" si="58"/>
        <v>-1000</v>
      </c>
      <c r="GZ23" s="27">
        <f t="shared" ca="1" si="58"/>
        <v>-1000</v>
      </c>
      <c r="HA23" s="27">
        <f t="shared" ca="1" si="58"/>
        <v>-1000</v>
      </c>
      <c r="HB23" s="27">
        <f t="shared" ca="1" si="58"/>
        <v>-1000</v>
      </c>
      <c r="HC23" s="27">
        <f t="shared" ca="1" si="58"/>
        <v>-1000</v>
      </c>
      <c r="HD23" s="27">
        <f t="shared" ca="1" si="58"/>
        <v>-1000</v>
      </c>
      <c r="HE23" s="27">
        <f t="shared" ca="1" si="58"/>
        <v>-1000</v>
      </c>
      <c r="HF23" s="27">
        <f t="shared" ca="1" si="58"/>
        <v>-1000</v>
      </c>
      <c r="HG23" s="27">
        <f t="shared" ca="1" si="58"/>
        <v>-1000</v>
      </c>
      <c r="HH23" s="27">
        <f t="shared" ca="1" si="58"/>
        <v>-1000</v>
      </c>
      <c r="HI23" s="27">
        <f t="shared" ca="1" si="58"/>
        <v>-1000</v>
      </c>
      <c r="HJ23" s="27">
        <f t="shared" ca="1" si="58"/>
        <v>-1000</v>
      </c>
      <c r="HK23" s="27">
        <f t="shared" ca="1" si="58"/>
        <v>-1000</v>
      </c>
      <c r="HL23" s="27">
        <f t="shared" ca="1" si="58"/>
        <v>-1000</v>
      </c>
      <c r="HM23" s="27">
        <f t="shared" ca="1" si="58"/>
        <v>-1000</v>
      </c>
      <c r="HN23" s="27">
        <f t="shared" ca="1" si="58"/>
        <v>-1000</v>
      </c>
      <c r="HO23" s="27">
        <f t="shared" ca="1" si="58"/>
        <v>-1000</v>
      </c>
      <c r="HP23" s="27">
        <f t="shared" ca="1" si="58"/>
        <v>-1000</v>
      </c>
      <c r="HQ23" s="27">
        <f t="shared" ref="HQ23:IN23" ca="1" si="59">IF(HQ3=TODAY(),1,-1000)</f>
        <v>-1000</v>
      </c>
      <c r="HR23" s="27">
        <f t="shared" ca="1" si="59"/>
        <v>-1000</v>
      </c>
      <c r="HS23" s="27">
        <f t="shared" ca="1" si="59"/>
        <v>-1000</v>
      </c>
      <c r="HT23" s="27">
        <f t="shared" ca="1" si="59"/>
        <v>-1000</v>
      </c>
      <c r="HU23" s="27">
        <f t="shared" ca="1" si="59"/>
        <v>-1000</v>
      </c>
      <c r="HV23" s="27">
        <f t="shared" ca="1" si="59"/>
        <v>-1000</v>
      </c>
      <c r="HW23" s="27">
        <f t="shared" ca="1" si="59"/>
        <v>-1000</v>
      </c>
      <c r="HX23" s="27">
        <f t="shared" ca="1" si="59"/>
        <v>-1000</v>
      </c>
      <c r="HY23" s="27">
        <f t="shared" ca="1" si="59"/>
        <v>-1000</v>
      </c>
      <c r="HZ23" s="27">
        <f t="shared" ca="1" si="59"/>
        <v>-1000</v>
      </c>
      <c r="IA23" s="27">
        <f t="shared" ca="1" si="59"/>
        <v>-1000</v>
      </c>
      <c r="IB23" s="27">
        <f t="shared" ca="1" si="59"/>
        <v>-1000</v>
      </c>
      <c r="IC23" s="27">
        <f t="shared" ca="1" si="59"/>
        <v>-1000</v>
      </c>
      <c r="ID23" s="27">
        <f t="shared" ca="1" si="59"/>
        <v>-1000</v>
      </c>
      <c r="IE23" s="27">
        <f t="shared" ca="1" si="59"/>
        <v>-1000</v>
      </c>
      <c r="IF23" s="27">
        <f t="shared" ca="1" si="59"/>
        <v>-1000</v>
      </c>
      <c r="IG23" s="27">
        <f t="shared" ca="1" si="59"/>
        <v>-1000</v>
      </c>
      <c r="IH23" s="27">
        <f t="shared" ca="1" si="59"/>
        <v>-1000</v>
      </c>
      <c r="II23" s="27">
        <f t="shared" ca="1" si="59"/>
        <v>-1000</v>
      </c>
      <c r="IJ23" s="27">
        <f t="shared" ca="1" si="59"/>
        <v>-1000</v>
      </c>
      <c r="IK23" s="27">
        <f t="shared" ca="1" si="59"/>
        <v>-1000</v>
      </c>
      <c r="IL23" s="27">
        <f t="shared" ca="1" si="59"/>
        <v>-1000</v>
      </c>
      <c r="IM23" s="27">
        <f t="shared" ca="1" si="59"/>
        <v>-1000</v>
      </c>
      <c r="IN23" s="27">
        <f t="shared" ca="1" si="59"/>
        <v>-1000</v>
      </c>
    </row>
    <row r="24" spans="2:248" x14ac:dyDescent="0.3">
      <c r="B24" s="19" t="s">
        <v>502</v>
      </c>
      <c r="C24" s="56">
        <f>IF(VLOOKUP(B2,Country_Data!C:I,7,FALSE)="","Not initiated",VLOOKUP(B2,Country_Data!C:I,7,FALSE))</f>
        <v>43910</v>
      </c>
      <c r="F24" s="22" t="s">
        <v>477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60">IF(AND(I18&gt;I17,H18&lt;H17),1,0)</f>
        <v>0</v>
      </c>
      <c r="J24" s="26">
        <f t="shared" si="60"/>
        <v>0</v>
      </c>
      <c r="K24" s="26">
        <f t="shared" si="60"/>
        <v>0</v>
      </c>
      <c r="L24" s="26">
        <f t="shared" si="60"/>
        <v>0</v>
      </c>
      <c r="M24" s="26">
        <f t="shared" si="60"/>
        <v>0</v>
      </c>
      <c r="N24" s="26">
        <f t="shared" si="60"/>
        <v>0</v>
      </c>
      <c r="O24" s="26">
        <f t="shared" si="60"/>
        <v>0</v>
      </c>
      <c r="P24" s="26">
        <f t="shared" si="60"/>
        <v>0</v>
      </c>
      <c r="Q24" s="26">
        <f t="shared" si="60"/>
        <v>0</v>
      </c>
      <c r="R24" s="26">
        <f t="shared" si="60"/>
        <v>0</v>
      </c>
      <c r="S24" s="26">
        <f t="shared" si="60"/>
        <v>0</v>
      </c>
      <c r="T24" s="26">
        <f t="shared" si="60"/>
        <v>0</v>
      </c>
      <c r="U24" s="26">
        <f t="shared" si="60"/>
        <v>0</v>
      </c>
      <c r="V24" s="26">
        <f t="shared" si="60"/>
        <v>0</v>
      </c>
      <c r="W24" s="26">
        <f t="shared" si="60"/>
        <v>0</v>
      </c>
      <c r="X24" s="26">
        <f t="shared" si="60"/>
        <v>0</v>
      </c>
      <c r="Y24" s="26">
        <f t="shared" si="60"/>
        <v>0</v>
      </c>
      <c r="Z24" s="26">
        <f t="shared" si="60"/>
        <v>0</v>
      </c>
      <c r="AA24" s="26">
        <f t="shared" si="60"/>
        <v>0</v>
      </c>
      <c r="AB24" s="26">
        <f t="shared" si="60"/>
        <v>0</v>
      </c>
      <c r="AC24" s="26">
        <f t="shared" si="60"/>
        <v>0</v>
      </c>
      <c r="AD24" s="26">
        <f t="shared" si="60"/>
        <v>0</v>
      </c>
      <c r="AE24" s="26">
        <f t="shared" si="60"/>
        <v>0</v>
      </c>
      <c r="AF24" s="26">
        <f t="shared" si="60"/>
        <v>1</v>
      </c>
      <c r="AG24" s="26">
        <f t="shared" si="60"/>
        <v>0</v>
      </c>
      <c r="AH24" s="26">
        <f t="shared" si="60"/>
        <v>0</v>
      </c>
      <c r="AI24" s="26">
        <f t="shared" si="60"/>
        <v>0</v>
      </c>
      <c r="AJ24" s="26">
        <f>IF(AND(AJ18&gt;AJ17,AI18&lt;AI17),1,0)</f>
        <v>0</v>
      </c>
      <c r="AK24" s="26">
        <f t="shared" si="60"/>
        <v>0</v>
      </c>
      <c r="AL24" s="26">
        <f t="shared" si="60"/>
        <v>0</v>
      </c>
      <c r="AM24" s="26">
        <f t="shared" si="60"/>
        <v>0</v>
      </c>
      <c r="AN24" s="26">
        <f t="shared" si="60"/>
        <v>0</v>
      </c>
      <c r="AO24" s="26">
        <f t="shared" si="60"/>
        <v>0</v>
      </c>
      <c r="AP24" s="26">
        <f t="shared" si="60"/>
        <v>0</v>
      </c>
      <c r="AQ24" s="26">
        <f t="shared" si="60"/>
        <v>0</v>
      </c>
      <c r="AR24" s="26">
        <f t="shared" si="60"/>
        <v>0</v>
      </c>
      <c r="AS24" s="26">
        <f t="shared" si="60"/>
        <v>0</v>
      </c>
      <c r="AT24" s="26">
        <f t="shared" si="60"/>
        <v>0</v>
      </c>
      <c r="AU24" s="26">
        <f t="shared" si="60"/>
        <v>0</v>
      </c>
      <c r="AV24" s="26">
        <f t="shared" si="60"/>
        <v>0</v>
      </c>
      <c r="AW24" s="26">
        <f t="shared" si="60"/>
        <v>0</v>
      </c>
      <c r="AX24" s="26">
        <f t="shared" si="60"/>
        <v>0</v>
      </c>
      <c r="AY24" s="26">
        <f t="shared" si="60"/>
        <v>0</v>
      </c>
      <c r="AZ24" s="26">
        <f t="shared" si="60"/>
        <v>0</v>
      </c>
      <c r="BA24" s="26">
        <f t="shared" si="60"/>
        <v>0</v>
      </c>
      <c r="BB24" s="26">
        <f t="shared" si="60"/>
        <v>0</v>
      </c>
      <c r="BC24" s="26">
        <f t="shared" si="60"/>
        <v>0</v>
      </c>
      <c r="BD24" s="26">
        <f t="shared" si="60"/>
        <v>0</v>
      </c>
      <c r="BE24" s="26">
        <f t="shared" si="60"/>
        <v>0</v>
      </c>
      <c r="BF24" s="26">
        <f t="shared" si="60"/>
        <v>0</v>
      </c>
      <c r="BG24" s="26">
        <f t="shared" si="60"/>
        <v>0</v>
      </c>
      <c r="BH24" s="26">
        <f t="shared" si="60"/>
        <v>0</v>
      </c>
      <c r="BI24" s="26">
        <f t="shared" si="60"/>
        <v>0</v>
      </c>
      <c r="BJ24" s="26">
        <f t="shared" si="60"/>
        <v>0</v>
      </c>
      <c r="BK24" s="26">
        <f t="shared" si="60"/>
        <v>0</v>
      </c>
      <c r="BL24" s="26">
        <f t="shared" si="60"/>
        <v>0</v>
      </c>
      <c r="BM24" s="26">
        <f t="shared" si="60"/>
        <v>0</v>
      </c>
      <c r="BN24" s="26">
        <f t="shared" si="60"/>
        <v>0</v>
      </c>
      <c r="BO24" s="26">
        <f t="shared" si="60"/>
        <v>0</v>
      </c>
      <c r="BP24" s="26">
        <f t="shared" si="60"/>
        <v>0</v>
      </c>
      <c r="BQ24" s="26">
        <f t="shared" si="60"/>
        <v>0</v>
      </c>
      <c r="BR24" s="26">
        <f t="shared" si="60"/>
        <v>0</v>
      </c>
      <c r="BS24" s="26">
        <f t="shared" si="60"/>
        <v>0</v>
      </c>
      <c r="BT24" s="26">
        <f t="shared" ref="BT24:EE24" si="61">IF(AND(BT18&gt;BT17,BS18&lt;BS17),1,0)</f>
        <v>0</v>
      </c>
      <c r="BU24" s="26">
        <f t="shared" si="61"/>
        <v>0</v>
      </c>
      <c r="BV24" s="26">
        <f t="shared" si="61"/>
        <v>0</v>
      </c>
      <c r="BW24" s="26">
        <f t="shared" si="61"/>
        <v>0</v>
      </c>
      <c r="BX24" s="26">
        <f t="shared" si="61"/>
        <v>0</v>
      </c>
      <c r="BY24" s="26">
        <f t="shared" si="61"/>
        <v>0</v>
      </c>
      <c r="BZ24" s="26">
        <f t="shared" si="61"/>
        <v>0</v>
      </c>
      <c r="CA24" s="26">
        <f t="shared" si="61"/>
        <v>0</v>
      </c>
      <c r="CB24" s="26">
        <f t="shared" si="61"/>
        <v>0</v>
      </c>
      <c r="CC24" s="26">
        <f t="shared" si="61"/>
        <v>0</v>
      </c>
      <c r="CD24" s="26">
        <f t="shared" si="61"/>
        <v>0</v>
      </c>
      <c r="CE24" s="26">
        <f t="shared" si="61"/>
        <v>0</v>
      </c>
      <c r="CF24" s="26">
        <f t="shared" si="61"/>
        <v>0</v>
      </c>
      <c r="CG24" s="26">
        <f t="shared" si="61"/>
        <v>0</v>
      </c>
      <c r="CH24" s="26">
        <f t="shared" si="61"/>
        <v>0</v>
      </c>
      <c r="CI24" s="26">
        <f t="shared" si="61"/>
        <v>0</v>
      </c>
      <c r="CJ24" s="26">
        <f t="shared" si="61"/>
        <v>0</v>
      </c>
      <c r="CK24" s="26">
        <f t="shared" si="61"/>
        <v>0</v>
      </c>
      <c r="CL24" s="26">
        <f t="shared" si="61"/>
        <v>0</v>
      </c>
      <c r="CM24" s="26">
        <f t="shared" si="61"/>
        <v>0</v>
      </c>
      <c r="CN24" s="26">
        <f t="shared" si="61"/>
        <v>0</v>
      </c>
      <c r="CO24" s="26">
        <f t="shared" si="61"/>
        <v>0</v>
      </c>
      <c r="CP24" s="26">
        <f t="shared" si="61"/>
        <v>0</v>
      </c>
      <c r="CQ24" s="26">
        <f t="shared" si="61"/>
        <v>0</v>
      </c>
      <c r="CR24" s="26">
        <f t="shared" si="61"/>
        <v>0</v>
      </c>
      <c r="CS24" s="26">
        <f t="shared" si="61"/>
        <v>0</v>
      </c>
      <c r="CT24" s="26">
        <f t="shared" si="61"/>
        <v>0</v>
      </c>
      <c r="CU24" s="26">
        <f t="shared" si="61"/>
        <v>0</v>
      </c>
      <c r="CV24" s="26">
        <f t="shared" si="61"/>
        <v>0</v>
      </c>
      <c r="CW24" s="26">
        <f t="shared" si="61"/>
        <v>0</v>
      </c>
      <c r="CX24" s="26">
        <f t="shared" si="61"/>
        <v>0</v>
      </c>
      <c r="CY24" s="26">
        <f t="shared" si="61"/>
        <v>0</v>
      </c>
      <c r="CZ24" s="26">
        <f t="shared" si="61"/>
        <v>0</v>
      </c>
      <c r="DA24" s="26">
        <f t="shared" si="61"/>
        <v>0</v>
      </c>
      <c r="DB24" s="26">
        <f t="shared" si="61"/>
        <v>0</v>
      </c>
      <c r="DC24" s="26">
        <f t="shared" si="61"/>
        <v>0</v>
      </c>
      <c r="DD24" s="26">
        <f t="shared" si="61"/>
        <v>0</v>
      </c>
      <c r="DE24" s="26">
        <f t="shared" si="61"/>
        <v>0</v>
      </c>
      <c r="DF24" s="26">
        <f t="shared" si="61"/>
        <v>0</v>
      </c>
      <c r="DG24" s="26">
        <f t="shared" si="61"/>
        <v>0</v>
      </c>
      <c r="DH24" s="26">
        <f t="shared" si="61"/>
        <v>0</v>
      </c>
      <c r="DI24" s="26">
        <f t="shared" si="61"/>
        <v>0</v>
      </c>
      <c r="DJ24" s="26">
        <f t="shared" si="61"/>
        <v>0</v>
      </c>
      <c r="DK24" s="26">
        <f t="shared" si="61"/>
        <v>0</v>
      </c>
      <c r="DL24" s="26">
        <f t="shared" si="61"/>
        <v>0</v>
      </c>
      <c r="DM24" s="26">
        <f t="shared" si="61"/>
        <v>0</v>
      </c>
      <c r="DN24" s="26">
        <f t="shared" si="61"/>
        <v>0</v>
      </c>
      <c r="DO24" s="26">
        <f t="shared" si="61"/>
        <v>0</v>
      </c>
      <c r="DP24" s="26">
        <f t="shared" si="61"/>
        <v>0</v>
      </c>
      <c r="DQ24" s="26">
        <f t="shared" si="61"/>
        <v>0</v>
      </c>
      <c r="DR24" s="26">
        <f t="shared" si="61"/>
        <v>0</v>
      </c>
      <c r="DS24" s="26">
        <f t="shared" si="61"/>
        <v>0</v>
      </c>
      <c r="DT24" s="26">
        <f t="shared" si="61"/>
        <v>0</v>
      </c>
      <c r="DU24" s="26">
        <f t="shared" si="61"/>
        <v>0</v>
      </c>
      <c r="DV24" s="26">
        <f t="shared" si="61"/>
        <v>0</v>
      </c>
      <c r="DW24" s="26">
        <f t="shared" si="61"/>
        <v>0</v>
      </c>
      <c r="DX24" s="26">
        <f t="shared" si="61"/>
        <v>0</v>
      </c>
      <c r="DY24" s="26">
        <f t="shared" si="61"/>
        <v>0</v>
      </c>
      <c r="DZ24" s="26">
        <f t="shared" si="61"/>
        <v>0</v>
      </c>
      <c r="EA24" s="26">
        <f t="shared" si="61"/>
        <v>0</v>
      </c>
      <c r="EB24" s="26">
        <f t="shared" si="61"/>
        <v>0</v>
      </c>
      <c r="EC24" s="26">
        <f t="shared" si="61"/>
        <v>0</v>
      </c>
      <c r="ED24" s="26">
        <f t="shared" si="61"/>
        <v>0</v>
      </c>
      <c r="EE24" s="26">
        <f t="shared" si="61"/>
        <v>0</v>
      </c>
      <c r="EF24" s="26">
        <f t="shared" ref="EF24:GQ24" si="62">IF(AND(EF18&gt;EF17,EE18&lt;EE17),1,0)</f>
        <v>0</v>
      </c>
      <c r="EG24" s="26">
        <f t="shared" si="62"/>
        <v>0</v>
      </c>
      <c r="EH24" s="26">
        <f t="shared" si="62"/>
        <v>0</v>
      </c>
      <c r="EI24" s="26">
        <f t="shared" si="62"/>
        <v>0</v>
      </c>
      <c r="EJ24" s="26">
        <f t="shared" si="62"/>
        <v>0</v>
      </c>
      <c r="EK24" s="26">
        <f t="shared" si="62"/>
        <v>0</v>
      </c>
      <c r="EL24" s="26">
        <f t="shared" si="62"/>
        <v>0</v>
      </c>
      <c r="EM24" s="26">
        <f t="shared" si="62"/>
        <v>0</v>
      </c>
      <c r="EN24" s="26">
        <f t="shared" si="62"/>
        <v>0</v>
      </c>
      <c r="EO24" s="26">
        <f t="shared" si="62"/>
        <v>0</v>
      </c>
      <c r="EP24" s="26">
        <f t="shared" si="62"/>
        <v>0</v>
      </c>
      <c r="EQ24" s="26">
        <f t="shared" si="62"/>
        <v>0</v>
      </c>
      <c r="ER24" s="26">
        <f t="shared" si="62"/>
        <v>0</v>
      </c>
      <c r="ES24" s="26">
        <f t="shared" si="62"/>
        <v>0</v>
      </c>
      <c r="ET24" s="26">
        <f t="shared" si="62"/>
        <v>0</v>
      </c>
      <c r="EU24" s="26">
        <f t="shared" si="62"/>
        <v>0</v>
      </c>
      <c r="EV24" s="26">
        <f t="shared" si="62"/>
        <v>0</v>
      </c>
      <c r="EW24" s="26">
        <f t="shared" si="62"/>
        <v>0</v>
      </c>
      <c r="EX24" s="26">
        <f t="shared" si="62"/>
        <v>0</v>
      </c>
      <c r="EY24" s="26">
        <f t="shared" si="62"/>
        <v>0</v>
      </c>
      <c r="EZ24" s="26">
        <f t="shared" si="62"/>
        <v>0</v>
      </c>
      <c r="FA24" s="26">
        <f t="shared" si="62"/>
        <v>0</v>
      </c>
      <c r="FB24" s="26">
        <f t="shared" si="62"/>
        <v>0</v>
      </c>
      <c r="FC24" s="26">
        <f t="shared" si="62"/>
        <v>0</v>
      </c>
      <c r="FD24" s="26">
        <f t="shared" si="62"/>
        <v>0</v>
      </c>
      <c r="FE24" s="26">
        <f t="shared" si="62"/>
        <v>0</v>
      </c>
      <c r="FF24" s="26">
        <f t="shared" si="62"/>
        <v>0</v>
      </c>
      <c r="FG24" s="26">
        <f t="shared" si="62"/>
        <v>0</v>
      </c>
      <c r="FH24" s="26">
        <f t="shared" si="62"/>
        <v>0</v>
      </c>
      <c r="FI24" s="26">
        <f t="shared" si="62"/>
        <v>0</v>
      </c>
      <c r="FJ24" s="26">
        <f t="shared" si="62"/>
        <v>0</v>
      </c>
      <c r="FK24" s="26">
        <f t="shared" si="62"/>
        <v>0</v>
      </c>
      <c r="FL24" s="26">
        <f t="shared" si="62"/>
        <v>0</v>
      </c>
      <c r="FM24" s="26">
        <f t="shared" si="62"/>
        <v>0</v>
      </c>
      <c r="FN24" s="26">
        <f t="shared" si="62"/>
        <v>0</v>
      </c>
      <c r="FO24" s="26">
        <f t="shared" si="62"/>
        <v>0</v>
      </c>
      <c r="FP24" s="26">
        <f t="shared" si="62"/>
        <v>0</v>
      </c>
      <c r="FQ24" s="26">
        <f t="shared" si="62"/>
        <v>0</v>
      </c>
      <c r="FR24" s="26">
        <f t="shared" si="62"/>
        <v>0</v>
      </c>
      <c r="FS24" s="26">
        <f t="shared" si="62"/>
        <v>0</v>
      </c>
      <c r="FT24" s="26">
        <f t="shared" si="62"/>
        <v>0</v>
      </c>
      <c r="FU24" s="26">
        <f t="shared" si="62"/>
        <v>0</v>
      </c>
      <c r="FV24" s="26">
        <f t="shared" si="62"/>
        <v>0</v>
      </c>
      <c r="FW24" s="26">
        <f t="shared" si="62"/>
        <v>0</v>
      </c>
      <c r="FX24" s="26">
        <f t="shared" si="62"/>
        <v>0</v>
      </c>
      <c r="FY24" s="26">
        <f t="shared" si="62"/>
        <v>0</v>
      </c>
      <c r="FZ24" s="26">
        <f t="shared" si="62"/>
        <v>0</v>
      </c>
      <c r="GA24" s="26">
        <f t="shared" si="62"/>
        <v>0</v>
      </c>
      <c r="GB24" s="26">
        <f t="shared" si="62"/>
        <v>0</v>
      </c>
      <c r="GC24" s="26">
        <f t="shared" si="62"/>
        <v>0</v>
      </c>
      <c r="GD24" s="26">
        <f t="shared" si="62"/>
        <v>0</v>
      </c>
      <c r="GE24" s="26">
        <f t="shared" si="62"/>
        <v>0</v>
      </c>
      <c r="GF24" s="26">
        <f t="shared" si="62"/>
        <v>0</v>
      </c>
      <c r="GG24" s="26">
        <f t="shared" si="62"/>
        <v>0</v>
      </c>
      <c r="GH24" s="26">
        <f t="shared" si="62"/>
        <v>0</v>
      </c>
      <c r="GI24" s="26">
        <f t="shared" si="62"/>
        <v>0</v>
      </c>
      <c r="GJ24" s="26">
        <f t="shared" si="62"/>
        <v>0</v>
      </c>
      <c r="GK24" s="26">
        <f t="shared" si="62"/>
        <v>0</v>
      </c>
      <c r="GL24" s="26">
        <f t="shared" si="62"/>
        <v>0</v>
      </c>
      <c r="GM24" s="26">
        <f t="shared" si="62"/>
        <v>0</v>
      </c>
      <c r="GN24" s="26">
        <f t="shared" si="62"/>
        <v>0</v>
      </c>
      <c r="GO24" s="26">
        <f t="shared" si="62"/>
        <v>0</v>
      </c>
      <c r="GP24" s="26">
        <f t="shared" si="62"/>
        <v>0</v>
      </c>
      <c r="GQ24" s="26">
        <f t="shared" si="62"/>
        <v>0</v>
      </c>
      <c r="GR24" s="26">
        <f t="shared" ref="GR24:IN24" si="63">IF(AND(GR18&gt;GR17,GQ18&lt;GQ17),1,0)</f>
        <v>0</v>
      </c>
      <c r="GS24" s="26">
        <f t="shared" si="63"/>
        <v>0</v>
      </c>
      <c r="GT24" s="26">
        <f t="shared" si="63"/>
        <v>0</v>
      </c>
      <c r="GU24" s="26">
        <f t="shared" si="63"/>
        <v>0</v>
      </c>
      <c r="GV24" s="26">
        <f t="shared" si="63"/>
        <v>0</v>
      </c>
      <c r="GW24" s="26">
        <f t="shared" si="63"/>
        <v>0</v>
      </c>
      <c r="GX24" s="26">
        <f t="shared" si="63"/>
        <v>0</v>
      </c>
      <c r="GY24" s="26">
        <f t="shared" si="63"/>
        <v>0</v>
      </c>
      <c r="GZ24" s="26">
        <f t="shared" si="63"/>
        <v>0</v>
      </c>
      <c r="HA24" s="26">
        <f t="shared" si="63"/>
        <v>0</v>
      </c>
      <c r="HB24" s="26">
        <f t="shared" si="63"/>
        <v>0</v>
      </c>
      <c r="HC24" s="26">
        <f t="shared" si="63"/>
        <v>0</v>
      </c>
      <c r="HD24" s="26">
        <f t="shared" si="63"/>
        <v>0</v>
      </c>
      <c r="HE24" s="26">
        <f t="shared" si="63"/>
        <v>0</v>
      </c>
      <c r="HF24" s="26">
        <f t="shared" si="63"/>
        <v>0</v>
      </c>
      <c r="HG24" s="26">
        <f t="shared" si="63"/>
        <v>0</v>
      </c>
      <c r="HH24" s="26">
        <f t="shared" si="63"/>
        <v>0</v>
      </c>
      <c r="HI24" s="26">
        <f t="shared" si="63"/>
        <v>0</v>
      </c>
      <c r="HJ24" s="26">
        <f t="shared" si="63"/>
        <v>0</v>
      </c>
      <c r="HK24" s="26">
        <f t="shared" si="63"/>
        <v>0</v>
      </c>
      <c r="HL24" s="26">
        <f t="shared" si="63"/>
        <v>0</v>
      </c>
      <c r="HM24" s="26">
        <f t="shared" si="63"/>
        <v>0</v>
      </c>
      <c r="HN24" s="26">
        <f t="shared" si="63"/>
        <v>0</v>
      </c>
      <c r="HO24" s="26">
        <f t="shared" si="63"/>
        <v>0</v>
      </c>
      <c r="HP24" s="26">
        <f t="shared" si="63"/>
        <v>0</v>
      </c>
      <c r="HQ24" s="26">
        <f t="shared" si="63"/>
        <v>0</v>
      </c>
      <c r="HR24" s="26">
        <f t="shared" si="63"/>
        <v>0</v>
      </c>
      <c r="HS24" s="26">
        <f t="shared" si="63"/>
        <v>0</v>
      </c>
      <c r="HT24" s="26">
        <f t="shared" si="63"/>
        <v>0</v>
      </c>
      <c r="HU24" s="26">
        <f t="shared" si="63"/>
        <v>0</v>
      </c>
      <c r="HV24" s="26">
        <f t="shared" si="63"/>
        <v>0</v>
      </c>
      <c r="HW24" s="26">
        <f t="shared" si="63"/>
        <v>0</v>
      </c>
      <c r="HX24" s="26">
        <f t="shared" si="63"/>
        <v>0</v>
      </c>
      <c r="HY24" s="26">
        <f t="shared" si="63"/>
        <v>0</v>
      </c>
      <c r="HZ24" s="26">
        <f t="shared" si="63"/>
        <v>0</v>
      </c>
      <c r="IA24" s="26">
        <f t="shared" si="63"/>
        <v>0</v>
      </c>
      <c r="IB24" s="26">
        <f t="shared" si="63"/>
        <v>0</v>
      </c>
      <c r="IC24" s="26">
        <f t="shared" si="63"/>
        <v>0</v>
      </c>
      <c r="ID24" s="26">
        <f t="shared" si="63"/>
        <v>0</v>
      </c>
      <c r="IE24" s="26">
        <f t="shared" si="63"/>
        <v>0</v>
      </c>
      <c r="IF24" s="26">
        <f t="shared" si="63"/>
        <v>0</v>
      </c>
      <c r="IG24" s="26">
        <f t="shared" si="63"/>
        <v>0</v>
      </c>
      <c r="IH24" s="26">
        <f t="shared" si="63"/>
        <v>0</v>
      </c>
      <c r="II24" s="26">
        <f t="shared" si="63"/>
        <v>0</v>
      </c>
      <c r="IJ24" s="26">
        <f t="shared" si="63"/>
        <v>0</v>
      </c>
      <c r="IK24" s="26">
        <f t="shared" si="63"/>
        <v>0</v>
      </c>
      <c r="IL24" s="26">
        <f t="shared" si="63"/>
        <v>0</v>
      </c>
      <c r="IM24" s="26">
        <f t="shared" si="63"/>
        <v>0</v>
      </c>
      <c r="IN24" s="26">
        <f t="shared" si="63"/>
        <v>0</v>
      </c>
    </row>
    <row r="25" spans="2:248" x14ac:dyDescent="0.3">
      <c r="F25" s="22" t="s">
        <v>451</v>
      </c>
      <c r="G25" s="55">
        <f ca="1">H25</f>
        <v>0.43925233644859807</v>
      </c>
      <c r="H25" s="55">
        <f t="shared" ref="H25:BS25" ca="1" si="64">IF(H4&lt;$C$10,(H5/OFFSET(H5,0,-H4))^(1/H4),(H5/OFFSET(H5,0,-$C$10))^(1/$C$10))-1</f>
        <v>0.43925233644859807</v>
      </c>
      <c r="I25" s="55">
        <f t="shared" ca="1" si="64"/>
        <v>0.32199226601439279</v>
      </c>
      <c r="J25" s="55">
        <f t="shared" ca="1" si="64"/>
        <v>0.3322290961318255</v>
      </c>
      <c r="K25" s="55">
        <f t="shared" ca="1" si="64"/>
        <v>0.29400027687703489</v>
      </c>
      <c r="L25" s="55">
        <f t="shared" ca="1" si="64"/>
        <v>0.2739199362727387</v>
      </c>
      <c r="M25" s="55">
        <f ca="1">IF(M4&lt;$C$10,(M5/OFFSET(M5,0,-M4))^(1/M4),(M5/OFFSET(M5,0,-$C$10))^(1/$C$10))-1</f>
        <v>0.22911524453248044</v>
      </c>
      <c r="N25" s="55">
        <f t="shared" ca="1" si="64"/>
        <v>0.24661789739564544</v>
      </c>
      <c r="O25" s="55">
        <f t="shared" ca="1" si="64"/>
        <v>0.25093929874985577</v>
      </c>
      <c r="P25" s="55">
        <f t="shared" ca="1" si="64"/>
        <v>0.29768583396252413</v>
      </c>
      <c r="Q25" s="55">
        <f t="shared" ca="1" si="64"/>
        <v>0.29648131138297362</v>
      </c>
      <c r="R25" s="55">
        <f t="shared" ca="1" si="64"/>
        <v>0.278211578840591</v>
      </c>
      <c r="S25" s="55">
        <f t="shared" ca="1" si="64"/>
        <v>0.26876036963610472</v>
      </c>
      <c r="T25" s="55">
        <f t="shared" ca="1" si="64"/>
        <v>0.26424670212945167</v>
      </c>
      <c r="U25" s="55">
        <f t="shared" ca="1" si="64"/>
        <v>0.22935843129129352</v>
      </c>
      <c r="V25" s="55">
        <f t="shared" ca="1" si="64"/>
        <v>0.23441183506947327</v>
      </c>
      <c r="W25" s="55">
        <f t="shared" ca="1" si="64"/>
        <v>0.26453632942224781</v>
      </c>
      <c r="X25" s="55" t="e">
        <f t="shared" ca="1" si="64"/>
        <v>#N/A</v>
      </c>
      <c r="Y25" s="55" t="e">
        <f t="shared" ca="1" si="64"/>
        <v>#N/A</v>
      </c>
      <c r="Z25" s="55" t="e">
        <f t="shared" ca="1" si="64"/>
        <v>#N/A</v>
      </c>
      <c r="AA25" s="55" t="e">
        <f t="shared" ca="1" si="64"/>
        <v>#N/A</v>
      </c>
      <c r="AB25" s="55" t="e">
        <f t="shared" ca="1" si="64"/>
        <v>#N/A</v>
      </c>
      <c r="AC25" s="55" t="e">
        <f t="shared" ca="1" si="64"/>
        <v>#N/A</v>
      </c>
      <c r="AD25" s="55" t="e">
        <f t="shared" ca="1" si="64"/>
        <v>#N/A</v>
      </c>
      <c r="AE25" s="55" t="e">
        <f t="shared" ca="1" si="64"/>
        <v>#N/A</v>
      </c>
      <c r="AF25" s="55" t="e">
        <f t="shared" ca="1" si="64"/>
        <v>#N/A</v>
      </c>
      <c r="AG25" s="55" t="e">
        <f t="shared" ca="1" si="64"/>
        <v>#N/A</v>
      </c>
      <c r="AH25" s="55" t="e">
        <f t="shared" ca="1" si="64"/>
        <v>#N/A</v>
      </c>
      <c r="AI25" s="55" t="e">
        <f t="shared" ca="1" si="64"/>
        <v>#N/A</v>
      </c>
      <c r="AJ25" s="55" t="e">
        <f t="shared" ca="1" si="64"/>
        <v>#N/A</v>
      </c>
      <c r="AK25" s="55" t="e">
        <f t="shared" ca="1" si="64"/>
        <v>#N/A</v>
      </c>
      <c r="AL25" s="55" t="e">
        <f t="shared" ca="1" si="64"/>
        <v>#N/A</v>
      </c>
      <c r="AM25" s="55" t="e">
        <f t="shared" ca="1" si="64"/>
        <v>#N/A</v>
      </c>
      <c r="AN25" s="55" t="e">
        <f t="shared" ca="1" si="64"/>
        <v>#N/A</v>
      </c>
      <c r="AO25" s="55" t="e">
        <f t="shared" ca="1" si="64"/>
        <v>#N/A</v>
      </c>
      <c r="AP25" s="55" t="e">
        <f t="shared" ca="1" si="64"/>
        <v>#N/A</v>
      </c>
      <c r="AQ25" s="55" t="e">
        <f t="shared" ca="1" si="64"/>
        <v>#N/A</v>
      </c>
      <c r="AR25" s="55" t="e">
        <f t="shared" ca="1" si="64"/>
        <v>#N/A</v>
      </c>
      <c r="AS25" s="55" t="e">
        <f t="shared" ca="1" si="64"/>
        <v>#N/A</v>
      </c>
      <c r="AT25" s="55" t="e">
        <f t="shared" ca="1" si="64"/>
        <v>#N/A</v>
      </c>
      <c r="AU25" s="55" t="e">
        <f t="shared" ca="1" si="64"/>
        <v>#N/A</v>
      </c>
      <c r="AV25" s="55" t="e">
        <f t="shared" ca="1" si="64"/>
        <v>#N/A</v>
      </c>
      <c r="AW25" s="55" t="e">
        <f t="shared" ca="1" si="64"/>
        <v>#N/A</v>
      </c>
      <c r="AX25" s="55" t="e">
        <f t="shared" ca="1" si="64"/>
        <v>#N/A</v>
      </c>
      <c r="AY25" s="55" t="e">
        <f t="shared" ca="1" si="64"/>
        <v>#N/A</v>
      </c>
      <c r="AZ25" s="55" t="e">
        <f t="shared" ca="1" si="64"/>
        <v>#N/A</v>
      </c>
      <c r="BA25" s="55" t="e">
        <f t="shared" ca="1" si="64"/>
        <v>#N/A</v>
      </c>
      <c r="BB25" s="55" t="e">
        <f t="shared" ca="1" si="64"/>
        <v>#N/A</v>
      </c>
      <c r="BC25" s="55" t="e">
        <f t="shared" ca="1" si="64"/>
        <v>#N/A</v>
      </c>
      <c r="BD25" s="55" t="e">
        <f t="shared" ca="1" si="64"/>
        <v>#N/A</v>
      </c>
      <c r="BE25" s="55" t="e">
        <f t="shared" ca="1" si="64"/>
        <v>#N/A</v>
      </c>
      <c r="BF25" s="55" t="e">
        <f t="shared" ca="1" si="64"/>
        <v>#N/A</v>
      </c>
      <c r="BG25" s="55" t="e">
        <f t="shared" ca="1" si="64"/>
        <v>#N/A</v>
      </c>
      <c r="BH25" s="55" t="e">
        <f t="shared" ca="1" si="64"/>
        <v>#N/A</v>
      </c>
      <c r="BI25" s="55" t="e">
        <f t="shared" ca="1" si="64"/>
        <v>#N/A</v>
      </c>
      <c r="BJ25" s="55" t="e">
        <f t="shared" ca="1" si="64"/>
        <v>#N/A</v>
      </c>
      <c r="BK25" s="55" t="e">
        <f t="shared" ca="1" si="64"/>
        <v>#N/A</v>
      </c>
      <c r="BL25" s="55" t="e">
        <f t="shared" ca="1" si="64"/>
        <v>#N/A</v>
      </c>
      <c r="BM25" s="55" t="e">
        <f t="shared" ca="1" si="64"/>
        <v>#N/A</v>
      </c>
      <c r="BN25" s="55" t="e">
        <f t="shared" ca="1" si="64"/>
        <v>#N/A</v>
      </c>
      <c r="BO25" s="55" t="e">
        <f t="shared" ca="1" si="64"/>
        <v>#N/A</v>
      </c>
      <c r="BP25" s="55" t="e">
        <f t="shared" ca="1" si="64"/>
        <v>#N/A</v>
      </c>
      <c r="BQ25" s="55" t="e">
        <f t="shared" ca="1" si="64"/>
        <v>#N/A</v>
      </c>
      <c r="BR25" s="55" t="e">
        <f t="shared" ca="1" si="64"/>
        <v>#N/A</v>
      </c>
      <c r="BS25" s="55" t="e">
        <f t="shared" ca="1" si="64"/>
        <v>#N/A</v>
      </c>
      <c r="BT25" s="55" t="e">
        <f t="shared" ref="BT25:EE25" ca="1" si="65">IF(BT4&lt;$C$10,(BT5/OFFSET(BT5,0,-BT4))^(1/BT4),(BT5/OFFSET(BT5,0,-$C$10))^(1/$C$10))-1</f>
        <v>#N/A</v>
      </c>
      <c r="BU25" s="55" t="e">
        <f t="shared" ca="1" si="65"/>
        <v>#N/A</v>
      </c>
      <c r="BV25" s="55" t="e">
        <f t="shared" ca="1" si="65"/>
        <v>#N/A</v>
      </c>
      <c r="BW25" s="55" t="e">
        <f t="shared" ca="1" si="65"/>
        <v>#N/A</v>
      </c>
      <c r="BX25" s="55" t="e">
        <f t="shared" ca="1" si="65"/>
        <v>#N/A</v>
      </c>
      <c r="BY25" s="55" t="e">
        <f t="shared" ca="1" si="65"/>
        <v>#N/A</v>
      </c>
      <c r="BZ25" s="55" t="e">
        <f t="shared" ca="1" si="65"/>
        <v>#N/A</v>
      </c>
      <c r="CA25" s="55" t="e">
        <f t="shared" ca="1" si="65"/>
        <v>#N/A</v>
      </c>
      <c r="CB25" s="55" t="e">
        <f t="shared" ca="1" si="65"/>
        <v>#N/A</v>
      </c>
      <c r="CC25" s="55" t="e">
        <f t="shared" ca="1" si="65"/>
        <v>#N/A</v>
      </c>
      <c r="CD25" s="55" t="e">
        <f t="shared" ca="1" si="65"/>
        <v>#N/A</v>
      </c>
      <c r="CE25" s="55" t="e">
        <f t="shared" ca="1" si="65"/>
        <v>#N/A</v>
      </c>
      <c r="CF25" s="55" t="e">
        <f t="shared" ca="1" si="65"/>
        <v>#N/A</v>
      </c>
      <c r="CG25" s="55" t="e">
        <f t="shared" ca="1" si="65"/>
        <v>#N/A</v>
      </c>
      <c r="CH25" s="55" t="e">
        <f t="shared" ca="1" si="65"/>
        <v>#N/A</v>
      </c>
      <c r="CI25" s="55" t="e">
        <f t="shared" ca="1" si="65"/>
        <v>#N/A</v>
      </c>
      <c r="CJ25" s="55" t="e">
        <f t="shared" ca="1" si="65"/>
        <v>#N/A</v>
      </c>
      <c r="CK25" s="55" t="e">
        <f t="shared" ca="1" si="65"/>
        <v>#N/A</v>
      </c>
      <c r="CL25" s="55" t="e">
        <f t="shared" ca="1" si="65"/>
        <v>#N/A</v>
      </c>
      <c r="CM25" s="55" t="e">
        <f t="shared" ca="1" si="65"/>
        <v>#N/A</v>
      </c>
      <c r="CN25" s="55" t="e">
        <f t="shared" ca="1" si="65"/>
        <v>#N/A</v>
      </c>
      <c r="CO25" s="55" t="e">
        <f t="shared" ca="1" si="65"/>
        <v>#N/A</v>
      </c>
      <c r="CP25" s="55" t="e">
        <f t="shared" ca="1" si="65"/>
        <v>#N/A</v>
      </c>
      <c r="CQ25" s="55" t="e">
        <f t="shared" ca="1" si="65"/>
        <v>#N/A</v>
      </c>
      <c r="CR25" s="55" t="e">
        <f t="shared" ca="1" si="65"/>
        <v>#N/A</v>
      </c>
      <c r="CS25" s="55" t="e">
        <f t="shared" ca="1" si="65"/>
        <v>#N/A</v>
      </c>
      <c r="CT25" s="55" t="e">
        <f t="shared" ca="1" si="65"/>
        <v>#N/A</v>
      </c>
      <c r="CU25" s="55" t="e">
        <f t="shared" ca="1" si="65"/>
        <v>#N/A</v>
      </c>
      <c r="CV25" s="55" t="e">
        <f t="shared" ca="1" si="65"/>
        <v>#N/A</v>
      </c>
      <c r="CW25" s="55" t="e">
        <f t="shared" ca="1" si="65"/>
        <v>#N/A</v>
      </c>
      <c r="CX25" s="55" t="e">
        <f t="shared" ca="1" si="65"/>
        <v>#N/A</v>
      </c>
      <c r="CY25" s="55" t="e">
        <f t="shared" ca="1" si="65"/>
        <v>#N/A</v>
      </c>
      <c r="CZ25" s="55" t="e">
        <f t="shared" ca="1" si="65"/>
        <v>#N/A</v>
      </c>
      <c r="DA25" s="55" t="e">
        <f t="shared" ca="1" si="65"/>
        <v>#N/A</v>
      </c>
      <c r="DB25" s="55" t="e">
        <f t="shared" ca="1" si="65"/>
        <v>#N/A</v>
      </c>
      <c r="DC25" s="55" t="e">
        <f t="shared" ca="1" si="65"/>
        <v>#N/A</v>
      </c>
      <c r="DD25" s="55" t="e">
        <f t="shared" ca="1" si="65"/>
        <v>#N/A</v>
      </c>
      <c r="DE25" s="55" t="e">
        <f t="shared" ca="1" si="65"/>
        <v>#N/A</v>
      </c>
      <c r="DF25" s="55" t="e">
        <f t="shared" ca="1" si="65"/>
        <v>#N/A</v>
      </c>
      <c r="DG25" s="55" t="e">
        <f t="shared" ca="1" si="65"/>
        <v>#N/A</v>
      </c>
      <c r="DH25" s="55" t="e">
        <f t="shared" ca="1" si="65"/>
        <v>#N/A</v>
      </c>
      <c r="DI25" s="55" t="e">
        <f t="shared" ca="1" si="65"/>
        <v>#N/A</v>
      </c>
      <c r="DJ25" s="55" t="e">
        <f t="shared" ca="1" si="65"/>
        <v>#N/A</v>
      </c>
      <c r="DK25" s="55" t="e">
        <f t="shared" ca="1" si="65"/>
        <v>#N/A</v>
      </c>
      <c r="DL25" s="55" t="e">
        <f t="shared" ca="1" si="65"/>
        <v>#N/A</v>
      </c>
      <c r="DM25" s="55" t="e">
        <f t="shared" ca="1" si="65"/>
        <v>#N/A</v>
      </c>
      <c r="DN25" s="55" t="e">
        <f t="shared" ca="1" si="65"/>
        <v>#N/A</v>
      </c>
      <c r="DO25" s="55" t="e">
        <f t="shared" ca="1" si="65"/>
        <v>#N/A</v>
      </c>
      <c r="DP25" s="55" t="e">
        <f t="shared" ca="1" si="65"/>
        <v>#N/A</v>
      </c>
      <c r="DQ25" s="55" t="e">
        <f t="shared" ca="1" si="65"/>
        <v>#N/A</v>
      </c>
      <c r="DR25" s="55" t="e">
        <f t="shared" ca="1" si="65"/>
        <v>#N/A</v>
      </c>
      <c r="DS25" s="55" t="e">
        <f t="shared" ca="1" si="65"/>
        <v>#N/A</v>
      </c>
      <c r="DT25" s="55" t="e">
        <f t="shared" ca="1" si="65"/>
        <v>#N/A</v>
      </c>
      <c r="DU25" s="55" t="e">
        <f t="shared" ca="1" si="65"/>
        <v>#N/A</v>
      </c>
      <c r="DV25" s="55" t="e">
        <f t="shared" ca="1" si="65"/>
        <v>#N/A</v>
      </c>
      <c r="DW25" s="55" t="e">
        <f t="shared" ca="1" si="65"/>
        <v>#N/A</v>
      </c>
      <c r="DX25" s="55" t="e">
        <f t="shared" ca="1" si="65"/>
        <v>#N/A</v>
      </c>
      <c r="DY25" s="55" t="e">
        <f t="shared" ca="1" si="65"/>
        <v>#N/A</v>
      </c>
      <c r="DZ25" s="55" t="e">
        <f t="shared" ca="1" si="65"/>
        <v>#N/A</v>
      </c>
      <c r="EA25" s="55" t="e">
        <f t="shared" ca="1" si="65"/>
        <v>#N/A</v>
      </c>
      <c r="EB25" s="55" t="e">
        <f t="shared" ca="1" si="65"/>
        <v>#N/A</v>
      </c>
      <c r="EC25" s="55" t="e">
        <f t="shared" ca="1" si="65"/>
        <v>#N/A</v>
      </c>
      <c r="ED25" s="55" t="e">
        <f t="shared" ca="1" si="65"/>
        <v>#N/A</v>
      </c>
      <c r="EE25" s="55" t="e">
        <f t="shared" ca="1" si="65"/>
        <v>#N/A</v>
      </c>
      <c r="EF25" s="55" t="e">
        <f t="shared" ref="EF25:GQ25" ca="1" si="66">IF(EF4&lt;$C$10,(EF5/OFFSET(EF5,0,-EF4))^(1/EF4),(EF5/OFFSET(EF5,0,-$C$10))^(1/$C$10))-1</f>
        <v>#N/A</v>
      </c>
      <c r="EG25" s="55" t="e">
        <f t="shared" ca="1" si="66"/>
        <v>#N/A</v>
      </c>
      <c r="EH25" s="55" t="e">
        <f t="shared" ca="1" si="66"/>
        <v>#N/A</v>
      </c>
      <c r="EI25" s="55" t="e">
        <f t="shared" ca="1" si="66"/>
        <v>#N/A</v>
      </c>
      <c r="EJ25" s="55" t="e">
        <f t="shared" ca="1" si="66"/>
        <v>#N/A</v>
      </c>
      <c r="EK25" s="55" t="e">
        <f t="shared" ca="1" si="66"/>
        <v>#N/A</v>
      </c>
      <c r="EL25" s="55" t="e">
        <f t="shared" ca="1" si="66"/>
        <v>#N/A</v>
      </c>
      <c r="EM25" s="55" t="e">
        <f t="shared" ca="1" si="66"/>
        <v>#N/A</v>
      </c>
      <c r="EN25" s="55" t="e">
        <f t="shared" ca="1" si="66"/>
        <v>#N/A</v>
      </c>
      <c r="EO25" s="55" t="e">
        <f t="shared" ca="1" si="66"/>
        <v>#N/A</v>
      </c>
      <c r="EP25" s="55" t="e">
        <f t="shared" ca="1" si="66"/>
        <v>#N/A</v>
      </c>
      <c r="EQ25" s="55" t="e">
        <f t="shared" ca="1" si="66"/>
        <v>#N/A</v>
      </c>
      <c r="ER25" s="55" t="e">
        <f t="shared" ca="1" si="66"/>
        <v>#N/A</v>
      </c>
      <c r="ES25" s="55" t="e">
        <f t="shared" ca="1" si="66"/>
        <v>#N/A</v>
      </c>
      <c r="ET25" s="55" t="e">
        <f t="shared" ca="1" si="66"/>
        <v>#N/A</v>
      </c>
      <c r="EU25" s="55" t="e">
        <f t="shared" ca="1" si="66"/>
        <v>#N/A</v>
      </c>
      <c r="EV25" s="55" t="e">
        <f t="shared" ca="1" si="66"/>
        <v>#N/A</v>
      </c>
      <c r="EW25" s="55" t="e">
        <f t="shared" ca="1" si="66"/>
        <v>#N/A</v>
      </c>
      <c r="EX25" s="55" t="e">
        <f t="shared" ca="1" si="66"/>
        <v>#N/A</v>
      </c>
      <c r="EY25" s="55" t="e">
        <f t="shared" ca="1" si="66"/>
        <v>#N/A</v>
      </c>
      <c r="EZ25" s="55" t="e">
        <f t="shared" ca="1" si="66"/>
        <v>#N/A</v>
      </c>
      <c r="FA25" s="55" t="e">
        <f t="shared" ca="1" si="66"/>
        <v>#N/A</v>
      </c>
      <c r="FB25" s="55" t="e">
        <f t="shared" ca="1" si="66"/>
        <v>#N/A</v>
      </c>
      <c r="FC25" s="55" t="e">
        <f t="shared" ca="1" si="66"/>
        <v>#N/A</v>
      </c>
      <c r="FD25" s="55" t="e">
        <f t="shared" ca="1" si="66"/>
        <v>#N/A</v>
      </c>
      <c r="FE25" s="55" t="e">
        <f t="shared" ca="1" si="66"/>
        <v>#N/A</v>
      </c>
      <c r="FF25" s="55" t="e">
        <f t="shared" ca="1" si="66"/>
        <v>#N/A</v>
      </c>
      <c r="FG25" s="55" t="e">
        <f t="shared" ca="1" si="66"/>
        <v>#N/A</v>
      </c>
      <c r="FH25" s="55" t="e">
        <f t="shared" ca="1" si="66"/>
        <v>#N/A</v>
      </c>
      <c r="FI25" s="55" t="e">
        <f t="shared" ca="1" si="66"/>
        <v>#N/A</v>
      </c>
      <c r="FJ25" s="55" t="e">
        <f t="shared" ca="1" si="66"/>
        <v>#N/A</v>
      </c>
      <c r="FK25" s="55" t="e">
        <f t="shared" ca="1" si="66"/>
        <v>#N/A</v>
      </c>
      <c r="FL25" s="55" t="e">
        <f t="shared" ca="1" si="66"/>
        <v>#N/A</v>
      </c>
      <c r="FM25" s="55" t="e">
        <f t="shared" ca="1" si="66"/>
        <v>#N/A</v>
      </c>
      <c r="FN25" s="55" t="e">
        <f t="shared" ca="1" si="66"/>
        <v>#N/A</v>
      </c>
      <c r="FO25" s="55" t="e">
        <f t="shared" ca="1" si="66"/>
        <v>#N/A</v>
      </c>
      <c r="FP25" s="55" t="e">
        <f t="shared" ca="1" si="66"/>
        <v>#N/A</v>
      </c>
      <c r="FQ25" s="55" t="e">
        <f t="shared" ca="1" si="66"/>
        <v>#N/A</v>
      </c>
      <c r="FR25" s="55" t="e">
        <f t="shared" ca="1" si="66"/>
        <v>#N/A</v>
      </c>
      <c r="FS25" s="55" t="e">
        <f t="shared" ca="1" si="66"/>
        <v>#N/A</v>
      </c>
      <c r="FT25" s="55" t="e">
        <f t="shared" ca="1" si="66"/>
        <v>#N/A</v>
      </c>
      <c r="FU25" s="55" t="e">
        <f t="shared" ca="1" si="66"/>
        <v>#N/A</v>
      </c>
      <c r="FV25" s="55" t="e">
        <f t="shared" ca="1" si="66"/>
        <v>#N/A</v>
      </c>
      <c r="FW25" s="55" t="e">
        <f t="shared" ca="1" si="66"/>
        <v>#N/A</v>
      </c>
      <c r="FX25" s="55" t="e">
        <f t="shared" ca="1" si="66"/>
        <v>#N/A</v>
      </c>
      <c r="FY25" s="55" t="e">
        <f t="shared" ca="1" si="66"/>
        <v>#N/A</v>
      </c>
      <c r="FZ25" s="55" t="e">
        <f t="shared" ca="1" si="66"/>
        <v>#N/A</v>
      </c>
      <c r="GA25" s="55" t="e">
        <f t="shared" ca="1" si="66"/>
        <v>#N/A</v>
      </c>
      <c r="GB25" s="55" t="e">
        <f t="shared" ca="1" si="66"/>
        <v>#N/A</v>
      </c>
      <c r="GC25" s="55" t="e">
        <f t="shared" ca="1" si="66"/>
        <v>#N/A</v>
      </c>
      <c r="GD25" s="55" t="e">
        <f t="shared" ca="1" si="66"/>
        <v>#N/A</v>
      </c>
      <c r="GE25" s="55" t="e">
        <f t="shared" ca="1" si="66"/>
        <v>#N/A</v>
      </c>
      <c r="GF25" s="55" t="e">
        <f t="shared" ca="1" si="66"/>
        <v>#N/A</v>
      </c>
      <c r="GG25" s="55" t="e">
        <f t="shared" ca="1" si="66"/>
        <v>#N/A</v>
      </c>
      <c r="GH25" s="55" t="e">
        <f t="shared" ca="1" si="66"/>
        <v>#N/A</v>
      </c>
      <c r="GI25" s="55" t="e">
        <f t="shared" ca="1" si="66"/>
        <v>#N/A</v>
      </c>
      <c r="GJ25" s="55" t="e">
        <f t="shared" ca="1" si="66"/>
        <v>#N/A</v>
      </c>
      <c r="GK25" s="55" t="e">
        <f t="shared" ca="1" si="66"/>
        <v>#N/A</v>
      </c>
      <c r="GL25" s="55" t="e">
        <f t="shared" ca="1" si="66"/>
        <v>#N/A</v>
      </c>
      <c r="GM25" s="55" t="e">
        <f t="shared" ca="1" si="66"/>
        <v>#N/A</v>
      </c>
      <c r="GN25" s="55" t="e">
        <f t="shared" ca="1" si="66"/>
        <v>#N/A</v>
      </c>
      <c r="GO25" s="55" t="e">
        <f t="shared" ca="1" si="66"/>
        <v>#N/A</v>
      </c>
      <c r="GP25" s="55" t="e">
        <f t="shared" ca="1" si="66"/>
        <v>#N/A</v>
      </c>
      <c r="GQ25" s="55" t="e">
        <f t="shared" ca="1" si="66"/>
        <v>#N/A</v>
      </c>
      <c r="GR25" s="55" t="e">
        <f t="shared" ref="GR25:IN25" ca="1" si="67">IF(GR4&lt;$C$10,(GR5/OFFSET(GR5,0,-GR4))^(1/GR4),(GR5/OFFSET(GR5,0,-$C$10))^(1/$C$10))-1</f>
        <v>#N/A</v>
      </c>
      <c r="GS25" s="55" t="e">
        <f t="shared" ca="1" si="67"/>
        <v>#N/A</v>
      </c>
      <c r="GT25" s="55" t="e">
        <f t="shared" ca="1" si="67"/>
        <v>#N/A</v>
      </c>
      <c r="GU25" s="55" t="e">
        <f t="shared" ca="1" si="67"/>
        <v>#N/A</v>
      </c>
      <c r="GV25" s="55" t="e">
        <f t="shared" ca="1" si="67"/>
        <v>#N/A</v>
      </c>
      <c r="GW25" s="55" t="e">
        <f t="shared" ca="1" si="67"/>
        <v>#N/A</v>
      </c>
      <c r="GX25" s="55" t="e">
        <f t="shared" ca="1" si="67"/>
        <v>#N/A</v>
      </c>
      <c r="GY25" s="55" t="e">
        <f t="shared" ca="1" si="67"/>
        <v>#N/A</v>
      </c>
      <c r="GZ25" s="55" t="e">
        <f t="shared" ca="1" si="67"/>
        <v>#N/A</v>
      </c>
      <c r="HA25" s="55" t="e">
        <f t="shared" ca="1" si="67"/>
        <v>#N/A</v>
      </c>
      <c r="HB25" s="55" t="e">
        <f t="shared" ca="1" si="67"/>
        <v>#N/A</v>
      </c>
      <c r="HC25" s="55" t="e">
        <f t="shared" ca="1" si="67"/>
        <v>#N/A</v>
      </c>
      <c r="HD25" s="55" t="e">
        <f t="shared" ca="1" si="67"/>
        <v>#N/A</v>
      </c>
      <c r="HE25" s="55" t="e">
        <f t="shared" ca="1" si="67"/>
        <v>#N/A</v>
      </c>
      <c r="HF25" s="55" t="e">
        <f t="shared" ca="1" si="67"/>
        <v>#N/A</v>
      </c>
      <c r="HG25" s="55" t="e">
        <f t="shared" ca="1" si="67"/>
        <v>#N/A</v>
      </c>
      <c r="HH25" s="55" t="e">
        <f t="shared" ca="1" si="67"/>
        <v>#N/A</v>
      </c>
      <c r="HI25" s="55" t="e">
        <f t="shared" ca="1" si="67"/>
        <v>#N/A</v>
      </c>
      <c r="HJ25" s="55" t="e">
        <f t="shared" ca="1" si="67"/>
        <v>#N/A</v>
      </c>
      <c r="HK25" s="55" t="e">
        <f t="shared" ca="1" si="67"/>
        <v>#N/A</v>
      </c>
      <c r="HL25" s="55" t="e">
        <f t="shared" ca="1" si="67"/>
        <v>#N/A</v>
      </c>
      <c r="HM25" s="55" t="e">
        <f t="shared" ca="1" si="67"/>
        <v>#N/A</v>
      </c>
      <c r="HN25" s="55" t="e">
        <f t="shared" ca="1" si="67"/>
        <v>#N/A</v>
      </c>
      <c r="HO25" s="55" t="e">
        <f t="shared" ca="1" si="67"/>
        <v>#N/A</v>
      </c>
      <c r="HP25" s="55" t="e">
        <f t="shared" ca="1" si="67"/>
        <v>#N/A</v>
      </c>
      <c r="HQ25" s="55" t="e">
        <f t="shared" ca="1" si="67"/>
        <v>#N/A</v>
      </c>
      <c r="HR25" s="55" t="e">
        <f t="shared" ca="1" si="67"/>
        <v>#N/A</v>
      </c>
      <c r="HS25" s="55" t="e">
        <f t="shared" ca="1" si="67"/>
        <v>#N/A</v>
      </c>
      <c r="HT25" s="55" t="e">
        <f t="shared" ca="1" si="67"/>
        <v>#N/A</v>
      </c>
      <c r="HU25" s="55" t="e">
        <f t="shared" ca="1" si="67"/>
        <v>#N/A</v>
      </c>
      <c r="HV25" s="55" t="e">
        <f t="shared" ca="1" si="67"/>
        <v>#N/A</v>
      </c>
      <c r="HW25" s="55" t="e">
        <f t="shared" ca="1" si="67"/>
        <v>#N/A</v>
      </c>
      <c r="HX25" s="55" t="e">
        <f t="shared" ca="1" si="67"/>
        <v>#N/A</v>
      </c>
      <c r="HY25" s="55" t="e">
        <f t="shared" ca="1" si="67"/>
        <v>#N/A</v>
      </c>
      <c r="HZ25" s="55" t="e">
        <f t="shared" ca="1" si="67"/>
        <v>#N/A</v>
      </c>
      <c r="IA25" s="55" t="e">
        <f t="shared" ca="1" si="67"/>
        <v>#N/A</v>
      </c>
      <c r="IB25" s="55" t="e">
        <f t="shared" ca="1" si="67"/>
        <v>#N/A</v>
      </c>
      <c r="IC25" s="55" t="e">
        <f t="shared" ca="1" si="67"/>
        <v>#N/A</v>
      </c>
      <c r="ID25" s="55" t="e">
        <f t="shared" ca="1" si="67"/>
        <v>#N/A</v>
      </c>
      <c r="IE25" s="55" t="e">
        <f t="shared" ca="1" si="67"/>
        <v>#N/A</v>
      </c>
      <c r="IF25" s="55" t="e">
        <f t="shared" ca="1" si="67"/>
        <v>#N/A</v>
      </c>
      <c r="IG25" s="55" t="e">
        <f t="shared" ca="1" si="67"/>
        <v>#N/A</v>
      </c>
      <c r="IH25" s="55" t="e">
        <f t="shared" ca="1" si="67"/>
        <v>#N/A</v>
      </c>
      <c r="II25" s="55" t="e">
        <f t="shared" ca="1" si="67"/>
        <v>#N/A</v>
      </c>
      <c r="IJ25" s="55" t="e">
        <f t="shared" ca="1" si="67"/>
        <v>#N/A</v>
      </c>
      <c r="IK25" s="55" t="e">
        <f t="shared" ca="1" si="67"/>
        <v>#N/A</v>
      </c>
      <c r="IL25" s="55" t="e">
        <f t="shared" ca="1" si="67"/>
        <v>#N/A</v>
      </c>
      <c r="IM25" s="55" t="e">
        <f t="shared" ca="1" si="67"/>
        <v>#N/A</v>
      </c>
      <c r="IN25" s="55" t="e">
        <f t="shared" ca="1" si="67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507</v>
      </c>
      <c r="G26" s="27">
        <f t="shared" ref="G26:BR26" ca="1" si="68">IF(G3=$C$24,1,-1000)</f>
        <v>-1000</v>
      </c>
      <c r="H26" s="27">
        <f t="shared" ca="1" si="68"/>
        <v>-1000</v>
      </c>
      <c r="I26" s="27">
        <f t="shared" ca="1" si="68"/>
        <v>-1000</v>
      </c>
      <c r="J26" s="27">
        <f t="shared" ca="1" si="68"/>
        <v>-1000</v>
      </c>
      <c r="K26" s="27">
        <f t="shared" ca="1" si="68"/>
        <v>-1000</v>
      </c>
      <c r="L26" s="27">
        <f t="shared" ca="1" si="68"/>
        <v>-1000</v>
      </c>
      <c r="M26" s="27">
        <f t="shared" ca="1" si="68"/>
        <v>-1000</v>
      </c>
      <c r="N26" s="27">
        <f t="shared" ca="1" si="68"/>
        <v>-1000</v>
      </c>
      <c r="O26" s="27">
        <f t="shared" ca="1" si="68"/>
        <v>-1000</v>
      </c>
      <c r="P26" s="27">
        <f t="shared" ca="1" si="68"/>
        <v>-1000</v>
      </c>
      <c r="Q26" s="27">
        <f t="shared" ca="1" si="68"/>
        <v>-1000</v>
      </c>
      <c r="R26" s="27">
        <f t="shared" ca="1" si="68"/>
        <v>-1000</v>
      </c>
      <c r="S26" s="27">
        <f t="shared" ca="1" si="68"/>
        <v>-1000</v>
      </c>
      <c r="T26" s="27">
        <f t="shared" ca="1" si="68"/>
        <v>-1000</v>
      </c>
      <c r="U26" s="27">
        <f t="shared" ca="1" si="68"/>
        <v>-1000</v>
      </c>
      <c r="V26" s="27">
        <f t="shared" ca="1" si="68"/>
        <v>1</v>
      </c>
      <c r="W26" s="27">
        <f t="shared" ca="1" si="68"/>
        <v>-1000</v>
      </c>
      <c r="X26" s="27">
        <f t="shared" ca="1" si="68"/>
        <v>-1000</v>
      </c>
      <c r="Y26" s="27">
        <f t="shared" ca="1" si="68"/>
        <v>-1000</v>
      </c>
      <c r="Z26" s="27">
        <f t="shared" ca="1" si="68"/>
        <v>-1000</v>
      </c>
      <c r="AA26" s="27">
        <f t="shared" ca="1" si="68"/>
        <v>-1000</v>
      </c>
      <c r="AB26" s="27">
        <f t="shared" ca="1" si="68"/>
        <v>-1000</v>
      </c>
      <c r="AC26" s="27">
        <f t="shared" ca="1" si="68"/>
        <v>-1000</v>
      </c>
      <c r="AD26" s="27">
        <f t="shared" ca="1" si="68"/>
        <v>-1000</v>
      </c>
      <c r="AE26" s="27">
        <f t="shared" ca="1" si="68"/>
        <v>-1000</v>
      </c>
      <c r="AF26" s="27">
        <f t="shared" ca="1" si="68"/>
        <v>-1000</v>
      </c>
      <c r="AG26" s="27">
        <f t="shared" ca="1" si="68"/>
        <v>-1000</v>
      </c>
      <c r="AH26" s="27">
        <f t="shared" ca="1" si="68"/>
        <v>-1000</v>
      </c>
      <c r="AI26" s="27">
        <f t="shared" ca="1" si="68"/>
        <v>-1000</v>
      </c>
      <c r="AJ26" s="27">
        <f t="shared" ca="1" si="68"/>
        <v>-1000</v>
      </c>
      <c r="AK26" s="27">
        <f t="shared" ca="1" si="68"/>
        <v>-1000</v>
      </c>
      <c r="AL26" s="27">
        <f t="shared" ca="1" si="68"/>
        <v>-1000</v>
      </c>
      <c r="AM26" s="27">
        <f t="shared" ca="1" si="68"/>
        <v>-1000</v>
      </c>
      <c r="AN26" s="27">
        <f t="shared" ca="1" si="68"/>
        <v>-1000</v>
      </c>
      <c r="AO26" s="27">
        <f t="shared" ca="1" si="68"/>
        <v>-1000</v>
      </c>
      <c r="AP26" s="27">
        <f t="shared" ca="1" si="68"/>
        <v>-1000</v>
      </c>
      <c r="AQ26" s="27">
        <f t="shared" ca="1" si="68"/>
        <v>-1000</v>
      </c>
      <c r="AR26" s="27">
        <f t="shared" ca="1" si="68"/>
        <v>-1000</v>
      </c>
      <c r="AS26" s="27">
        <f t="shared" ca="1" si="68"/>
        <v>-1000</v>
      </c>
      <c r="AT26" s="27">
        <f t="shared" ca="1" si="68"/>
        <v>-1000</v>
      </c>
      <c r="AU26" s="27">
        <f t="shared" ca="1" si="68"/>
        <v>-1000</v>
      </c>
      <c r="AV26" s="27">
        <f t="shared" ca="1" si="68"/>
        <v>-1000</v>
      </c>
      <c r="AW26" s="27">
        <f t="shared" ca="1" si="68"/>
        <v>-1000</v>
      </c>
      <c r="AX26" s="27">
        <f t="shared" ca="1" si="68"/>
        <v>-1000</v>
      </c>
      <c r="AY26" s="27">
        <f t="shared" ca="1" si="68"/>
        <v>-1000</v>
      </c>
      <c r="AZ26" s="27">
        <f t="shared" ca="1" si="68"/>
        <v>-1000</v>
      </c>
      <c r="BA26" s="27">
        <f t="shared" ca="1" si="68"/>
        <v>-1000</v>
      </c>
      <c r="BB26" s="27">
        <f t="shared" ca="1" si="68"/>
        <v>-1000</v>
      </c>
      <c r="BC26" s="27">
        <f t="shared" ca="1" si="68"/>
        <v>-1000</v>
      </c>
      <c r="BD26" s="27">
        <f t="shared" ca="1" si="68"/>
        <v>-1000</v>
      </c>
      <c r="BE26" s="27">
        <f t="shared" ca="1" si="68"/>
        <v>-1000</v>
      </c>
      <c r="BF26" s="27">
        <f t="shared" ca="1" si="68"/>
        <v>-1000</v>
      </c>
      <c r="BG26" s="27">
        <f t="shared" ca="1" si="68"/>
        <v>-1000</v>
      </c>
      <c r="BH26" s="27">
        <f t="shared" ca="1" si="68"/>
        <v>-1000</v>
      </c>
      <c r="BI26" s="27">
        <f t="shared" ca="1" si="68"/>
        <v>-1000</v>
      </c>
      <c r="BJ26" s="27">
        <f t="shared" ca="1" si="68"/>
        <v>-1000</v>
      </c>
      <c r="BK26" s="27">
        <f t="shared" ca="1" si="68"/>
        <v>-1000</v>
      </c>
      <c r="BL26" s="27">
        <f t="shared" ca="1" si="68"/>
        <v>-1000</v>
      </c>
      <c r="BM26" s="27">
        <f t="shared" ca="1" si="68"/>
        <v>-1000</v>
      </c>
      <c r="BN26" s="27">
        <f t="shared" ca="1" si="68"/>
        <v>-1000</v>
      </c>
      <c r="BO26" s="27">
        <f t="shared" ca="1" si="68"/>
        <v>-1000</v>
      </c>
      <c r="BP26" s="27">
        <f t="shared" ca="1" si="68"/>
        <v>-1000</v>
      </c>
      <c r="BQ26" s="27">
        <f t="shared" ca="1" si="68"/>
        <v>-1000</v>
      </c>
      <c r="BR26" s="27">
        <f t="shared" ca="1" si="68"/>
        <v>-1000</v>
      </c>
      <c r="BS26" s="27">
        <f t="shared" ref="BS26:ED26" ca="1" si="69">IF(BS3=$C$24,1,-1000)</f>
        <v>-1000</v>
      </c>
      <c r="BT26" s="27">
        <f t="shared" ca="1" si="69"/>
        <v>-1000</v>
      </c>
      <c r="BU26" s="27">
        <f t="shared" ca="1" si="69"/>
        <v>-1000</v>
      </c>
      <c r="BV26" s="27">
        <f t="shared" ca="1" si="69"/>
        <v>-1000</v>
      </c>
      <c r="BW26" s="27">
        <f t="shared" ca="1" si="69"/>
        <v>-1000</v>
      </c>
      <c r="BX26" s="27">
        <f t="shared" ca="1" si="69"/>
        <v>-1000</v>
      </c>
      <c r="BY26" s="27">
        <f t="shared" ca="1" si="69"/>
        <v>-1000</v>
      </c>
      <c r="BZ26" s="27">
        <f t="shared" ca="1" si="69"/>
        <v>-1000</v>
      </c>
      <c r="CA26" s="27">
        <f t="shared" ca="1" si="69"/>
        <v>-1000</v>
      </c>
      <c r="CB26" s="27">
        <f t="shared" ca="1" si="69"/>
        <v>-1000</v>
      </c>
      <c r="CC26" s="27">
        <f t="shared" ca="1" si="69"/>
        <v>-1000</v>
      </c>
      <c r="CD26" s="27">
        <f t="shared" ca="1" si="69"/>
        <v>-1000</v>
      </c>
      <c r="CE26" s="27">
        <f t="shared" ca="1" si="69"/>
        <v>-1000</v>
      </c>
      <c r="CF26" s="27">
        <f t="shared" ca="1" si="69"/>
        <v>-1000</v>
      </c>
      <c r="CG26" s="27">
        <f t="shared" ca="1" si="69"/>
        <v>-1000</v>
      </c>
      <c r="CH26" s="27">
        <f t="shared" ca="1" si="69"/>
        <v>-1000</v>
      </c>
      <c r="CI26" s="27">
        <f t="shared" ca="1" si="69"/>
        <v>-1000</v>
      </c>
      <c r="CJ26" s="27">
        <f t="shared" ca="1" si="69"/>
        <v>-1000</v>
      </c>
      <c r="CK26" s="27">
        <f t="shared" ca="1" si="69"/>
        <v>-1000</v>
      </c>
      <c r="CL26" s="27">
        <f t="shared" ca="1" si="69"/>
        <v>-1000</v>
      </c>
      <c r="CM26" s="27">
        <f t="shared" ca="1" si="69"/>
        <v>-1000</v>
      </c>
      <c r="CN26" s="27">
        <f t="shared" ca="1" si="69"/>
        <v>-1000</v>
      </c>
      <c r="CO26" s="27">
        <f t="shared" ca="1" si="69"/>
        <v>-1000</v>
      </c>
      <c r="CP26" s="27">
        <f t="shared" ca="1" si="69"/>
        <v>-1000</v>
      </c>
      <c r="CQ26" s="27">
        <f t="shared" ca="1" si="69"/>
        <v>-1000</v>
      </c>
      <c r="CR26" s="27">
        <f t="shared" ca="1" si="69"/>
        <v>-1000</v>
      </c>
      <c r="CS26" s="27">
        <f t="shared" ca="1" si="69"/>
        <v>-1000</v>
      </c>
      <c r="CT26" s="27">
        <f t="shared" ca="1" si="69"/>
        <v>-1000</v>
      </c>
      <c r="CU26" s="27">
        <f t="shared" ca="1" si="69"/>
        <v>-1000</v>
      </c>
      <c r="CV26" s="27">
        <f t="shared" ca="1" si="69"/>
        <v>-1000</v>
      </c>
      <c r="CW26" s="27">
        <f t="shared" ca="1" si="69"/>
        <v>-1000</v>
      </c>
      <c r="CX26" s="27">
        <f t="shared" ca="1" si="69"/>
        <v>-1000</v>
      </c>
      <c r="CY26" s="27">
        <f t="shared" ca="1" si="69"/>
        <v>-1000</v>
      </c>
      <c r="CZ26" s="27">
        <f t="shared" ca="1" si="69"/>
        <v>-1000</v>
      </c>
      <c r="DA26" s="27">
        <f t="shared" ca="1" si="69"/>
        <v>-1000</v>
      </c>
      <c r="DB26" s="27">
        <f t="shared" ca="1" si="69"/>
        <v>-1000</v>
      </c>
      <c r="DC26" s="27">
        <f t="shared" ca="1" si="69"/>
        <v>-1000</v>
      </c>
      <c r="DD26" s="27">
        <f t="shared" ca="1" si="69"/>
        <v>-1000</v>
      </c>
      <c r="DE26" s="27">
        <f t="shared" ca="1" si="69"/>
        <v>-1000</v>
      </c>
      <c r="DF26" s="27">
        <f t="shared" ca="1" si="69"/>
        <v>-1000</v>
      </c>
      <c r="DG26" s="27">
        <f t="shared" ca="1" si="69"/>
        <v>-1000</v>
      </c>
      <c r="DH26" s="27">
        <f t="shared" ca="1" si="69"/>
        <v>-1000</v>
      </c>
      <c r="DI26" s="27">
        <f t="shared" ca="1" si="69"/>
        <v>-1000</v>
      </c>
      <c r="DJ26" s="27">
        <f t="shared" ca="1" si="69"/>
        <v>-1000</v>
      </c>
      <c r="DK26" s="27">
        <f t="shared" ca="1" si="69"/>
        <v>-1000</v>
      </c>
      <c r="DL26" s="27">
        <f t="shared" ca="1" si="69"/>
        <v>-1000</v>
      </c>
      <c r="DM26" s="27">
        <f t="shared" ca="1" si="69"/>
        <v>-1000</v>
      </c>
      <c r="DN26" s="27">
        <f t="shared" ca="1" si="69"/>
        <v>-1000</v>
      </c>
      <c r="DO26" s="27">
        <f t="shared" ca="1" si="69"/>
        <v>-1000</v>
      </c>
      <c r="DP26" s="27">
        <f t="shared" ca="1" si="69"/>
        <v>-1000</v>
      </c>
      <c r="DQ26" s="27">
        <f t="shared" ca="1" si="69"/>
        <v>-1000</v>
      </c>
      <c r="DR26" s="27">
        <f t="shared" ca="1" si="69"/>
        <v>-1000</v>
      </c>
      <c r="DS26" s="27">
        <f t="shared" ca="1" si="69"/>
        <v>-1000</v>
      </c>
      <c r="DT26" s="27">
        <f t="shared" ca="1" si="69"/>
        <v>-1000</v>
      </c>
      <c r="DU26" s="27">
        <f t="shared" ca="1" si="69"/>
        <v>-1000</v>
      </c>
      <c r="DV26" s="27">
        <f t="shared" ca="1" si="69"/>
        <v>-1000</v>
      </c>
      <c r="DW26" s="27">
        <f t="shared" ca="1" si="69"/>
        <v>-1000</v>
      </c>
      <c r="DX26" s="27">
        <f t="shared" ca="1" si="69"/>
        <v>-1000</v>
      </c>
      <c r="DY26" s="27">
        <f t="shared" ca="1" si="69"/>
        <v>-1000</v>
      </c>
      <c r="DZ26" s="27">
        <f t="shared" ca="1" si="69"/>
        <v>-1000</v>
      </c>
      <c r="EA26" s="27">
        <f t="shared" ca="1" si="69"/>
        <v>-1000</v>
      </c>
      <c r="EB26" s="27">
        <f t="shared" ca="1" si="69"/>
        <v>-1000</v>
      </c>
      <c r="EC26" s="27">
        <f t="shared" ca="1" si="69"/>
        <v>-1000</v>
      </c>
      <c r="ED26" s="27">
        <f t="shared" ca="1" si="69"/>
        <v>-1000</v>
      </c>
      <c r="EE26" s="27">
        <f t="shared" ref="EE26:GP26" ca="1" si="70">IF(EE3=$C$24,1,-1000)</f>
        <v>-1000</v>
      </c>
      <c r="EF26" s="27">
        <f t="shared" ca="1" si="70"/>
        <v>-1000</v>
      </c>
      <c r="EG26" s="27">
        <f t="shared" ca="1" si="70"/>
        <v>-1000</v>
      </c>
      <c r="EH26" s="27">
        <f t="shared" ca="1" si="70"/>
        <v>-1000</v>
      </c>
      <c r="EI26" s="27">
        <f t="shared" ca="1" si="70"/>
        <v>-1000</v>
      </c>
      <c r="EJ26" s="27">
        <f t="shared" ca="1" si="70"/>
        <v>-1000</v>
      </c>
      <c r="EK26" s="27">
        <f t="shared" ca="1" si="70"/>
        <v>-1000</v>
      </c>
      <c r="EL26" s="27">
        <f t="shared" ca="1" si="70"/>
        <v>-1000</v>
      </c>
      <c r="EM26" s="27">
        <f t="shared" ca="1" si="70"/>
        <v>-1000</v>
      </c>
      <c r="EN26" s="27">
        <f t="shared" ca="1" si="70"/>
        <v>-1000</v>
      </c>
      <c r="EO26" s="27">
        <f t="shared" ca="1" si="70"/>
        <v>-1000</v>
      </c>
      <c r="EP26" s="27">
        <f t="shared" ca="1" si="70"/>
        <v>-1000</v>
      </c>
      <c r="EQ26" s="27">
        <f t="shared" ca="1" si="70"/>
        <v>-1000</v>
      </c>
      <c r="ER26" s="27">
        <f t="shared" ca="1" si="70"/>
        <v>-1000</v>
      </c>
      <c r="ES26" s="27">
        <f t="shared" ca="1" si="70"/>
        <v>-1000</v>
      </c>
      <c r="ET26" s="27">
        <f t="shared" ca="1" si="70"/>
        <v>-1000</v>
      </c>
      <c r="EU26" s="27">
        <f t="shared" ca="1" si="70"/>
        <v>-1000</v>
      </c>
      <c r="EV26" s="27">
        <f t="shared" ca="1" si="70"/>
        <v>-1000</v>
      </c>
      <c r="EW26" s="27">
        <f t="shared" ca="1" si="70"/>
        <v>-1000</v>
      </c>
      <c r="EX26" s="27">
        <f t="shared" ca="1" si="70"/>
        <v>-1000</v>
      </c>
      <c r="EY26" s="27">
        <f t="shared" ca="1" si="70"/>
        <v>-1000</v>
      </c>
      <c r="EZ26" s="27">
        <f t="shared" ca="1" si="70"/>
        <v>-1000</v>
      </c>
      <c r="FA26" s="27">
        <f t="shared" ca="1" si="70"/>
        <v>-1000</v>
      </c>
      <c r="FB26" s="27">
        <f t="shared" ca="1" si="70"/>
        <v>-1000</v>
      </c>
      <c r="FC26" s="27">
        <f t="shared" ca="1" si="70"/>
        <v>-1000</v>
      </c>
      <c r="FD26" s="27">
        <f t="shared" ca="1" si="70"/>
        <v>-1000</v>
      </c>
      <c r="FE26" s="27">
        <f t="shared" ca="1" si="70"/>
        <v>-1000</v>
      </c>
      <c r="FF26" s="27">
        <f t="shared" ca="1" si="70"/>
        <v>-1000</v>
      </c>
      <c r="FG26" s="27">
        <f t="shared" ca="1" si="70"/>
        <v>-1000</v>
      </c>
      <c r="FH26" s="27">
        <f t="shared" ca="1" si="70"/>
        <v>-1000</v>
      </c>
      <c r="FI26" s="27">
        <f t="shared" ca="1" si="70"/>
        <v>-1000</v>
      </c>
      <c r="FJ26" s="27">
        <f t="shared" ca="1" si="70"/>
        <v>-1000</v>
      </c>
      <c r="FK26" s="27">
        <f t="shared" ca="1" si="70"/>
        <v>-1000</v>
      </c>
      <c r="FL26" s="27">
        <f t="shared" ca="1" si="70"/>
        <v>-1000</v>
      </c>
      <c r="FM26" s="27">
        <f t="shared" ca="1" si="70"/>
        <v>-1000</v>
      </c>
      <c r="FN26" s="27">
        <f t="shared" ca="1" si="70"/>
        <v>-1000</v>
      </c>
      <c r="FO26" s="27">
        <f t="shared" ca="1" si="70"/>
        <v>-1000</v>
      </c>
      <c r="FP26" s="27">
        <f t="shared" ca="1" si="70"/>
        <v>-1000</v>
      </c>
      <c r="FQ26" s="27">
        <f t="shared" ca="1" si="70"/>
        <v>-1000</v>
      </c>
      <c r="FR26" s="27">
        <f t="shared" ca="1" si="70"/>
        <v>-1000</v>
      </c>
      <c r="FS26" s="27">
        <f t="shared" ca="1" si="70"/>
        <v>-1000</v>
      </c>
      <c r="FT26" s="27">
        <f t="shared" ca="1" si="70"/>
        <v>-1000</v>
      </c>
      <c r="FU26" s="27">
        <f t="shared" ca="1" si="70"/>
        <v>-1000</v>
      </c>
      <c r="FV26" s="27">
        <f t="shared" ca="1" si="70"/>
        <v>-1000</v>
      </c>
      <c r="FW26" s="27">
        <f t="shared" ca="1" si="70"/>
        <v>-1000</v>
      </c>
      <c r="FX26" s="27">
        <f t="shared" ca="1" si="70"/>
        <v>-1000</v>
      </c>
      <c r="FY26" s="27">
        <f t="shared" ca="1" si="70"/>
        <v>-1000</v>
      </c>
      <c r="FZ26" s="27">
        <f t="shared" ca="1" si="70"/>
        <v>-1000</v>
      </c>
      <c r="GA26" s="27">
        <f t="shared" ca="1" si="70"/>
        <v>-1000</v>
      </c>
      <c r="GB26" s="27">
        <f t="shared" ca="1" si="70"/>
        <v>-1000</v>
      </c>
      <c r="GC26" s="27">
        <f t="shared" ca="1" si="70"/>
        <v>-1000</v>
      </c>
      <c r="GD26" s="27">
        <f t="shared" ca="1" si="70"/>
        <v>-1000</v>
      </c>
      <c r="GE26" s="27">
        <f t="shared" ca="1" si="70"/>
        <v>-1000</v>
      </c>
      <c r="GF26" s="27">
        <f t="shared" ca="1" si="70"/>
        <v>-1000</v>
      </c>
      <c r="GG26" s="27">
        <f t="shared" ca="1" si="70"/>
        <v>-1000</v>
      </c>
      <c r="GH26" s="27">
        <f t="shared" ca="1" si="70"/>
        <v>-1000</v>
      </c>
      <c r="GI26" s="27">
        <f t="shared" ca="1" si="70"/>
        <v>-1000</v>
      </c>
      <c r="GJ26" s="27">
        <f t="shared" ca="1" si="70"/>
        <v>-1000</v>
      </c>
      <c r="GK26" s="27">
        <f t="shared" ca="1" si="70"/>
        <v>-1000</v>
      </c>
      <c r="GL26" s="27">
        <f t="shared" ca="1" si="70"/>
        <v>-1000</v>
      </c>
      <c r="GM26" s="27">
        <f t="shared" ca="1" si="70"/>
        <v>-1000</v>
      </c>
      <c r="GN26" s="27">
        <f t="shared" ca="1" si="70"/>
        <v>-1000</v>
      </c>
      <c r="GO26" s="27">
        <f t="shared" ca="1" si="70"/>
        <v>-1000</v>
      </c>
      <c r="GP26" s="27">
        <f t="shared" ca="1" si="70"/>
        <v>-1000</v>
      </c>
      <c r="GQ26" s="27">
        <f t="shared" ref="GQ26:IN26" ca="1" si="71">IF(GQ3=$C$24,1,-1000)</f>
        <v>-1000</v>
      </c>
      <c r="GR26" s="27">
        <f t="shared" ca="1" si="71"/>
        <v>-1000</v>
      </c>
      <c r="GS26" s="27">
        <f t="shared" ca="1" si="71"/>
        <v>-1000</v>
      </c>
      <c r="GT26" s="27">
        <f t="shared" ca="1" si="71"/>
        <v>-1000</v>
      </c>
      <c r="GU26" s="27">
        <f t="shared" ca="1" si="71"/>
        <v>-1000</v>
      </c>
      <c r="GV26" s="27">
        <f t="shared" ca="1" si="71"/>
        <v>-1000</v>
      </c>
      <c r="GW26" s="27">
        <f t="shared" ca="1" si="71"/>
        <v>-1000</v>
      </c>
      <c r="GX26" s="27">
        <f t="shared" ca="1" si="71"/>
        <v>-1000</v>
      </c>
      <c r="GY26" s="27">
        <f t="shared" ca="1" si="71"/>
        <v>-1000</v>
      </c>
      <c r="GZ26" s="27">
        <f t="shared" ca="1" si="71"/>
        <v>-1000</v>
      </c>
      <c r="HA26" s="27">
        <f t="shared" ca="1" si="71"/>
        <v>-1000</v>
      </c>
      <c r="HB26" s="27">
        <f t="shared" ca="1" si="71"/>
        <v>-1000</v>
      </c>
      <c r="HC26" s="27">
        <f t="shared" ca="1" si="71"/>
        <v>-1000</v>
      </c>
      <c r="HD26" s="27">
        <f t="shared" ca="1" si="71"/>
        <v>-1000</v>
      </c>
      <c r="HE26" s="27">
        <f t="shared" ca="1" si="71"/>
        <v>-1000</v>
      </c>
      <c r="HF26" s="27">
        <f t="shared" ca="1" si="71"/>
        <v>-1000</v>
      </c>
      <c r="HG26" s="27">
        <f t="shared" ca="1" si="71"/>
        <v>-1000</v>
      </c>
      <c r="HH26" s="27">
        <f t="shared" ca="1" si="71"/>
        <v>-1000</v>
      </c>
      <c r="HI26" s="27">
        <f t="shared" ca="1" si="71"/>
        <v>-1000</v>
      </c>
      <c r="HJ26" s="27">
        <f t="shared" ca="1" si="71"/>
        <v>-1000</v>
      </c>
      <c r="HK26" s="27">
        <f t="shared" ca="1" si="71"/>
        <v>-1000</v>
      </c>
      <c r="HL26" s="27">
        <f t="shared" ca="1" si="71"/>
        <v>-1000</v>
      </c>
      <c r="HM26" s="27">
        <f t="shared" ca="1" si="71"/>
        <v>-1000</v>
      </c>
      <c r="HN26" s="27">
        <f t="shared" ca="1" si="71"/>
        <v>-1000</v>
      </c>
      <c r="HO26" s="27">
        <f t="shared" ca="1" si="71"/>
        <v>-1000</v>
      </c>
      <c r="HP26" s="27">
        <f t="shared" ca="1" si="71"/>
        <v>-1000</v>
      </c>
      <c r="HQ26" s="27">
        <f t="shared" ca="1" si="71"/>
        <v>-1000</v>
      </c>
      <c r="HR26" s="27">
        <f t="shared" ca="1" si="71"/>
        <v>-1000</v>
      </c>
      <c r="HS26" s="27">
        <f t="shared" ca="1" si="71"/>
        <v>-1000</v>
      </c>
      <c r="HT26" s="27">
        <f t="shared" ca="1" si="71"/>
        <v>-1000</v>
      </c>
      <c r="HU26" s="27">
        <f t="shared" ca="1" si="71"/>
        <v>-1000</v>
      </c>
      <c r="HV26" s="27">
        <f t="shared" ca="1" si="71"/>
        <v>-1000</v>
      </c>
      <c r="HW26" s="27">
        <f t="shared" ca="1" si="71"/>
        <v>-1000</v>
      </c>
      <c r="HX26" s="27">
        <f t="shared" ca="1" si="71"/>
        <v>-1000</v>
      </c>
      <c r="HY26" s="27">
        <f t="shared" ca="1" si="71"/>
        <v>-1000</v>
      </c>
      <c r="HZ26" s="27">
        <f t="shared" ca="1" si="71"/>
        <v>-1000</v>
      </c>
      <c r="IA26" s="27">
        <f t="shared" ca="1" si="71"/>
        <v>-1000</v>
      </c>
      <c r="IB26" s="27">
        <f t="shared" ca="1" si="71"/>
        <v>-1000</v>
      </c>
      <c r="IC26" s="27">
        <f t="shared" ca="1" si="71"/>
        <v>-1000</v>
      </c>
      <c r="ID26" s="27">
        <f t="shared" ca="1" si="71"/>
        <v>-1000</v>
      </c>
      <c r="IE26" s="27">
        <f t="shared" ca="1" si="71"/>
        <v>-1000</v>
      </c>
      <c r="IF26" s="27">
        <f t="shared" ca="1" si="71"/>
        <v>-1000</v>
      </c>
      <c r="IG26" s="27">
        <f t="shared" ca="1" si="71"/>
        <v>-1000</v>
      </c>
      <c r="IH26" s="27">
        <f t="shared" ca="1" si="71"/>
        <v>-1000</v>
      </c>
      <c r="II26" s="27">
        <f t="shared" ca="1" si="71"/>
        <v>-1000</v>
      </c>
      <c r="IJ26" s="27">
        <f t="shared" ca="1" si="71"/>
        <v>-1000</v>
      </c>
      <c r="IK26" s="27">
        <f t="shared" ca="1" si="71"/>
        <v>-1000</v>
      </c>
      <c r="IL26" s="27">
        <f t="shared" ca="1" si="71"/>
        <v>-1000</v>
      </c>
      <c r="IM26" s="27">
        <f t="shared" ca="1" si="71"/>
        <v>-1000</v>
      </c>
      <c r="IN26" s="27">
        <f t="shared" ca="1" si="71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14298</v>
      </c>
      <c r="D27" s="24">
        <f ca="1">IF(D31="N/A",C16*1.5,_xlfn.MAXIFS(G18:IN18,G3:IN3,"&lt;"&amp;$D$31)*1.5)</f>
        <v>5396.3579072360371</v>
      </c>
      <c r="F27" s="22" t="s">
        <v>505</v>
      </c>
      <c r="G27" s="27">
        <f t="shared" ref="G27:BR27" ca="1" si="72">IF(G26=1,-1000,IF(G3=$C$23,1,-1000))</f>
        <v>-1000</v>
      </c>
      <c r="H27" s="27">
        <f t="shared" ca="1" si="72"/>
        <v>-1000</v>
      </c>
      <c r="I27" s="27">
        <f t="shared" ca="1" si="72"/>
        <v>-1000</v>
      </c>
      <c r="J27" s="27">
        <f t="shared" ca="1" si="72"/>
        <v>-1000</v>
      </c>
      <c r="K27" s="27">
        <f t="shared" ca="1" si="72"/>
        <v>-1000</v>
      </c>
      <c r="L27" s="27">
        <f t="shared" ca="1" si="72"/>
        <v>-1000</v>
      </c>
      <c r="M27" s="27">
        <f t="shared" ca="1" si="72"/>
        <v>-1000</v>
      </c>
      <c r="N27" s="27">
        <f t="shared" ca="1" si="72"/>
        <v>-1000</v>
      </c>
      <c r="O27" s="27">
        <f t="shared" ca="1" si="72"/>
        <v>-1000</v>
      </c>
      <c r="P27" s="27">
        <f t="shared" ca="1" si="72"/>
        <v>1</v>
      </c>
      <c r="Q27" s="27">
        <f t="shared" ca="1" si="72"/>
        <v>-1000</v>
      </c>
      <c r="R27" s="27">
        <f t="shared" ca="1" si="72"/>
        <v>-1000</v>
      </c>
      <c r="S27" s="27">
        <f t="shared" ca="1" si="72"/>
        <v>-1000</v>
      </c>
      <c r="T27" s="27">
        <f t="shared" ca="1" si="72"/>
        <v>-1000</v>
      </c>
      <c r="U27" s="27">
        <f t="shared" ca="1" si="72"/>
        <v>-1000</v>
      </c>
      <c r="V27" s="27">
        <f t="shared" ca="1" si="72"/>
        <v>-1000</v>
      </c>
      <c r="W27" s="27">
        <f t="shared" ca="1" si="72"/>
        <v>-1000</v>
      </c>
      <c r="X27" s="27">
        <f t="shared" ca="1" si="72"/>
        <v>-1000</v>
      </c>
      <c r="Y27" s="27">
        <f t="shared" ca="1" si="72"/>
        <v>-1000</v>
      </c>
      <c r="Z27" s="27">
        <f t="shared" ca="1" si="72"/>
        <v>-1000</v>
      </c>
      <c r="AA27" s="27">
        <f t="shared" ca="1" si="72"/>
        <v>-1000</v>
      </c>
      <c r="AB27" s="27">
        <f t="shared" ca="1" si="72"/>
        <v>-1000</v>
      </c>
      <c r="AC27" s="27">
        <f t="shared" ca="1" si="72"/>
        <v>-1000</v>
      </c>
      <c r="AD27" s="27">
        <f t="shared" ca="1" si="72"/>
        <v>-1000</v>
      </c>
      <c r="AE27" s="27">
        <f t="shared" ca="1" si="72"/>
        <v>-1000</v>
      </c>
      <c r="AF27" s="27">
        <f t="shared" ca="1" si="72"/>
        <v>-1000</v>
      </c>
      <c r="AG27" s="27">
        <f t="shared" ca="1" si="72"/>
        <v>-1000</v>
      </c>
      <c r="AH27" s="27">
        <f t="shared" ca="1" si="72"/>
        <v>-1000</v>
      </c>
      <c r="AI27" s="27">
        <f t="shared" ca="1" si="72"/>
        <v>-1000</v>
      </c>
      <c r="AJ27" s="27">
        <f t="shared" ca="1" si="72"/>
        <v>-1000</v>
      </c>
      <c r="AK27" s="27">
        <f t="shared" ca="1" si="72"/>
        <v>-1000</v>
      </c>
      <c r="AL27" s="27">
        <f t="shared" ca="1" si="72"/>
        <v>-1000</v>
      </c>
      <c r="AM27" s="27">
        <f t="shared" ca="1" si="72"/>
        <v>-1000</v>
      </c>
      <c r="AN27" s="27">
        <f t="shared" ca="1" si="72"/>
        <v>-1000</v>
      </c>
      <c r="AO27" s="27">
        <f t="shared" ca="1" si="72"/>
        <v>-1000</v>
      </c>
      <c r="AP27" s="27">
        <f t="shared" ca="1" si="72"/>
        <v>-1000</v>
      </c>
      <c r="AQ27" s="27">
        <f t="shared" ca="1" si="72"/>
        <v>-1000</v>
      </c>
      <c r="AR27" s="27">
        <f t="shared" ca="1" si="72"/>
        <v>-1000</v>
      </c>
      <c r="AS27" s="27">
        <f t="shared" ca="1" si="72"/>
        <v>-1000</v>
      </c>
      <c r="AT27" s="27">
        <f t="shared" ca="1" si="72"/>
        <v>-1000</v>
      </c>
      <c r="AU27" s="27">
        <f t="shared" ca="1" si="72"/>
        <v>-1000</v>
      </c>
      <c r="AV27" s="27">
        <f t="shared" ca="1" si="72"/>
        <v>-1000</v>
      </c>
      <c r="AW27" s="27">
        <f t="shared" ca="1" si="72"/>
        <v>-1000</v>
      </c>
      <c r="AX27" s="27">
        <f t="shared" ca="1" si="72"/>
        <v>-1000</v>
      </c>
      <c r="AY27" s="27">
        <f t="shared" ca="1" si="72"/>
        <v>-1000</v>
      </c>
      <c r="AZ27" s="27">
        <f t="shared" ca="1" si="72"/>
        <v>-1000</v>
      </c>
      <c r="BA27" s="27">
        <f t="shared" ca="1" si="72"/>
        <v>-1000</v>
      </c>
      <c r="BB27" s="27">
        <f t="shared" ca="1" si="72"/>
        <v>-1000</v>
      </c>
      <c r="BC27" s="27">
        <f t="shared" ca="1" si="72"/>
        <v>-1000</v>
      </c>
      <c r="BD27" s="27">
        <f t="shared" ca="1" si="72"/>
        <v>-1000</v>
      </c>
      <c r="BE27" s="27">
        <f t="shared" ca="1" si="72"/>
        <v>-1000</v>
      </c>
      <c r="BF27" s="27">
        <f t="shared" ca="1" si="72"/>
        <v>-1000</v>
      </c>
      <c r="BG27" s="27">
        <f t="shared" ca="1" si="72"/>
        <v>-1000</v>
      </c>
      <c r="BH27" s="27">
        <f t="shared" ca="1" si="72"/>
        <v>-1000</v>
      </c>
      <c r="BI27" s="27">
        <f t="shared" ca="1" si="72"/>
        <v>-1000</v>
      </c>
      <c r="BJ27" s="27">
        <f t="shared" ca="1" si="72"/>
        <v>-1000</v>
      </c>
      <c r="BK27" s="27">
        <f t="shared" ca="1" si="72"/>
        <v>-1000</v>
      </c>
      <c r="BL27" s="27">
        <f t="shared" ca="1" si="72"/>
        <v>-1000</v>
      </c>
      <c r="BM27" s="27">
        <f t="shared" ca="1" si="72"/>
        <v>-1000</v>
      </c>
      <c r="BN27" s="27">
        <f t="shared" ca="1" si="72"/>
        <v>-1000</v>
      </c>
      <c r="BO27" s="27">
        <f t="shared" ca="1" si="72"/>
        <v>-1000</v>
      </c>
      <c r="BP27" s="27">
        <f t="shared" ca="1" si="72"/>
        <v>-1000</v>
      </c>
      <c r="BQ27" s="27">
        <f t="shared" ca="1" si="72"/>
        <v>-1000</v>
      </c>
      <c r="BR27" s="27">
        <f t="shared" ca="1" si="72"/>
        <v>-1000</v>
      </c>
      <c r="BS27" s="27">
        <f t="shared" ref="BS27:ED27" ca="1" si="73">IF(BS26=1,-1000,IF(BS3=$C$23,1,-1000))</f>
        <v>-1000</v>
      </c>
      <c r="BT27" s="27">
        <f t="shared" ca="1" si="73"/>
        <v>-1000</v>
      </c>
      <c r="BU27" s="27">
        <f t="shared" ca="1" si="73"/>
        <v>-1000</v>
      </c>
      <c r="BV27" s="27">
        <f t="shared" ca="1" si="73"/>
        <v>-1000</v>
      </c>
      <c r="BW27" s="27">
        <f t="shared" ca="1" si="73"/>
        <v>-1000</v>
      </c>
      <c r="BX27" s="27">
        <f t="shared" ca="1" si="73"/>
        <v>-1000</v>
      </c>
      <c r="BY27" s="27">
        <f t="shared" ca="1" si="73"/>
        <v>-1000</v>
      </c>
      <c r="BZ27" s="27">
        <f t="shared" ca="1" si="73"/>
        <v>-1000</v>
      </c>
      <c r="CA27" s="27">
        <f t="shared" ca="1" si="73"/>
        <v>-1000</v>
      </c>
      <c r="CB27" s="27">
        <f t="shared" ca="1" si="73"/>
        <v>-1000</v>
      </c>
      <c r="CC27" s="27">
        <f t="shared" ca="1" si="73"/>
        <v>-1000</v>
      </c>
      <c r="CD27" s="27">
        <f t="shared" ca="1" si="73"/>
        <v>-1000</v>
      </c>
      <c r="CE27" s="27">
        <f t="shared" ca="1" si="73"/>
        <v>-1000</v>
      </c>
      <c r="CF27" s="27">
        <f t="shared" ca="1" si="73"/>
        <v>-1000</v>
      </c>
      <c r="CG27" s="27">
        <f t="shared" ca="1" si="73"/>
        <v>-1000</v>
      </c>
      <c r="CH27" s="27">
        <f t="shared" ca="1" si="73"/>
        <v>-1000</v>
      </c>
      <c r="CI27" s="27">
        <f t="shared" ca="1" si="73"/>
        <v>-1000</v>
      </c>
      <c r="CJ27" s="27">
        <f t="shared" ca="1" si="73"/>
        <v>-1000</v>
      </c>
      <c r="CK27" s="27">
        <f t="shared" ca="1" si="73"/>
        <v>-1000</v>
      </c>
      <c r="CL27" s="27">
        <f t="shared" ca="1" si="73"/>
        <v>-1000</v>
      </c>
      <c r="CM27" s="27">
        <f t="shared" ca="1" si="73"/>
        <v>-1000</v>
      </c>
      <c r="CN27" s="27">
        <f t="shared" ca="1" si="73"/>
        <v>-1000</v>
      </c>
      <c r="CO27" s="27">
        <f t="shared" ca="1" si="73"/>
        <v>-1000</v>
      </c>
      <c r="CP27" s="27">
        <f t="shared" ca="1" si="73"/>
        <v>-1000</v>
      </c>
      <c r="CQ27" s="27">
        <f t="shared" ca="1" si="73"/>
        <v>-1000</v>
      </c>
      <c r="CR27" s="27">
        <f t="shared" ca="1" si="73"/>
        <v>-1000</v>
      </c>
      <c r="CS27" s="27">
        <f t="shared" ca="1" si="73"/>
        <v>-1000</v>
      </c>
      <c r="CT27" s="27">
        <f t="shared" ca="1" si="73"/>
        <v>-1000</v>
      </c>
      <c r="CU27" s="27">
        <f t="shared" ca="1" si="73"/>
        <v>-1000</v>
      </c>
      <c r="CV27" s="27">
        <f t="shared" ca="1" si="73"/>
        <v>-1000</v>
      </c>
      <c r="CW27" s="27">
        <f t="shared" ca="1" si="73"/>
        <v>-1000</v>
      </c>
      <c r="CX27" s="27">
        <f t="shared" ca="1" si="73"/>
        <v>-1000</v>
      </c>
      <c r="CY27" s="27">
        <f t="shared" ca="1" si="73"/>
        <v>-1000</v>
      </c>
      <c r="CZ27" s="27">
        <f t="shared" ca="1" si="73"/>
        <v>-1000</v>
      </c>
      <c r="DA27" s="27">
        <f t="shared" ca="1" si="73"/>
        <v>-1000</v>
      </c>
      <c r="DB27" s="27">
        <f t="shared" ca="1" si="73"/>
        <v>-1000</v>
      </c>
      <c r="DC27" s="27">
        <f t="shared" ca="1" si="73"/>
        <v>-1000</v>
      </c>
      <c r="DD27" s="27">
        <f t="shared" ca="1" si="73"/>
        <v>-1000</v>
      </c>
      <c r="DE27" s="27">
        <f t="shared" ca="1" si="73"/>
        <v>-1000</v>
      </c>
      <c r="DF27" s="27">
        <f t="shared" ca="1" si="73"/>
        <v>-1000</v>
      </c>
      <c r="DG27" s="27">
        <f t="shared" ca="1" si="73"/>
        <v>-1000</v>
      </c>
      <c r="DH27" s="27">
        <f t="shared" ca="1" si="73"/>
        <v>-1000</v>
      </c>
      <c r="DI27" s="27">
        <f t="shared" ca="1" si="73"/>
        <v>-1000</v>
      </c>
      <c r="DJ27" s="27">
        <f t="shared" ca="1" si="73"/>
        <v>-1000</v>
      </c>
      <c r="DK27" s="27">
        <f t="shared" ca="1" si="73"/>
        <v>-1000</v>
      </c>
      <c r="DL27" s="27">
        <f t="shared" ca="1" si="73"/>
        <v>-1000</v>
      </c>
      <c r="DM27" s="27">
        <f t="shared" ca="1" si="73"/>
        <v>-1000</v>
      </c>
      <c r="DN27" s="27">
        <f t="shared" ca="1" si="73"/>
        <v>-1000</v>
      </c>
      <c r="DO27" s="27">
        <f t="shared" ca="1" si="73"/>
        <v>-1000</v>
      </c>
      <c r="DP27" s="27">
        <f t="shared" ca="1" si="73"/>
        <v>-1000</v>
      </c>
      <c r="DQ27" s="27">
        <f t="shared" ca="1" si="73"/>
        <v>-1000</v>
      </c>
      <c r="DR27" s="27">
        <f t="shared" ca="1" si="73"/>
        <v>-1000</v>
      </c>
      <c r="DS27" s="27">
        <f t="shared" ca="1" si="73"/>
        <v>-1000</v>
      </c>
      <c r="DT27" s="27">
        <f t="shared" ca="1" si="73"/>
        <v>-1000</v>
      </c>
      <c r="DU27" s="27">
        <f t="shared" ca="1" si="73"/>
        <v>-1000</v>
      </c>
      <c r="DV27" s="27">
        <f t="shared" ca="1" si="73"/>
        <v>-1000</v>
      </c>
      <c r="DW27" s="27">
        <f t="shared" ca="1" si="73"/>
        <v>-1000</v>
      </c>
      <c r="DX27" s="27">
        <f t="shared" ca="1" si="73"/>
        <v>-1000</v>
      </c>
      <c r="DY27" s="27">
        <f t="shared" ca="1" si="73"/>
        <v>-1000</v>
      </c>
      <c r="DZ27" s="27">
        <f t="shared" ca="1" si="73"/>
        <v>-1000</v>
      </c>
      <c r="EA27" s="27">
        <f t="shared" ca="1" si="73"/>
        <v>-1000</v>
      </c>
      <c r="EB27" s="27">
        <f t="shared" ca="1" si="73"/>
        <v>-1000</v>
      </c>
      <c r="EC27" s="27">
        <f t="shared" ca="1" si="73"/>
        <v>-1000</v>
      </c>
      <c r="ED27" s="27">
        <f t="shared" ca="1" si="73"/>
        <v>-1000</v>
      </c>
      <c r="EE27" s="27">
        <f t="shared" ref="EE27:GP27" ca="1" si="74">IF(EE26=1,-1000,IF(EE3=$C$23,1,-1000))</f>
        <v>-1000</v>
      </c>
      <c r="EF27" s="27">
        <f t="shared" ca="1" si="74"/>
        <v>-1000</v>
      </c>
      <c r="EG27" s="27">
        <f t="shared" ca="1" si="74"/>
        <v>-1000</v>
      </c>
      <c r="EH27" s="27">
        <f t="shared" ca="1" si="74"/>
        <v>-1000</v>
      </c>
      <c r="EI27" s="27">
        <f t="shared" ca="1" si="74"/>
        <v>-1000</v>
      </c>
      <c r="EJ27" s="27">
        <f t="shared" ca="1" si="74"/>
        <v>-1000</v>
      </c>
      <c r="EK27" s="27">
        <f t="shared" ca="1" si="74"/>
        <v>-1000</v>
      </c>
      <c r="EL27" s="27">
        <f t="shared" ca="1" si="74"/>
        <v>-1000</v>
      </c>
      <c r="EM27" s="27">
        <f t="shared" ca="1" si="74"/>
        <v>-1000</v>
      </c>
      <c r="EN27" s="27">
        <f t="shared" ca="1" si="74"/>
        <v>-1000</v>
      </c>
      <c r="EO27" s="27">
        <f t="shared" ca="1" si="74"/>
        <v>-1000</v>
      </c>
      <c r="EP27" s="27">
        <f t="shared" ca="1" si="74"/>
        <v>-1000</v>
      </c>
      <c r="EQ27" s="27">
        <f t="shared" ca="1" si="74"/>
        <v>-1000</v>
      </c>
      <c r="ER27" s="27">
        <f t="shared" ca="1" si="74"/>
        <v>-1000</v>
      </c>
      <c r="ES27" s="27">
        <f t="shared" ca="1" si="74"/>
        <v>-1000</v>
      </c>
      <c r="ET27" s="27">
        <f t="shared" ca="1" si="74"/>
        <v>-1000</v>
      </c>
      <c r="EU27" s="27">
        <f t="shared" ca="1" si="74"/>
        <v>-1000</v>
      </c>
      <c r="EV27" s="27">
        <f t="shared" ca="1" si="74"/>
        <v>-1000</v>
      </c>
      <c r="EW27" s="27">
        <f t="shared" ca="1" si="74"/>
        <v>-1000</v>
      </c>
      <c r="EX27" s="27">
        <f t="shared" ca="1" si="74"/>
        <v>-1000</v>
      </c>
      <c r="EY27" s="27">
        <f t="shared" ca="1" si="74"/>
        <v>-1000</v>
      </c>
      <c r="EZ27" s="27">
        <f t="shared" ca="1" si="74"/>
        <v>-1000</v>
      </c>
      <c r="FA27" s="27">
        <f t="shared" ca="1" si="74"/>
        <v>-1000</v>
      </c>
      <c r="FB27" s="27">
        <f t="shared" ca="1" si="74"/>
        <v>-1000</v>
      </c>
      <c r="FC27" s="27">
        <f t="shared" ca="1" si="74"/>
        <v>-1000</v>
      </c>
      <c r="FD27" s="27">
        <f t="shared" ca="1" si="74"/>
        <v>-1000</v>
      </c>
      <c r="FE27" s="27">
        <f t="shared" ca="1" si="74"/>
        <v>-1000</v>
      </c>
      <c r="FF27" s="27">
        <f t="shared" ca="1" si="74"/>
        <v>-1000</v>
      </c>
      <c r="FG27" s="27">
        <f t="shared" ca="1" si="74"/>
        <v>-1000</v>
      </c>
      <c r="FH27" s="27">
        <f t="shared" ca="1" si="74"/>
        <v>-1000</v>
      </c>
      <c r="FI27" s="27">
        <f t="shared" ca="1" si="74"/>
        <v>-1000</v>
      </c>
      <c r="FJ27" s="27">
        <f t="shared" ca="1" si="74"/>
        <v>-1000</v>
      </c>
      <c r="FK27" s="27">
        <f t="shared" ca="1" si="74"/>
        <v>-1000</v>
      </c>
      <c r="FL27" s="27">
        <f t="shared" ca="1" si="74"/>
        <v>-1000</v>
      </c>
      <c r="FM27" s="27">
        <f t="shared" ca="1" si="74"/>
        <v>-1000</v>
      </c>
      <c r="FN27" s="27">
        <f t="shared" ca="1" si="74"/>
        <v>-1000</v>
      </c>
      <c r="FO27" s="27">
        <f t="shared" ca="1" si="74"/>
        <v>-1000</v>
      </c>
      <c r="FP27" s="27">
        <f t="shared" ca="1" si="74"/>
        <v>-1000</v>
      </c>
      <c r="FQ27" s="27">
        <f t="shared" ca="1" si="74"/>
        <v>-1000</v>
      </c>
      <c r="FR27" s="27">
        <f t="shared" ca="1" si="74"/>
        <v>-1000</v>
      </c>
      <c r="FS27" s="27">
        <f t="shared" ca="1" si="74"/>
        <v>-1000</v>
      </c>
      <c r="FT27" s="27">
        <f t="shared" ca="1" si="74"/>
        <v>-1000</v>
      </c>
      <c r="FU27" s="27">
        <f t="shared" ca="1" si="74"/>
        <v>-1000</v>
      </c>
      <c r="FV27" s="27">
        <f t="shared" ca="1" si="74"/>
        <v>-1000</v>
      </c>
      <c r="FW27" s="27">
        <f t="shared" ca="1" si="74"/>
        <v>-1000</v>
      </c>
      <c r="FX27" s="27">
        <f t="shared" ca="1" si="74"/>
        <v>-1000</v>
      </c>
      <c r="FY27" s="27">
        <f t="shared" ca="1" si="74"/>
        <v>-1000</v>
      </c>
      <c r="FZ27" s="27">
        <f t="shared" ca="1" si="74"/>
        <v>-1000</v>
      </c>
      <c r="GA27" s="27">
        <f t="shared" ca="1" si="74"/>
        <v>-1000</v>
      </c>
      <c r="GB27" s="27">
        <f t="shared" ca="1" si="74"/>
        <v>-1000</v>
      </c>
      <c r="GC27" s="27">
        <f t="shared" ca="1" si="74"/>
        <v>-1000</v>
      </c>
      <c r="GD27" s="27">
        <f t="shared" ca="1" si="74"/>
        <v>-1000</v>
      </c>
      <c r="GE27" s="27">
        <f t="shared" ca="1" si="74"/>
        <v>-1000</v>
      </c>
      <c r="GF27" s="27">
        <f t="shared" ca="1" si="74"/>
        <v>-1000</v>
      </c>
      <c r="GG27" s="27">
        <f t="shared" ca="1" si="74"/>
        <v>-1000</v>
      </c>
      <c r="GH27" s="27">
        <f t="shared" ca="1" si="74"/>
        <v>-1000</v>
      </c>
      <c r="GI27" s="27">
        <f t="shared" ca="1" si="74"/>
        <v>-1000</v>
      </c>
      <c r="GJ27" s="27">
        <f t="shared" ca="1" si="74"/>
        <v>-1000</v>
      </c>
      <c r="GK27" s="27">
        <f t="shared" ca="1" si="74"/>
        <v>-1000</v>
      </c>
      <c r="GL27" s="27">
        <f t="shared" ca="1" si="74"/>
        <v>-1000</v>
      </c>
      <c r="GM27" s="27">
        <f t="shared" ca="1" si="74"/>
        <v>-1000</v>
      </c>
      <c r="GN27" s="27">
        <f t="shared" ca="1" si="74"/>
        <v>-1000</v>
      </c>
      <c r="GO27" s="27">
        <f t="shared" ca="1" si="74"/>
        <v>-1000</v>
      </c>
      <c r="GP27" s="27">
        <f t="shared" ca="1" si="74"/>
        <v>-1000</v>
      </c>
      <c r="GQ27" s="27">
        <f t="shared" ref="GQ27:IN27" ca="1" si="75">IF(GQ26=1,-1000,IF(GQ3=$C$23,1,-1000))</f>
        <v>-1000</v>
      </c>
      <c r="GR27" s="27">
        <f t="shared" ca="1" si="75"/>
        <v>-1000</v>
      </c>
      <c r="GS27" s="27">
        <f t="shared" ca="1" si="75"/>
        <v>-1000</v>
      </c>
      <c r="GT27" s="27">
        <f t="shared" ca="1" si="75"/>
        <v>-1000</v>
      </c>
      <c r="GU27" s="27">
        <f t="shared" ca="1" si="75"/>
        <v>-1000</v>
      </c>
      <c r="GV27" s="27">
        <f t="shared" ca="1" si="75"/>
        <v>-1000</v>
      </c>
      <c r="GW27" s="27">
        <f t="shared" ca="1" si="75"/>
        <v>-1000</v>
      </c>
      <c r="GX27" s="27">
        <f t="shared" ca="1" si="75"/>
        <v>-1000</v>
      </c>
      <c r="GY27" s="27">
        <f t="shared" ca="1" si="75"/>
        <v>-1000</v>
      </c>
      <c r="GZ27" s="27">
        <f t="shared" ca="1" si="75"/>
        <v>-1000</v>
      </c>
      <c r="HA27" s="27">
        <f t="shared" ca="1" si="75"/>
        <v>-1000</v>
      </c>
      <c r="HB27" s="27">
        <f t="shared" ca="1" si="75"/>
        <v>-1000</v>
      </c>
      <c r="HC27" s="27">
        <f t="shared" ca="1" si="75"/>
        <v>-1000</v>
      </c>
      <c r="HD27" s="27">
        <f t="shared" ca="1" si="75"/>
        <v>-1000</v>
      </c>
      <c r="HE27" s="27">
        <f t="shared" ca="1" si="75"/>
        <v>-1000</v>
      </c>
      <c r="HF27" s="27">
        <f t="shared" ca="1" si="75"/>
        <v>-1000</v>
      </c>
      <c r="HG27" s="27">
        <f t="shared" ca="1" si="75"/>
        <v>-1000</v>
      </c>
      <c r="HH27" s="27">
        <f t="shared" ca="1" si="75"/>
        <v>-1000</v>
      </c>
      <c r="HI27" s="27">
        <f t="shared" ca="1" si="75"/>
        <v>-1000</v>
      </c>
      <c r="HJ27" s="27">
        <f t="shared" ca="1" si="75"/>
        <v>-1000</v>
      </c>
      <c r="HK27" s="27">
        <f t="shared" ca="1" si="75"/>
        <v>-1000</v>
      </c>
      <c r="HL27" s="27">
        <f t="shared" ca="1" si="75"/>
        <v>-1000</v>
      </c>
      <c r="HM27" s="27">
        <f t="shared" ca="1" si="75"/>
        <v>-1000</v>
      </c>
      <c r="HN27" s="27">
        <f t="shared" ca="1" si="75"/>
        <v>-1000</v>
      </c>
      <c r="HO27" s="27">
        <f t="shared" ca="1" si="75"/>
        <v>-1000</v>
      </c>
      <c r="HP27" s="27">
        <f t="shared" ca="1" si="75"/>
        <v>-1000</v>
      </c>
      <c r="HQ27" s="27">
        <f t="shared" ca="1" si="75"/>
        <v>-1000</v>
      </c>
      <c r="HR27" s="27">
        <f t="shared" ca="1" si="75"/>
        <v>-1000</v>
      </c>
      <c r="HS27" s="27">
        <f t="shared" ca="1" si="75"/>
        <v>-1000</v>
      </c>
      <c r="HT27" s="27">
        <f t="shared" ca="1" si="75"/>
        <v>-1000</v>
      </c>
      <c r="HU27" s="27">
        <f t="shared" ca="1" si="75"/>
        <v>-1000</v>
      </c>
      <c r="HV27" s="27">
        <f t="shared" ca="1" si="75"/>
        <v>-1000</v>
      </c>
      <c r="HW27" s="27">
        <f t="shared" ca="1" si="75"/>
        <v>-1000</v>
      </c>
      <c r="HX27" s="27">
        <f t="shared" ca="1" si="75"/>
        <v>-1000</v>
      </c>
      <c r="HY27" s="27">
        <f t="shared" ca="1" si="75"/>
        <v>-1000</v>
      </c>
      <c r="HZ27" s="27">
        <f t="shared" ca="1" si="75"/>
        <v>-1000</v>
      </c>
      <c r="IA27" s="27">
        <f t="shared" ca="1" si="75"/>
        <v>-1000</v>
      </c>
      <c r="IB27" s="27">
        <f t="shared" ca="1" si="75"/>
        <v>-1000</v>
      </c>
      <c r="IC27" s="27">
        <f t="shared" ca="1" si="75"/>
        <v>-1000</v>
      </c>
      <c r="ID27" s="27">
        <f t="shared" ca="1" si="75"/>
        <v>-1000</v>
      </c>
      <c r="IE27" s="27">
        <f t="shared" ca="1" si="75"/>
        <v>-1000</v>
      </c>
      <c r="IF27" s="27">
        <f t="shared" ca="1" si="75"/>
        <v>-1000</v>
      </c>
      <c r="IG27" s="27">
        <f t="shared" ca="1" si="75"/>
        <v>-1000</v>
      </c>
      <c r="IH27" s="27">
        <f t="shared" ca="1" si="75"/>
        <v>-1000</v>
      </c>
      <c r="II27" s="27">
        <f t="shared" ca="1" si="75"/>
        <v>-1000</v>
      </c>
      <c r="IJ27" s="27">
        <f t="shared" ca="1" si="75"/>
        <v>-1000</v>
      </c>
      <c r="IK27" s="27">
        <f t="shared" ca="1" si="75"/>
        <v>-1000</v>
      </c>
      <c r="IL27" s="27">
        <f t="shared" ca="1" si="75"/>
        <v>-1000</v>
      </c>
      <c r="IM27" s="27">
        <f t="shared" ca="1" si="75"/>
        <v>-1000</v>
      </c>
      <c r="IN27" s="27">
        <f t="shared" ca="1" si="75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</row>
    <row r="30" spans="2:248" ht="15" thickBot="1" x14ac:dyDescent="0.35">
      <c r="B30" s="19" t="s">
        <v>457</v>
      </c>
      <c r="C30" s="20">
        <f ca="1">MIN(IF(Projections!$Z$8="",xMin2+C5+5,xMin2+Projections!$Z$8+C5),MAX(3:3))</f>
        <v>43917</v>
      </c>
      <c r="D30" s="20">
        <f ca="1">IF(D31&lt;TODAY(),TODAY()+3+Projections!Z45,IFERROR(OFFSET(G24,-21,MATCH(1,G24:KU24,0))+3+Projections!Z45,xMax2+3+Projections!Z45))</f>
        <v>43924</v>
      </c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C31" s="20"/>
      <c r="D31" s="20">
        <f ca="1">IFERROR(OFFSET(G24,-21,MATCH(1,G24:KU24,0))-1,"N/A")</f>
        <v>43920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B32" s="19" t="s">
        <v>546</v>
      </c>
      <c r="C32" s="19">
        <f>IF(Projections!Z32="",2.5,Projections!Z32)</f>
        <v>2.5</v>
      </c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United Kingdom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81305</v>
      </c>
      <c r="E5" s="6">
        <f>IF(COUNTIF(I5:XFD5,"&gt;"&amp;0)=0,,HLOOKUP(COUNTIF(I5:XFD5,"&gt;"&amp;0)-1,I$1:XFD5,A5+1,FALSE))</f>
        <v>81305</v>
      </c>
      <c r="F5" s="7">
        <f>IF(COUNTIF(I5:XFD5,"&gt;"&amp;0)=0,,HLOOKUP(COUNTIF(I5:XFD5,"&gt;"&amp;0)-MIN($F$1+1,COUNTIF(I5:XFD5,"&gt;"&amp;0)),I$1:XFD5,A5+1,FALSE))</f>
        <v>81033</v>
      </c>
      <c r="G5" s="8">
        <f>IF(COUNTIF(I5:XFD5,"&gt;"&amp;0)=0,,(E5/F5)^(1/MIN(COUNTIF(I5:XFD5,"&gt;"&amp;0)-1,$F$1)))</f>
        <v>1.0006704318721904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  <c r="BS5" s="9">
        <v>81250</v>
      </c>
      <c r="BT5" s="9">
        <v>81305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53578</v>
      </c>
      <c r="E6" s="6">
        <f>IF(COUNTIF(I6:XFD6,"&gt;"&amp;0)=0,,HLOOKUP(COUNTIF(I6:XFD6,"&gt;"&amp;0)-1,I$1:XFD6,A6+1,FALSE))</f>
        <v>53578</v>
      </c>
      <c r="F6" s="7">
        <f>IF(COUNTIF(I6:XFD6,"&gt;"&amp;0)=0,,HLOOKUP(COUNTIF(I6:XFD6,"&gt;"&amp;0)-MIN($F$1+1,COUNTIF(I6:XFD6,"&gt;"&amp;0)),I$1:XFD6,A6+1,FALSE))</f>
        <v>27980</v>
      </c>
      <c r="G6" s="8">
        <f>IF(COUNTIF(I6:XFD6,"&gt;"&amp;0)=0,,(E6/F6)^(1/MIN(COUNTIF(I6:XFD6,"&gt;"&amp;0)-1,$F$1)))</f>
        <v>1.1387483417218762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MAX(I7:CL7)</f>
        <v>25489</v>
      </c>
      <c r="E7" s="6">
        <f>IF(COUNTIF(I7:XFD7,"&gt;"&amp;0)=0,,HLOOKUP(COUNTIF(I7:XFD7,"&gt;"&amp;0)-1,I$1:XFD7,A7+1,FALSE))</f>
        <v>25489</v>
      </c>
      <c r="F7" s="7">
        <f>IF(COUNTIF(I7:XFD7,"&gt;"&amp;0)=0,,HLOOKUP(COUNTIF(I7:XFD7,"&gt;"&amp;0)-MIN($F$1+1,COUNTIF(I7:XFD7,"&gt;"&amp;0)),I$1:XFD7,A7+1,FALSE))</f>
        <v>4632</v>
      </c>
      <c r="G7" s="8">
        <f>IF(COUNTIF(I7:XFD7,"&gt;"&amp;0)=0,,(E7/F7)^(1/MIN(COUNTIF(I7:XFD7,"&gt;"&amp;0)-1,$F$1)))</f>
        <v>1.4064258798356808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Germany</v>
      </c>
      <c r="D8" s="6">
        <f>MAX(I8:CL8)</f>
        <v>22213</v>
      </c>
      <c r="E8" s="6">
        <f>IF(COUNTIF(I8:XFD8,"&gt;"&amp;0)=0,,HLOOKUP(COUNTIF(I8:XFD8,"&gt;"&amp;0)-1,I$1:XFD8,A8+1,FALSE))</f>
        <v>22213</v>
      </c>
      <c r="F8" s="7">
        <f>IF(COUNTIF(I8:XFD8,"&gt;"&amp;0)=0,,HLOOKUP(COUNTIF(I8:XFD8,"&gt;"&amp;0)-MIN($F$1+1,COUNTIF(I8:XFD8,"&gt;"&amp;0)),I$1:XFD8,A8+1,FALSE))</f>
        <v>7272</v>
      </c>
      <c r="G8" s="8">
        <f>IF(COUNTIF(I8:XFD8,"&gt;"&amp;0)=0,,(E8/F8)^(1/MIN(COUNTIF(I8:XFD8,"&gt;"&amp;0)-1,$F$1)))</f>
        <v>1.2502321689656168</v>
      </c>
      <c r="H8" s="13" t="s">
        <v>53</v>
      </c>
      <c r="I8" s="9">
        <v>130</v>
      </c>
      <c r="J8" s="9">
        <v>159</v>
      </c>
      <c r="K8" s="9">
        <v>196</v>
      </c>
      <c r="L8" s="9">
        <v>262</v>
      </c>
      <c r="M8" s="9">
        <v>482</v>
      </c>
      <c r="N8" s="9">
        <v>670</v>
      </c>
      <c r="O8" s="9">
        <v>799</v>
      </c>
      <c r="P8" s="9">
        <v>1040</v>
      </c>
      <c r="Q8" s="9">
        <v>1176</v>
      </c>
      <c r="R8" s="9">
        <v>1457</v>
      </c>
      <c r="S8" s="9">
        <v>1908</v>
      </c>
      <c r="T8" s="9">
        <v>2078</v>
      </c>
      <c r="U8" s="9">
        <v>3675</v>
      </c>
      <c r="V8" s="9">
        <v>4585</v>
      </c>
      <c r="W8" s="9">
        <v>5795</v>
      </c>
      <c r="X8" s="9">
        <v>7272</v>
      </c>
      <c r="Y8" s="9">
        <v>9257</v>
      </c>
      <c r="Z8" s="9">
        <v>12327</v>
      </c>
      <c r="AA8" s="9">
        <v>15320</v>
      </c>
      <c r="AB8" s="9">
        <v>19848</v>
      </c>
      <c r="AC8" s="9">
        <v>22213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France</v>
      </c>
      <c r="D9" s="6">
        <f>MAX(I9:CL9)</f>
        <v>14431</v>
      </c>
      <c r="E9" s="6">
        <f>IF(COUNTIF(I9:XFD9,"&gt;"&amp;0)=0,,HLOOKUP(COUNTIF(I9:XFD9,"&gt;"&amp;0)-1,I$1:XFD9,A9+1,FALSE))</f>
        <v>14431</v>
      </c>
      <c r="F9" s="7">
        <f>IF(COUNTIF(I9:XFD9,"&gt;"&amp;0)=0,,HLOOKUP(COUNTIF(I9:XFD9,"&gt;"&amp;0)-MIN($F$1+1,COUNTIF(I9:XFD9,"&gt;"&amp;0)),I$1:XFD9,A9+1,FALSE))</f>
        <v>6668</v>
      </c>
      <c r="G9" s="8">
        <f>IF(COUNTIF(I9:XFD9,"&gt;"&amp;0)=0,,(E9/F9)^(1/MIN(COUNTIF(I9:XFD9,"&gt;"&amp;0)-1,$F$1)))</f>
        <v>1.1669712779261638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2290</v>
      </c>
      <c r="V9" s="9">
        <v>3678</v>
      </c>
      <c r="W9" s="9">
        <v>4487</v>
      </c>
      <c r="X9" s="9">
        <v>4523</v>
      </c>
      <c r="Y9" s="9">
        <v>6668</v>
      </c>
      <c r="Z9" s="9">
        <v>7699</v>
      </c>
      <c r="AA9" s="9">
        <v>9105</v>
      </c>
      <c r="AB9" s="9">
        <v>10947</v>
      </c>
      <c r="AC9" s="9">
        <v>12726</v>
      </c>
      <c r="AD9" s="9">
        <v>14431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Korea, South</v>
      </c>
      <c r="D10" s="6">
        <f>MAX(I10:CL10)</f>
        <v>8799</v>
      </c>
      <c r="E10" s="6">
        <f>IF(COUNTIF(I10:XFD10,"&gt;"&amp;0)=0,,HLOOKUP(COUNTIF(I10:XFD10,"&gt;"&amp;0)-1,I$1:XFD10,A10+1,FALSE))</f>
        <v>8799</v>
      </c>
      <c r="F10" s="7">
        <f>IF(COUNTIF(I10:XFD10,"&gt;"&amp;0)=0,,HLOOKUP(COUNTIF(I10:XFD10,"&gt;"&amp;0)-MIN($F$1+1,COUNTIF(I10:XFD10,"&gt;"&amp;0)),I$1:XFD10,A10+1,FALSE))</f>
        <v>8236</v>
      </c>
      <c r="G10" s="8">
        <f>IF(COUNTIF(I10:XFD10,"&gt;"&amp;0)=0,,(E10/F10)^(1/MIN(COUNTIF(I10:XFD10,"&gt;"&amp;0)-1,$F$1)))</f>
        <v>1.0133124904459074</v>
      </c>
      <c r="H10" s="13" t="s">
        <v>339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  <c r="AJ10" s="9">
        <v>8413</v>
      </c>
      <c r="AK10" s="9">
        <v>8565</v>
      </c>
      <c r="AL10" s="9">
        <v>8652</v>
      </c>
      <c r="AM10" s="9">
        <v>8799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MAX(I11:CL11)</f>
        <v>5067</v>
      </c>
      <c r="E11" s="6">
        <f>IF(COUNTIF(I11:XFD11,"&gt;"&amp;0)=0,,HLOOKUP(COUNTIF(I11:XFD11,"&gt;"&amp;0)-1,I$1:XFD11,A11+1,FALSE))</f>
        <v>5067</v>
      </c>
      <c r="F11" s="7">
        <f>IF(COUNTIF(I11:XFD11,"&gt;"&amp;0)=0,,HLOOKUP(COUNTIF(I11:XFD11,"&gt;"&amp;0)-MIN($F$1+1,COUNTIF(I11:XFD11,"&gt;"&amp;0)),I$1:XFD11,A11+1,FALSE))</f>
        <v>1551</v>
      </c>
      <c r="G11" s="8">
        <f>IF(COUNTIF(I11:XFD11,"&gt;"&amp;0)=0,,(E11/F11)^(1/MIN(COUNTIF(I11:XFD11,"&gt;"&amp;0)-1,$F$1)))</f>
        <v>1.2671493971294647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1</v>
      </c>
      <c r="C12" s="9" t="str">
        <f>IF(H12="","",H12)</f>
        <v>Japan</v>
      </c>
      <c r="D12" s="6">
        <f>MAX(I12:CL12)</f>
        <v>1007</v>
      </c>
      <c r="E12" s="6">
        <f>IF(COUNTIF(I12:XFD12,"&gt;"&amp;0)=0,,HLOOKUP(COUNTIF(I12:XFD12,"&gt;"&amp;0)-1,I$1:XFD12,A12+1,FALSE))</f>
        <v>1007</v>
      </c>
      <c r="F12" s="7">
        <f>IF(COUNTIF(I12:XFD12,"&gt;"&amp;0)=0,,HLOOKUP(COUNTIF(I12:XFD12,"&gt;"&amp;0)-MIN($F$1+1,COUNTIF(I12:XFD12,"&gt;"&amp;0)),I$1:XFD12,A12+1,FALSE))</f>
        <v>825</v>
      </c>
      <c r="G12" s="8">
        <f>IF(COUNTIF(I12:XFD12,"&gt;"&amp;0)=0,,(E12/F12)^(1/MIN(COUNTIF(I12:XFD12,"&gt;"&amp;0)-1,$F$1)))</f>
        <v>1.0406749585773136</v>
      </c>
      <c r="H12" s="13" t="s">
        <v>36</v>
      </c>
      <c r="I12" s="9">
        <v>105</v>
      </c>
      <c r="J12" s="9">
        <v>122</v>
      </c>
      <c r="K12" s="9">
        <v>147</v>
      </c>
      <c r="L12" s="9">
        <v>159</v>
      </c>
      <c r="M12" s="9">
        <v>170</v>
      </c>
      <c r="N12" s="9">
        <v>189</v>
      </c>
      <c r="O12" s="9">
        <v>214</v>
      </c>
      <c r="P12" s="9">
        <v>228</v>
      </c>
      <c r="Q12" s="9">
        <v>241</v>
      </c>
      <c r="R12" s="9">
        <v>256</v>
      </c>
      <c r="S12" s="9">
        <v>274</v>
      </c>
      <c r="T12" s="9">
        <v>293</v>
      </c>
      <c r="U12" s="9">
        <v>331</v>
      </c>
      <c r="V12" s="9">
        <v>360</v>
      </c>
      <c r="W12" s="9">
        <v>420</v>
      </c>
      <c r="X12" s="9">
        <v>461</v>
      </c>
      <c r="Y12" s="9">
        <v>502</v>
      </c>
      <c r="Z12" s="9">
        <v>511</v>
      </c>
      <c r="AA12" s="9">
        <v>581</v>
      </c>
      <c r="AB12" s="9">
        <v>639</v>
      </c>
      <c r="AC12" s="9">
        <v>639</v>
      </c>
      <c r="AD12" s="9">
        <v>701</v>
      </c>
      <c r="AE12" s="9">
        <v>773</v>
      </c>
      <c r="AF12" s="9">
        <v>839</v>
      </c>
      <c r="AG12" s="9">
        <v>825</v>
      </c>
      <c r="AH12" s="9">
        <v>878</v>
      </c>
      <c r="AI12" s="9">
        <v>889</v>
      </c>
      <c r="AJ12" s="9">
        <v>924</v>
      </c>
      <c r="AK12" s="9">
        <v>963</v>
      </c>
      <c r="AL12" s="9">
        <v>1007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Spain</v>
      </c>
      <c r="D13" s="6">
        <f>MAX(I13:CL13)</f>
        <v>25374</v>
      </c>
      <c r="E13" s="6">
        <f>IF(COUNTIF(I13:XFD13,"&gt;"&amp;0)=0,,HLOOKUP(COUNTIF(I13:XFD13,"&gt;"&amp;0)-1,I$1:XFD13,A13+1,FALSE))</f>
        <v>25374</v>
      </c>
      <c r="F13" s="7">
        <f>IF(COUNTIF(I13:XFD13,"&gt;"&amp;0)=0,,HLOOKUP(COUNTIF(I13:XFD13,"&gt;"&amp;0)-MIN($F$1+1,COUNTIF(I13:XFD13,"&gt;"&amp;0)),I$1:XFD13,A13+1,FALSE))</f>
        <v>9942</v>
      </c>
      <c r="G13" s="8">
        <f>IF(COUNTIF(I13:XFD13,"&gt;"&amp;0)=0,,(E13/F13)^(1/MIN(COUNTIF(I13:XFD13,"&gt;"&amp;0)-1,$F$1)))</f>
        <v>1.2060992165202573</v>
      </c>
      <c r="H13" s="13" t="s">
        <v>60</v>
      </c>
      <c r="I13" s="9">
        <v>120</v>
      </c>
      <c r="J13" s="9">
        <v>165</v>
      </c>
      <c r="K13" s="9">
        <v>222</v>
      </c>
      <c r="L13" s="9">
        <v>259</v>
      </c>
      <c r="M13" s="9">
        <v>400</v>
      </c>
      <c r="N13" s="9">
        <v>500</v>
      </c>
      <c r="O13" s="9">
        <v>673</v>
      </c>
      <c r="P13" s="9">
        <v>1073</v>
      </c>
      <c r="Q13" s="9">
        <v>1695</v>
      </c>
      <c r="R13" s="9">
        <v>2277</v>
      </c>
      <c r="S13" s="9">
        <v>2277</v>
      </c>
      <c r="T13" s="9">
        <v>5232</v>
      </c>
      <c r="U13" s="9">
        <v>6391</v>
      </c>
      <c r="V13" s="9">
        <v>7798</v>
      </c>
      <c r="W13" s="9">
        <v>9942</v>
      </c>
      <c r="X13" s="9">
        <v>11748</v>
      </c>
      <c r="Y13" s="9">
        <v>13910</v>
      </c>
      <c r="Z13" s="9">
        <v>17963</v>
      </c>
      <c r="AA13" s="9">
        <v>20410</v>
      </c>
      <c r="AB13" s="9">
        <v>25374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Iran</v>
      </c>
      <c r="D14" s="6">
        <f>MAX(I14:CL14)</f>
        <v>20610</v>
      </c>
      <c r="E14" s="6">
        <f>IF(COUNTIF(I14:XFD14,"&gt;"&amp;0)=0,,HLOOKUP(COUNTIF(I14:XFD14,"&gt;"&amp;0)-1,I$1:XFD14,A14+1,FALSE))</f>
        <v>20610</v>
      </c>
      <c r="F14" s="7">
        <f>IF(COUNTIF(I14:XFD14,"&gt;"&amp;0)=0,,HLOOKUP(COUNTIF(I14:XFD14,"&gt;"&amp;0)-MIN($F$1+1,COUNTIF(I14:XFD14,"&gt;"&amp;0)),I$1:XFD14,A14+1,FALSE))</f>
        <v>14991</v>
      </c>
      <c r="G14" s="8">
        <f>IF(COUNTIF(I14:XFD14,"&gt;"&amp;0)=0,,(E14/F14)^(1/MIN(COUNTIF(I14:XFD14,"&gt;"&amp;0)-1,$F$1)))</f>
        <v>1.0657356104592135</v>
      </c>
      <c r="H14" s="13" t="s">
        <v>338</v>
      </c>
      <c r="I14" s="9">
        <v>139</v>
      </c>
      <c r="J14" s="9">
        <v>245</v>
      </c>
      <c r="K14" s="9">
        <v>388</v>
      </c>
      <c r="L14" s="9">
        <v>593</v>
      </c>
      <c r="M14" s="9">
        <v>978</v>
      </c>
      <c r="N14" s="9">
        <v>1501</v>
      </c>
      <c r="O14" s="9">
        <v>2336</v>
      </c>
      <c r="P14" s="9">
        <v>2922</v>
      </c>
      <c r="Q14" s="9">
        <v>3513</v>
      </c>
      <c r="R14" s="9">
        <v>4747</v>
      </c>
      <c r="S14" s="9">
        <v>5823</v>
      </c>
      <c r="T14" s="9">
        <v>6566</v>
      </c>
      <c r="U14" s="9">
        <v>7161</v>
      </c>
      <c r="V14" s="9">
        <v>8042</v>
      </c>
      <c r="W14" s="9">
        <v>9000</v>
      </c>
      <c r="X14" s="9">
        <v>10075</v>
      </c>
      <c r="Y14" s="9">
        <v>11364</v>
      </c>
      <c r="Z14" s="9">
        <v>12729</v>
      </c>
      <c r="AA14" s="9">
        <v>13938</v>
      </c>
      <c r="AB14" s="9">
        <v>14991</v>
      </c>
      <c r="AC14" s="9">
        <v>16169</v>
      </c>
      <c r="AD14" s="9">
        <v>17361</v>
      </c>
      <c r="AE14" s="9">
        <v>18407</v>
      </c>
      <c r="AF14" s="9">
        <v>19644</v>
      </c>
      <c r="AG14" s="9">
        <v>20610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Switzerland</v>
      </c>
      <c r="D15" s="6">
        <f>MAX(I15:CL15)</f>
        <v>6575</v>
      </c>
      <c r="E15" s="6">
        <f>IF(COUNTIF(I15:XFD15,"&gt;"&amp;0)=0,,HLOOKUP(COUNTIF(I15:XFD15,"&gt;"&amp;0)-1,I$1:XFD15,A15+1,FALSE))</f>
        <v>6575</v>
      </c>
      <c r="F15" s="7">
        <f>IF(COUNTIF(I15:XFD15,"&gt;"&amp;0)=0,,HLOOKUP(COUNTIF(I15:XFD15,"&gt;"&amp;0)-MIN($F$1+1,COUNTIF(I15:XFD15,"&gt;"&amp;0)),I$1:XFD15,A15+1,FALSE))</f>
        <v>2200</v>
      </c>
      <c r="G15" s="8">
        <f>IF(COUNTIF(I15:XFD15,"&gt;"&amp;0)=0,,(E15/F15)^(1/MIN(COUNTIF(I15:XFD15,"&gt;"&amp;0)-1,$F$1)))</f>
        <v>1.2447857708944186</v>
      </c>
      <c r="H15" s="13" t="s">
        <v>77</v>
      </c>
      <c r="I15" s="9">
        <v>114</v>
      </c>
      <c r="J15" s="9">
        <v>214</v>
      </c>
      <c r="K15" s="9">
        <v>268</v>
      </c>
      <c r="L15" s="9">
        <v>337</v>
      </c>
      <c r="M15" s="9">
        <v>374</v>
      </c>
      <c r="N15" s="9">
        <v>491</v>
      </c>
      <c r="O15" s="9">
        <v>652</v>
      </c>
      <c r="P15" s="9">
        <v>652</v>
      </c>
      <c r="Q15" s="9">
        <v>1139</v>
      </c>
      <c r="R15" s="9">
        <v>1359</v>
      </c>
      <c r="S15" s="9">
        <v>2200</v>
      </c>
      <c r="T15" s="9">
        <v>2200</v>
      </c>
      <c r="U15" s="9">
        <v>2700</v>
      </c>
      <c r="V15" s="9">
        <v>3028</v>
      </c>
      <c r="W15" s="9">
        <v>4075</v>
      </c>
      <c r="X15" s="9">
        <v>5294</v>
      </c>
      <c r="Y15" s="9">
        <v>6575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Netherlands</v>
      </c>
      <c r="D16" s="6">
        <f>MAX(I16:CL16)</f>
        <v>3640</v>
      </c>
      <c r="E16" s="6">
        <f>IF(COUNTIF(I16:XFD16,"&gt;"&amp;0)=0,,HLOOKUP(COUNTIF(I16:XFD16,"&gt;"&amp;0)-1,I$1:XFD16,A16+1,FALSE))</f>
        <v>3640</v>
      </c>
      <c r="F16" s="7">
        <f>IF(COUNTIF(I16:XFD16,"&gt;"&amp;0)=0,,HLOOKUP(COUNTIF(I16:XFD16,"&gt;"&amp;0)-MIN($F$1+1,COUNTIF(I16:XFD16,"&gt;"&amp;0)),I$1:XFD16,A16+1,FALSE))</f>
        <v>1416</v>
      </c>
      <c r="G16" s="8">
        <f>IF(COUNTIF(I16:XFD16,"&gt;"&amp;0)=0,,(E16/F16)^(1/MIN(COUNTIF(I16:XFD16,"&gt;"&amp;0)-1,$F$1)))</f>
        <v>1.2078350440810948</v>
      </c>
      <c r="H16" s="13" t="s">
        <v>89</v>
      </c>
      <c r="I16" s="9">
        <v>128</v>
      </c>
      <c r="J16" s="9">
        <v>188</v>
      </c>
      <c r="K16" s="9">
        <v>265</v>
      </c>
      <c r="L16" s="9">
        <v>321</v>
      </c>
      <c r="M16" s="9">
        <v>382</v>
      </c>
      <c r="N16" s="9">
        <v>503</v>
      </c>
      <c r="O16" s="9">
        <v>503</v>
      </c>
      <c r="P16" s="9">
        <v>806</v>
      </c>
      <c r="Q16" s="9">
        <v>962</v>
      </c>
      <c r="R16" s="9">
        <v>1138</v>
      </c>
      <c r="S16" s="9">
        <v>1416</v>
      </c>
      <c r="T16" s="9">
        <v>1711</v>
      </c>
      <c r="U16" s="9">
        <v>2058</v>
      </c>
      <c r="V16" s="9">
        <v>2467</v>
      </c>
      <c r="W16" s="9">
        <v>3003</v>
      </c>
      <c r="X16" s="9">
        <v>3640</v>
      </c>
    </row>
    <row r="17" spans="1:49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Belgium</v>
      </c>
      <c r="D17" s="6">
        <f>MAX(I17:CL17)</f>
        <v>2815</v>
      </c>
      <c r="E17" s="6">
        <f>IF(COUNTIF(I17:XFD17,"&gt;"&amp;0)=0,,HLOOKUP(COUNTIF(I17:XFD17,"&gt;"&amp;0)-1,I$1:XFD17,A17+1,FALSE))</f>
        <v>2815</v>
      </c>
      <c r="F17" s="7">
        <f>IF(COUNTIF(I17:XFD17,"&gt;"&amp;0)=0,,HLOOKUP(COUNTIF(I17:XFD17,"&gt;"&amp;0)-MIN($F$1+1,COUNTIF(I17:XFD17,"&gt;"&amp;0)),I$1:XFD17,A17+1,FALSE))</f>
        <v>1058</v>
      </c>
      <c r="G17" s="8">
        <f>IF(COUNTIF(I17:XFD17,"&gt;"&amp;0)=0,,(E17/F17)^(1/MIN(COUNTIF(I17:XFD17,"&gt;"&amp;0)-1,$F$1)))</f>
        <v>1.2161819297461505</v>
      </c>
      <c r="H17" s="13" t="s">
        <v>63</v>
      </c>
      <c r="I17" s="9">
        <v>109</v>
      </c>
      <c r="J17" s="9">
        <v>169</v>
      </c>
      <c r="K17" s="9">
        <v>200</v>
      </c>
      <c r="L17" s="9">
        <v>239</v>
      </c>
      <c r="M17" s="9">
        <v>267</v>
      </c>
      <c r="N17" s="9">
        <v>314</v>
      </c>
      <c r="O17" s="9">
        <v>314</v>
      </c>
      <c r="P17" s="9">
        <v>559</v>
      </c>
      <c r="Q17" s="9">
        <v>689</v>
      </c>
      <c r="R17" s="9">
        <v>886</v>
      </c>
      <c r="S17" s="9">
        <v>1058</v>
      </c>
      <c r="T17" s="9">
        <v>1243</v>
      </c>
      <c r="U17" s="9">
        <v>1486</v>
      </c>
      <c r="V17" s="9">
        <v>1795</v>
      </c>
      <c r="W17" s="9">
        <v>2257</v>
      </c>
      <c r="X17" s="9">
        <v>2815</v>
      </c>
    </row>
    <row r="18" spans="1:49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Austria</v>
      </c>
      <c r="D18" s="6">
        <f>MAX(I18:CL18)</f>
        <v>2814</v>
      </c>
      <c r="E18" s="6">
        <f>IF(COUNTIF(I18:XFD18,"&gt;"&amp;0)=0,,HLOOKUP(COUNTIF(I18:XFD18,"&gt;"&amp;0)-1,I$1:XFD18,A18+1,FALSE))</f>
        <v>2814</v>
      </c>
      <c r="F18" s="7">
        <f>IF(COUNTIF(I18:XFD18,"&gt;"&amp;0)=0,,HLOOKUP(COUNTIF(I18:XFD18,"&gt;"&amp;0)-MIN($F$1+1,COUNTIF(I18:XFD18,"&gt;"&amp;0)),I$1:XFD18,A18+1,FALSE))</f>
        <v>1018</v>
      </c>
      <c r="G18" s="8">
        <f>IF(COUNTIF(I18:XFD18,"&gt;"&amp;0)=0,,(E18/F18)^(1/MIN(COUNTIF(I18:XFD18,"&gt;"&amp;0)-1,$F$1)))</f>
        <v>1.2255054953096445</v>
      </c>
      <c r="H18" s="13" t="s">
        <v>78</v>
      </c>
      <c r="I18" s="9">
        <v>104</v>
      </c>
      <c r="J18" s="9">
        <v>131</v>
      </c>
      <c r="K18" s="9">
        <v>182</v>
      </c>
      <c r="L18" s="9">
        <v>246</v>
      </c>
      <c r="M18" s="9">
        <v>302</v>
      </c>
      <c r="N18" s="9">
        <v>504</v>
      </c>
      <c r="O18" s="9">
        <v>655</v>
      </c>
      <c r="P18" s="9">
        <v>860</v>
      </c>
      <c r="Q18" s="9">
        <v>1018</v>
      </c>
      <c r="R18" s="9">
        <v>1332</v>
      </c>
      <c r="S18" s="9">
        <v>1646</v>
      </c>
      <c r="T18" s="9">
        <v>2013</v>
      </c>
      <c r="U18" s="9">
        <v>2388</v>
      </c>
      <c r="V18" s="9">
        <v>2814</v>
      </c>
    </row>
    <row r="19" spans="1:49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Norway</v>
      </c>
      <c r="D19" s="6">
        <f>MAX(I19:CL19)</f>
        <v>2118</v>
      </c>
      <c r="E19" s="6">
        <f>IF(COUNTIF(I19:XFD19,"&gt;"&amp;0)=0,,HLOOKUP(COUNTIF(I19:XFD19,"&gt;"&amp;0)-1,I$1:XFD19,A19+1,FALSE))</f>
        <v>2118</v>
      </c>
      <c r="F19" s="7">
        <f>IF(COUNTIF(I19:XFD19,"&gt;"&amp;0)=0,,HLOOKUP(COUNTIF(I19:XFD19,"&gt;"&amp;0)-MIN($F$1+1,COUNTIF(I19:XFD19,"&gt;"&amp;0)),I$1:XFD19,A19+1,FALSE))</f>
        <v>1333</v>
      </c>
      <c r="G19" s="8">
        <f>IF(COUNTIF(I19:XFD19,"&gt;"&amp;0)=0,,(E19/F19)^(1/MIN(COUNTIF(I19:XFD19,"&gt;"&amp;0)-1,$F$1)))</f>
        <v>1.0970316597709155</v>
      </c>
      <c r="H19" s="13" t="s">
        <v>85</v>
      </c>
      <c r="I19" s="9">
        <v>108</v>
      </c>
      <c r="J19" s="9">
        <v>147</v>
      </c>
      <c r="K19" s="9">
        <v>176</v>
      </c>
      <c r="L19" s="9">
        <v>205</v>
      </c>
      <c r="M19" s="9">
        <v>400</v>
      </c>
      <c r="N19" s="9">
        <v>598</v>
      </c>
      <c r="O19" s="9">
        <v>702</v>
      </c>
      <c r="P19" s="9">
        <v>996</v>
      </c>
      <c r="Q19" s="9">
        <v>1090</v>
      </c>
      <c r="R19" s="9">
        <v>1221</v>
      </c>
      <c r="S19" s="9">
        <v>1333</v>
      </c>
      <c r="T19" s="9">
        <v>1463</v>
      </c>
      <c r="U19" s="9">
        <v>1550</v>
      </c>
      <c r="V19" s="9">
        <v>1746</v>
      </c>
      <c r="W19" s="9">
        <v>1914</v>
      </c>
      <c r="X19" s="9">
        <v>2118</v>
      </c>
    </row>
    <row r="20" spans="1:49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Sweden</v>
      </c>
      <c r="D20" s="6">
        <f>MAX(I20:CL20)</f>
        <v>1763</v>
      </c>
      <c r="E20" s="6">
        <f>IF(COUNTIF(I20:XFD20,"&gt;"&amp;0)=0,,HLOOKUP(COUNTIF(I20:XFD20,"&gt;"&amp;0)-1,I$1:XFD20,A20+1,FALSE))</f>
        <v>1763</v>
      </c>
      <c r="F20" s="7">
        <f>IF(COUNTIF(I20:XFD20,"&gt;"&amp;0)=0,,HLOOKUP(COUNTIF(I20:XFD20,"&gt;"&amp;0)-MIN($F$1+1,COUNTIF(I20:XFD20,"&gt;"&amp;0)),I$1:XFD20,A20+1,FALSE))</f>
        <v>1103</v>
      </c>
      <c r="G20" s="8">
        <f>IF(COUNTIF(I20:XFD20,"&gt;"&amp;0)=0,,(E20/F20)^(1/MIN(COUNTIF(I20:XFD20,"&gt;"&amp;0)-1,$F$1)))</f>
        <v>1.0983363574253564</v>
      </c>
      <c r="H20" s="13" t="s">
        <v>59</v>
      </c>
      <c r="I20" s="9">
        <v>101</v>
      </c>
      <c r="J20" s="9">
        <v>161</v>
      </c>
      <c r="K20" s="9">
        <v>203</v>
      </c>
      <c r="L20" s="9">
        <v>248</v>
      </c>
      <c r="M20" s="9">
        <v>355</v>
      </c>
      <c r="N20" s="9">
        <v>500</v>
      </c>
      <c r="O20" s="9">
        <v>599</v>
      </c>
      <c r="P20" s="9">
        <v>814</v>
      </c>
      <c r="Q20" s="9">
        <v>961</v>
      </c>
      <c r="R20" s="9">
        <v>1022</v>
      </c>
      <c r="S20" s="9">
        <v>1103</v>
      </c>
      <c r="T20" s="9">
        <v>1190</v>
      </c>
      <c r="U20" s="9">
        <v>1279</v>
      </c>
      <c r="V20" s="9">
        <v>1439</v>
      </c>
      <c r="W20" s="9">
        <v>1639</v>
      </c>
      <c r="X20" s="9">
        <v>1763</v>
      </c>
    </row>
    <row r="21" spans="1:49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Denmark</v>
      </c>
      <c r="D21" s="6">
        <f>MAX(I21:CL21)</f>
        <v>1420</v>
      </c>
      <c r="E21" s="6">
        <f>IF(COUNTIF(I21:XFD21,"&gt;"&amp;0)=0,,HLOOKUP(COUNTIF(I21:XFD21,"&gt;"&amp;0)-1,I$1:XFD21,A21+1,FALSE))</f>
        <v>1420</v>
      </c>
      <c r="F21" s="7">
        <f>IF(COUNTIF(I21:XFD21,"&gt;"&amp;0)=0,,HLOOKUP(COUNTIF(I21:XFD21,"&gt;"&amp;0)-MIN($F$1+1,COUNTIF(I21:XFD21,"&gt;"&amp;0)),I$1:XFD21,A21+1,FALSE))</f>
        <v>933</v>
      </c>
      <c r="G21" s="8">
        <f>IF(COUNTIF(I21:XFD21,"&gt;"&amp;0)=0,,(E21/F21)^(1/MIN(COUNTIF(I21:XFD21,"&gt;"&amp;0)-1,$F$1)))</f>
        <v>1.0876304055592145</v>
      </c>
      <c r="H21" s="13" t="s">
        <v>87</v>
      </c>
      <c r="I21" s="9">
        <v>264</v>
      </c>
      <c r="J21" s="9">
        <v>444</v>
      </c>
      <c r="K21" s="9">
        <v>617</v>
      </c>
      <c r="L21" s="9">
        <v>804</v>
      </c>
      <c r="M21" s="9">
        <v>836</v>
      </c>
      <c r="N21" s="9">
        <v>875</v>
      </c>
      <c r="O21" s="9">
        <v>933</v>
      </c>
      <c r="P21" s="9">
        <v>1025</v>
      </c>
      <c r="Q21" s="9">
        <v>1116</v>
      </c>
      <c r="R21" s="9">
        <v>1225</v>
      </c>
      <c r="S21" s="9">
        <v>1337</v>
      </c>
      <c r="T21" s="9">
        <v>1420</v>
      </c>
    </row>
    <row r="22" spans="1:49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Portugal</v>
      </c>
      <c r="D22" s="6">
        <f>MAX(I22:CL22)</f>
        <v>1280</v>
      </c>
      <c r="E22" s="6">
        <f>IF(COUNTIF(I22:XFD22,"&gt;"&amp;0)=0,,HLOOKUP(COUNTIF(I22:XFD22,"&gt;"&amp;0)-1,I$1:XFD22,A22+1,FALSE))</f>
        <v>1280</v>
      </c>
      <c r="F22" s="7">
        <f>IF(COUNTIF(I22:XFD22,"&gt;"&amp;0)=0,,HLOOKUP(COUNTIF(I22:XFD22,"&gt;"&amp;0)-MIN($F$1+1,COUNTIF(I22:XFD22,"&gt;"&amp;0)),I$1:XFD22,A22+1,FALSE))</f>
        <v>331</v>
      </c>
      <c r="G22" s="8">
        <f>IF(COUNTIF(I22:XFD22,"&gt;"&amp;0)=0,,(E22/F22)^(1/MIN(COUNTIF(I22:XFD22,"&gt;"&amp;0)-1,$F$1)))</f>
        <v>1.3106188055202468</v>
      </c>
      <c r="H22" s="13" t="s">
        <v>108</v>
      </c>
      <c r="I22" s="9">
        <v>112</v>
      </c>
      <c r="J22" s="9">
        <v>169</v>
      </c>
      <c r="K22" s="9">
        <v>245</v>
      </c>
      <c r="L22" s="9">
        <v>331</v>
      </c>
      <c r="M22" s="9">
        <v>448</v>
      </c>
      <c r="N22" s="9">
        <v>448</v>
      </c>
      <c r="O22" s="9">
        <v>785</v>
      </c>
      <c r="P22" s="9">
        <v>1020</v>
      </c>
      <c r="Q22" s="9">
        <v>1280</v>
      </c>
    </row>
    <row r="23" spans="1:49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Canada</v>
      </c>
      <c r="D23" s="6">
        <f>MAX(I23:CL23)</f>
        <v>1278</v>
      </c>
      <c r="E23" s="6">
        <f>IF(COUNTIF(I23:XFD23,"&gt;"&amp;0)=0,,HLOOKUP(COUNTIF(I23:XFD23,"&gt;"&amp;0)-1,I$1:XFD23,A23+1,FALSE))</f>
        <v>1278</v>
      </c>
      <c r="F23" s="7">
        <f>IF(COUNTIF(I23:XFD23,"&gt;"&amp;0)=0,,HLOOKUP(COUNTIF(I23:XFD23,"&gt;"&amp;0)-MIN($F$1+1,COUNTIF(I23:XFD23,"&gt;"&amp;0)),I$1:XFD23,A23+1,FALSE))</f>
        <v>415</v>
      </c>
      <c r="G23" s="8">
        <f>IF(COUNTIF(I23:XFD23,"&gt;"&amp;0)=0,,(E23/F23)^(1/MIN(COUNTIF(I23:XFD23,"&gt;"&amp;0)-1,$F$1)))</f>
        <v>1.2522658907598261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1278</v>
      </c>
    </row>
    <row r="24" spans="1:49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Malaysia</v>
      </c>
      <c r="D24" s="6">
        <f>MAX(I24:CL24)</f>
        <v>1183</v>
      </c>
      <c r="E24" s="6">
        <f>IF(COUNTIF(I24:XFD24,"&gt;"&amp;0)=0,,HLOOKUP(COUNTIF(I24:XFD24,"&gt;"&amp;0)-1,I$1:XFD24,A24+1,FALSE))</f>
        <v>1183</v>
      </c>
      <c r="F24" s="7">
        <f>IF(COUNTIF(I24:XFD24,"&gt;"&amp;0)=0,,HLOOKUP(COUNTIF(I24:XFD24,"&gt;"&amp;0)-MIN($F$1+1,COUNTIF(I24:XFD24,"&gt;"&amp;0)),I$1:XFD24,A24+1,FALSE))</f>
        <v>566</v>
      </c>
      <c r="G24" s="8">
        <f>IF(COUNTIF(I24:XFD24,"&gt;"&amp;0)=0,,(E24/F24)^(1/MIN(COUNTIF(I24:XFD24,"&gt;"&amp;0)-1,$F$1)))</f>
        <v>1.1588671778635491</v>
      </c>
      <c r="H24" s="13" t="s">
        <v>43</v>
      </c>
      <c r="I24" s="9">
        <v>117</v>
      </c>
      <c r="J24" s="9">
        <v>129</v>
      </c>
      <c r="K24" s="9">
        <v>149</v>
      </c>
      <c r="L24" s="9">
        <v>149</v>
      </c>
      <c r="M24" s="9">
        <v>197</v>
      </c>
      <c r="N24" s="9">
        <v>238</v>
      </c>
      <c r="O24" s="9">
        <v>428</v>
      </c>
      <c r="P24" s="9">
        <v>566</v>
      </c>
      <c r="Q24" s="9">
        <v>673</v>
      </c>
      <c r="R24" s="9">
        <v>790</v>
      </c>
      <c r="S24" s="9">
        <v>900</v>
      </c>
      <c r="T24" s="9">
        <v>1030</v>
      </c>
      <c r="U24" s="9">
        <v>1183</v>
      </c>
    </row>
    <row r="25" spans="1:49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Australia</v>
      </c>
      <c r="D25" s="6">
        <f>MAX(I25:CL25)</f>
        <v>1071</v>
      </c>
      <c r="E25" s="6">
        <f>IF(COUNTIF(I25:XFD25,"&gt;"&amp;0)=0,,HLOOKUP(COUNTIF(I25:XFD25,"&gt;"&amp;0)-1,I$1:XFD25,A25+1,FALSE))</f>
        <v>1071</v>
      </c>
      <c r="F25" s="7">
        <f>IF(COUNTIF(I25:XFD25,"&gt;"&amp;0)=0,,HLOOKUP(COUNTIF(I25:XFD25,"&gt;"&amp;0)-MIN($F$1+1,COUNTIF(I25:XFD25,"&gt;"&amp;0)),I$1:XFD25,A25+1,FALSE))</f>
        <v>377</v>
      </c>
      <c r="G25" s="8">
        <f>IF(COUNTIF(I25:XFD25,"&gt;"&amp;0)=0,,(E25/F25)^(1/MIN(COUNTIF(I25:XFD25,"&gt;"&amp;0)-1,$F$1)))</f>
        <v>1.2322238888949555</v>
      </c>
      <c r="H25" s="13" t="s">
        <v>48</v>
      </c>
      <c r="I25" s="9">
        <v>107</v>
      </c>
      <c r="J25" s="9">
        <v>128</v>
      </c>
      <c r="K25" s="9">
        <v>128</v>
      </c>
      <c r="L25" s="9">
        <v>200</v>
      </c>
      <c r="M25" s="9">
        <v>250</v>
      </c>
      <c r="N25" s="9">
        <v>297</v>
      </c>
      <c r="O25" s="9">
        <v>377</v>
      </c>
      <c r="P25" s="9">
        <v>452</v>
      </c>
      <c r="Q25" s="9">
        <v>568</v>
      </c>
      <c r="R25" s="9">
        <v>681</v>
      </c>
      <c r="S25" s="9">
        <v>791</v>
      </c>
      <c r="T25" s="9">
        <v>1071</v>
      </c>
    </row>
    <row r="26" spans="1:49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Brazil</v>
      </c>
      <c r="D26" s="6">
        <f>MAX(I26:CL26)</f>
        <v>1021</v>
      </c>
      <c r="E26" s="6">
        <f>IF(COUNTIF(I26:XFD26,"&gt;"&amp;0)=0,,HLOOKUP(COUNTIF(I26:XFD26,"&gt;"&amp;0)-1,I$1:XFD26,A26+1,FALSE))</f>
        <v>1021</v>
      </c>
      <c r="F26" s="7">
        <f>IF(COUNTIF(I26:XFD26,"&gt;"&amp;0)=0,,HLOOKUP(COUNTIF(I26:XFD26,"&gt;"&amp;0)-MIN($F$1+1,COUNTIF(I26:XFD26,"&gt;"&amp;0)),I$1:XFD26,A26+1,FALSE))</f>
        <v>200</v>
      </c>
      <c r="G26" s="8">
        <f>IF(COUNTIF(I26:XFD26,"&gt;"&amp;0)=0,,(E26/F26)^(1/MIN(COUNTIF(I26:XFD26,"&gt;"&amp;0)-1,$F$1)))</f>
        <v>1.3854764536309523</v>
      </c>
      <c r="H26" s="13" t="s">
        <v>81</v>
      </c>
      <c r="I26" s="9">
        <v>151</v>
      </c>
      <c r="J26" s="9">
        <v>151</v>
      </c>
      <c r="K26" s="9">
        <v>162</v>
      </c>
      <c r="L26" s="9">
        <v>200</v>
      </c>
      <c r="M26" s="9">
        <v>321</v>
      </c>
      <c r="N26" s="9">
        <v>372</v>
      </c>
      <c r="O26" s="9">
        <v>621</v>
      </c>
      <c r="P26" s="9">
        <v>793</v>
      </c>
      <c r="Q26" s="9">
        <v>1021</v>
      </c>
    </row>
    <row r="27" spans="1:49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Czechia</v>
      </c>
      <c r="D27" s="6">
        <f>MAX(I27:CL27)</f>
        <v>995</v>
      </c>
      <c r="E27" s="6">
        <f>IF(COUNTIF(I27:XFD27,"&gt;"&amp;0)=0,,HLOOKUP(COUNTIF(I27:XFD27,"&gt;"&amp;0)-1,I$1:XFD27,A27+1,FALSE))</f>
        <v>995</v>
      </c>
      <c r="F27" s="7">
        <f>IF(COUNTIF(I27:XFD27,"&gt;"&amp;0)=0,,HLOOKUP(COUNTIF(I27:XFD27,"&gt;"&amp;0)-MIN($F$1+1,COUNTIF(I27:XFD27,"&gt;"&amp;0)),I$1:XFD27,A27+1,FALSE))</f>
        <v>298</v>
      </c>
      <c r="G27" s="8">
        <f>IF(COUNTIF(I27:XFD27,"&gt;"&amp;0)=0,,(E27/F27)^(1/MIN(COUNTIF(I27:XFD27,"&gt;"&amp;0)-1,$F$1)))</f>
        <v>1.2726862830593919</v>
      </c>
      <c r="H27" s="13" t="s">
        <v>341</v>
      </c>
      <c r="I27" s="9">
        <v>141</v>
      </c>
      <c r="J27" s="9">
        <v>189</v>
      </c>
      <c r="K27" s="9">
        <v>253</v>
      </c>
      <c r="L27" s="9">
        <v>298</v>
      </c>
      <c r="M27" s="9">
        <v>396</v>
      </c>
      <c r="N27" s="9">
        <v>464</v>
      </c>
      <c r="O27" s="9">
        <v>694</v>
      </c>
      <c r="P27" s="9">
        <v>833</v>
      </c>
      <c r="Q27" s="9">
        <v>995</v>
      </c>
    </row>
    <row r="28" spans="1:49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Israel</v>
      </c>
      <c r="D28" s="6">
        <f>MAX(I28:CL28)</f>
        <v>883</v>
      </c>
      <c r="E28" s="6">
        <f>IF(COUNTIF(I28:XFD28,"&gt;"&amp;0)=0,,HLOOKUP(COUNTIF(I28:XFD28,"&gt;"&amp;0)-1,I$1:XFD28,A28+1,FALSE))</f>
        <v>883</v>
      </c>
      <c r="F28" s="7">
        <f>IF(COUNTIF(I28:XFD28,"&gt;"&amp;0)=0,,HLOOKUP(COUNTIF(I28:XFD28,"&gt;"&amp;0)-MIN($F$1+1,COUNTIF(I28:XFD28,"&gt;"&amp;0)),I$1:XFD28,A28+1,FALSE))</f>
        <v>255</v>
      </c>
      <c r="G28" s="8">
        <f>IF(COUNTIF(I28:XFD28,"&gt;"&amp;0)=0,,(E28/F28)^(1/MIN(COUNTIF(I28:XFD28,"&gt;"&amp;0)-1,$F$1)))</f>
        <v>1.2819884269134234</v>
      </c>
      <c r="H28" s="13" t="s">
        <v>79</v>
      </c>
      <c r="I28" s="9">
        <v>109</v>
      </c>
      <c r="J28" s="9">
        <v>131</v>
      </c>
      <c r="K28" s="9">
        <v>161</v>
      </c>
      <c r="L28" s="9">
        <v>193</v>
      </c>
      <c r="M28" s="9">
        <v>251</v>
      </c>
      <c r="N28" s="9">
        <v>255</v>
      </c>
      <c r="O28" s="9">
        <v>337</v>
      </c>
      <c r="P28" s="9">
        <v>433</v>
      </c>
      <c r="Q28" s="9">
        <v>677</v>
      </c>
      <c r="R28" s="9">
        <v>705</v>
      </c>
      <c r="S28" s="9">
        <v>883</v>
      </c>
    </row>
    <row r="29" spans="1:49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Ireland</v>
      </c>
      <c r="D29" s="6">
        <f>MAX(I29:CL29)</f>
        <v>785</v>
      </c>
      <c r="E29" s="6">
        <f>IF(COUNTIF(I29:XFD29,"&gt;"&amp;0)=0,,HLOOKUP(COUNTIF(I29:XFD29,"&gt;"&amp;0)-1,I$1:XFD29,A29+1,FALSE))</f>
        <v>785</v>
      </c>
      <c r="F29" s="7">
        <f>IF(COUNTIF(I29:XFD29,"&gt;"&amp;0)=0,,HLOOKUP(COUNTIF(I29:XFD29,"&gt;"&amp;0)-MIN($F$1+1,COUNTIF(I29:XFD29,"&gt;"&amp;0)),I$1:XFD29,A29+1,FALSE))</f>
        <v>169</v>
      </c>
      <c r="G29" s="8">
        <f>IF(COUNTIF(I29:XFD29,"&gt;"&amp;0)=0,,(E29/F29)^(1/MIN(COUNTIF(I29:XFD29,"&gt;"&amp;0)-1,$F$1)))</f>
        <v>1.3595544021355268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</row>
    <row r="30" spans="1:49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Pakistan</v>
      </c>
      <c r="D30" s="6">
        <f>MAX(I30:CL30)</f>
        <v>730</v>
      </c>
      <c r="E30" s="6">
        <f>IF(COUNTIF(I30:XFD30,"&gt;"&amp;0)=0,,HLOOKUP(COUNTIF(I30:XFD30,"&gt;"&amp;0)-1,I$1:XFD30,A30+1,FALSE))</f>
        <v>730</v>
      </c>
      <c r="F30" s="7">
        <f>IF(COUNTIF(I30:XFD30,"&gt;"&amp;0)=0,,HLOOKUP(COUNTIF(I30:XFD30,"&gt;"&amp;0)-MIN($F$1+1,COUNTIF(I30:XFD30,"&gt;"&amp;0)),I$1:XFD30,A30+1,FALSE))</f>
        <v>136</v>
      </c>
      <c r="G30" s="8">
        <f>IF(COUNTIF(I30:XFD30,"&gt;"&amp;0)=0,,(E30/F30)^(1/MIN(COUNTIF(I30:XFD30,"&gt;"&amp;0)-1,$F$1)))</f>
        <v>1.3994480791043604</v>
      </c>
      <c r="H30" s="13" t="s">
        <v>80</v>
      </c>
      <c r="I30" s="9">
        <v>136</v>
      </c>
      <c r="J30" s="9">
        <v>236</v>
      </c>
      <c r="K30" s="9">
        <v>299</v>
      </c>
      <c r="L30" s="9">
        <v>454</v>
      </c>
      <c r="M30" s="9">
        <v>501</v>
      </c>
      <c r="N30" s="9">
        <v>730</v>
      </c>
    </row>
    <row r="31" spans="1:49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Cruise Ship</v>
      </c>
      <c r="D31" s="6">
        <f>MAX(I31:CL31)</f>
        <v>712</v>
      </c>
      <c r="E31" s="6">
        <f>IF(COUNTIF(I31:XFD31,"&gt;"&amp;0)=0,,HLOOKUP(COUNTIF(I31:XFD31,"&gt;"&amp;0)-1,I$1:XFD31,A31+1,FALSE))</f>
        <v>712</v>
      </c>
      <c r="F31" s="7">
        <f>IF(COUNTIF(I31:XFD31,"&gt;"&amp;0)=0,,HLOOKUP(COUNTIF(I31:XFD31,"&gt;"&amp;0)-MIN($F$1+1,COUNTIF(I31:XFD31,"&gt;"&amp;0)),I$1:XFD31,A31+1,FALSE))</f>
        <v>696</v>
      </c>
      <c r="G31" s="8">
        <f>IF(COUNTIF(I31:XFD31,"&gt;"&amp;0)=0,,(E31/F31)^(1/MIN(COUNTIF(I31:XFD31,"&gt;"&amp;0)-1,$F$1)))</f>
        <v>1.0045559973556712</v>
      </c>
      <c r="H31" s="13" t="s">
        <v>340</v>
      </c>
      <c r="I31" s="9">
        <v>135</v>
      </c>
      <c r="J31" s="9">
        <v>135</v>
      </c>
      <c r="K31" s="9">
        <v>175</v>
      </c>
      <c r="L31" s="9">
        <v>175</v>
      </c>
      <c r="M31" s="9">
        <v>218</v>
      </c>
      <c r="N31" s="9">
        <v>285</v>
      </c>
      <c r="O31" s="9">
        <v>355</v>
      </c>
      <c r="P31" s="9">
        <v>454</v>
      </c>
      <c r="Q31" s="9">
        <v>542</v>
      </c>
      <c r="R31" s="9">
        <v>621</v>
      </c>
      <c r="S31" s="9">
        <v>634</v>
      </c>
      <c r="T31" s="9">
        <v>634</v>
      </c>
      <c r="U31" s="9">
        <v>634</v>
      </c>
      <c r="V31" s="9">
        <v>691</v>
      </c>
      <c r="W31" s="9">
        <v>691</v>
      </c>
      <c r="X31" s="9">
        <v>691</v>
      </c>
      <c r="Y31" s="9">
        <v>705</v>
      </c>
      <c r="Z31" s="9">
        <v>705</v>
      </c>
      <c r="AA31" s="9">
        <v>705</v>
      </c>
      <c r="AB31" s="9">
        <v>705</v>
      </c>
      <c r="AC31" s="9">
        <v>705</v>
      </c>
      <c r="AD31" s="9">
        <v>705</v>
      </c>
      <c r="AE31" s="9">
        <v>706</v>
      </c>
      <c r="AF31" s="9">
        <v>706</v>
      </c>
      <c r="AG31" s="9">
        <v>706</v>
      </c>
      <c r="AH31" s="9">
        <v>696</v>
      </c>
      <c r="AI31" s="9">
        <v>696</v>
      </c>
      <c r="AJ31" s="9">
        <v>696</v>
      </c>
      <c r="AK31" s="9">
        <v>696</v>
      </c>
      <c r="AL31" s="9">
        <v>696</v>
      </c>
      <c r="AM31" s="9">
        <v>696</v>
      </c>
      <c r="AN31" s="9">
        <v>696</v>
      </c>
      <c r="AO31" s="9">
        <v>696</v>
      </c>
      <c r="AP31" s="9">
        <v>696</v>
      </c>
      <c r="AQ31" s="9">
        <v>696</v>
      </c>
      <c r="AR31" s="9">
        <v>696</v>
      </c>
      <c r="AS31" s="9">
        <v>696</v>
      </c>
      <c r="AT31" s="9">
        <v>712</v>
      </c>
      <c r="AU31" s="9">
        <v>712</v>
      </c>
      <c r="AV31" s="9">
        <v>712</v>
      </c>
      <c r="AW31" s="9">
        <v>712</v>
      </c>
    </row>
    <row r="32" spans="1:49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Luxembourg</v>
      </c>
      <c r="D32" s="6">
        <f>MAX(I32:CL32)</f>
        <v>670</v>
      </c>
      <c r="E32" s="6">
        <f>IF(COUNTIF(I32:XFD32,"&gt;"&amp;0)=0,,HLOOKUP(COUNTIF(I32:XFD32,"&gt;"&amp;0)-1,I$1:XFD32,A32+1,FALSE))</f>
        <v>670</v>
      </c>
      <c r="F32" s="7">
        <f>IF(COUNTIF(I32:XFD32,"&gt;"&amp;0)=0,,HLOOKUP(COUNTIF(I32:XFD32,"&gt;"&amp;0)-MIN($F$1+1,COUNTIF(I32:XFD32,"&gt;"&amp;0)),I$1:XFD32,A32+1,FALSE))</f>
        <v>140</v>
      </c>
      <c r="G32" s="8">
        <f>IF(COUNTIF(I32:XFD32,"&gt;"&amp;0)=0,,(E32/F32)^(1/MIN(COUNTIF(I32:XFD32,"&gt;"&amp;0)-1,$F$1)))</f>
        <v>1.4790630640043501</v>
      </c>
      <c r="H32" s="13" t="s">
        <v>99</v>
      </c>
      <c r="I32" s="9">
        <v>140</v>
      </c>
      <c r="J32" s="9">
        <v>203</v>
      </c>
      <c r="K32" s="9">
        <v>335</v>
      </c>
      <c r="L32" s="9">
        <v>484</v>
      </c>
      <c r="M32" s="9">
        <v>670</v>
      </c>
    </row>
    <row r="33" spans="1:30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Turkey</v>
      </c>
      <c r="D33" s="6">
        <f>MAX(I33:CL33)</f>
        <v>670</v>
      </c>
      <c r="E33" s="6">
        <f>IF(COUNTIF(I33:XFD33,"&gt;"&amp;0)=0,,HLOOKUP(COUNTIF(I33:XFD33,"&gt;"&amp;0)-1,I$1:XFD33,A33+1,FALSE))</f>
        <v>670</v>
      </c>
      <c r="F33" s="7">
        <f>IF(COUNTIF(I33:XFD33,"&gt;"&amp;0)=0,,HLOOKUP(COUNTIF(I33:XFD33,"&gt;"&amp;0)-MIN($F$1+1,COUNTIF(I33:XFD33,"&gt;"&amp;0)),I$1:XFD33,A33+1,FALSE))</f>
        <v>192</v>
      </c>
      <c r="G33" s="8">
        <f>IF(COUNTIF(I33:XFD33,"&gt;"&amp;0)=0,,(E33/F33)^(1/MIN(COUNTIF(I33:XFD33,"&gt;"&amp;0)-1,$F$1)))</f>
        <v>1.8680426476216578</v>
      </c>
      <c r="H33" s="13" t="s">
        <v>355</v>
      </c>
      <c r="I33" s="9">
        <v>192</v>
      </c>
      <c r="J33" s="9">
        <v>359</v>
      </c>
      <c r="K33" s="9">
        <v>670</v>
      </c>
    </row>
    <row r="34" spans="1:30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Chile</v>
      </c>
      <c r="D34" s="6">
        <f>MAX(I34:CL34)</f>
        <v>537</v>
      </c>
      <c r="E34" s="6">
        <f>IF(COUNTIF(I34:XFD34,"&gt;"&amp;0)=0,,HLOOKUP(COUNTIF(I34:XFD34,"&gt;"&amp;0)-1,I$1:XFD34,A34+1,FALSE))</f>
        <v>537</v>
      </c>
      <c r="F34" s="7">
        <f>IF(COUNTIF(I34:XFD34,"&gt;"&amp;0)=0,,HLOOKUP(COUNTIF(I34:XFD34,"&gt;"&amp;0)-MIN($F$1+1,COUNTIF(I34:XFD34,"&gt;"&amp;0)),I$1:XFD34,A34+1,FALSE))</f>
        <v>155</v>
      </c>
      <c r="G34" s="8">
        <f>IF(COUNTIF(I34:XFD34,"&gt;"&amp;0)=0,,(E34/F34)^(1/MIN(COUNTIF(I34:XFD34,"&gt;"&amp;0)-1,$F$1)))</f>
        <v>1.2821195354314059</v>
      </c>
      <c r="H34" s="13" t="s">
        <v>124</v>
      </c>
      <c r="I34" s="9">
        <v>155</v>
      </c>
      <c r="J34" s="9">
        <v>201</v>
      </c>
      <c r="K34" s="9">
        <v>238</v>
      </c>
      <c r="L34" s="9">
        <v>238</v>
      </c>
      <c r="M34" s="9">
        <v>434</v>
      </c>
      <c r="N34" s="9">
        <v>537</v>
      </c>
    </row>
    <row r="35" spans="1:30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Poland</v>
      </c>
      <c r="D35" s="6">
        <f>MAX(I35:CL35)</f>
        <v>536</v>
      </c>
      <c r="E35" s="6">
        <f>IF(COUNTIF(I35:XFD35,"&gt;"&amp;0)=0,,HLOOKUP(COUNTIF(I35:XFD35,"&gt;"&amp;0)-1,I$1:XFD35,A35+1,FALSE))</f>
        <v>536</v>
      </c>
      <c r="F35" s="7">
        <f>IF(COUNTIF(I35:XFD35,"&gt;"&amp;0)=0,,HLOOKUP(COUNTIF(I35:XFD35,"&gt;"&amp;0)-MIN($F$1+1,COUNTIF(I35:XFD35,"&gt;"&amp;0)),I$1:XFD35,A35+1,FALSE))</f>
        <v>177</v>
      </c>
      <c r="G35" s="8">
        <f>IF(COUNTIF(I35:XFD35,"&gt;"&amp;0)=0,,(E35/F35)^(1/MIN(COUNTIF(I35:XFD35,"&gt;"&amp;0)-1,$F$1)))</f>
        <v>1.2480681623200454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</row>
    <row r="36" spans="1:30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Greece</v>
      </c>
      <c r="D36" s="6">
        <f>MAX(I36:CL36)</f>
        <v>530</v>
      </c>
      <c r="E36" s="6">
        <f>IF(COUNTIF(I36:XFD36,"&gt;"&amp;0)=0,,HLOOKUP(COUNTIF(I36:XFD36,"&gt;"&amp;0)-1,I$1:XFD36,A36+1,FALSE))</f>
        <v>530</v>
      </c>
      <c r="F36" s="7">
        <f>IF(COUNTIF(I36:XFD36,"&gt;"&amp;0)=0,,HLOOKUP(COUNTIF(I36:XFD36,"&gt;"&amp;0)-MIN($F$1+1,COUNTIF(I36:XFD36,"&gt;"&amp;0)),I$1:XFD36,A36+1,FALSE))</f>
        <v>331</v>
      </c>
      <c r="G36" s="8">
        <f>IF(COUNTIF(I36:XFD36,"&gt;"&amp;0)=0,,(E36/F36)^(1/MIN(COUNTIF(I36:XFD36,"&gt;"&amp;0)-1,$F$1)))</f>
        <v>1.0987264388955782</v>
      </c>
      <c r="H36" s="13" t="s">
        <v>83</v>
      </c>
      <c r="I36" s="9">
        <v>190</v>
      </c>
      <c r="J36" s="9">
        <v>228</v>
      </c>
      <c r="K36" s="9">
        <v>331</v>
      </c>
      <c r="L36" s="9">
        <v>331</v>
      </c>
      <c r="M36" s="9">
        <v>387</v>
      </c>
      <c r="N36" s="9">
        <v>418</v>
      </c>
      <c r="O36" s="9">
        <v>418</v>
      </c>
      <c r="P36" s="9">
        <v>495</v>
      </c>
      <c r="Q36" s="9">
        <v>530</v>
      </c>
    </row>
    <row r="37" spans="1:30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Finland</v>
      </c>
      <c r="D37" s="6">
        <f>MAX(I37:CL37)</f>
        <v>523</v>
      </c>
      <c r="E37" s="6">
        <f>IF(COUNTIF(I37:XFD37,"&gt;"&amp;0)=0,,HLOOKUP(COUNTIF(I37:XFD37,"&gt;"&amp;0)-1,I$1:XFD37,A37+1,FALSE))</f>
        <v>523</v>
      </c>
      <c r="F37" s="7">
        <f>IF(COUNTIF(I37:XFD37,"&gt;"&amp;0)=0,,HLOOKUP(COUNTIF(I37:XFD37,"&gt;"&amp;0)-MIN($F$1+1,COUNTIF(I37:XFD37,"&gt;"&amp;0)),I$1:XFD37,A37+1,FALSE))</f>
        <v>277</v>
      </c>
      <c r="G37" s="8">
        <f>IF(COUNTIF(I37:XFD37,"&gt;"&amp;0)=0,,(E37/F37)^(1/MIN(COUNTIF(I37:XFD37,"&gt;"&amp;0)-1,$F$1)))</f>
        <v>1.1355450904784155</v>
      </c>
      <c r="H37" s="13" t="s">
        <v>54</v>
      </c>
      <c r="I37" s="9">
        <v>155</v>
      </c>
      <c r="J37" s="9">
        <v>225</v>
      </c>
      <c r="K37" s="9">
        <v>244</v>
      </c>
      <c r="L37" s="9">
        <v>277</v>
      </c>
      <c r="M37" s="9">
        <v>321</v>
      </c>
      <c r="N37" s="9">
        <v>336</v>
      </c>
      <c r="O37" s="9">
        <v>400</v>
      </c>
      <c r="P37" s="9">
        <v>450</v>
      </c>
      <c r="Q37" s="9">
        <v>523</v>
      </c>
    </row>
    <row r="38" spans="1:30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Ecuador</v>
      </c>
      <c r="D38" s="6">
        <f>MAX(I38:CL38)</f>
        <v>506</v>
      </c>
      <c r="E38" s="6">
        <f>IF(COUNTIF(I38:XFD38,"&gt;"&amp;0)=0,,HLOOKUP(COUNTIF(I38:XFD38,"&gt;"&amp;0)-1,I$1:XFD38,A38+1,FALSE))</f>
        <v>506</v>
      </c>
      <c r="F38" s="7">
        <f>IF(COUNTIF(I38:XFD38,"&gt;"&amp;0)=0,,HLOOKUP(COUNTIF(I38:XFD38,"&gt;"&amp;0)-MIN($F$1+1,COUNTIF(I38:XFD38,"&gt;"&amp;0)),I$1:XFD38,A38+1,FALSE))</f>
        <v>111</v>
      </c>
      <c r="G38" s="8">
        <f>IF(COUNTIF(I38:XFD38,"&gt;"&amp;0)=0,,(E38/F38)^(1/MIN(COUNTIF(I38:XFD38,"&gt;"&amp;0)-1,$F$1)))</f>
        <v>1.6580941206086615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</row>
    <row r="39" spans="1:30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Qatar</v>
      </c>
      <c r="D39" s="6">
        <f>MAX(I39:CL39)</f>
        <v>481</v>
      </c>
      <c r="E39" s="6">
        <f>IF(COUNTIF(I39:XFD39,"&gt;"&amp;0)=0,,HLOOKUP(COUNTIF(I39:XFD39,"&gt;"&amp;0)-1,I$1:XFD39,A39+1,FALSE))</f>
        <v>481</v>
      </c>
      <c r="F39" s="7">
        <f>IF(COUNTIF(I39:XFD39,"&gt;"&amp;0)=0,,HLOOKUP(COUNTIF(I39:XFD39,"&gt;"&amp;0)-MIN($F$1+1,COUNTIF(I39:XFD39,"&gt;"&amp;0)),I$1:XFD39,A39+1,FALSE))</f>
        <v>439</v>
      </c>
      <c r="G39" s="8">
        <f>IF(COUNTIF(I39:XFD39,"&gt;"&amp;0)=0,,(E39/F39)^(1/MIN(COUNTIF(I39:XFD39,"&gt;"&amp;0)-1,$F$1)))</f>
        <v>1.0184415547707042</v>
      </c>
      <c r="H39" s="13" t="s">
        <v>101</v>
      </c>
      <c r="I39" s="9">
        <v>262</v>
      </c>
      <c r="J39" s="9">
        <v>262</v>
      </c>
      <c r="K39" s="9">
        <v>320</v>
      </c>
      <c r="L39" s="9">
        <v>337</v>
      </c>
      <c r="M39" s="9">
        <v>401</v>
      </c>
      <c r="N39" s="9">
        <v>439</v>
      </c>
      <c r="O39" s="9">
        <v>439</v>
      </c>
      <c r="P39" s="9">
        <v>452</v>
      </c>
      <c r="Q39" s="9">
        <v>460</v>
      </c>
      <c r="R39" s="9">
        <v>470</v>
      </c>
      <c r="S39" s="9">
        <v>481</v>
      </c>
    </row>
    <row r="40" spans="1:30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Iceland</v>
      </c>
      <c r="D40" s="6">
        <f>MAX(I40:CL40)</f>
        <v>473</v>
      </c>
      <c r="E40" s="6">
        <f>IF(COUNTIF(I40:XFD40,"&gt;"&amp;0)=0,,HLOOKUP(COUNTIF(I40:XFD40,"&gt;"&amp;0)-1,I$1:XFD40,A40+1,FALSE))</f>
        <v>473</v>
      </c>
      <c r="F40" s="7">
        <f>IF(COUNTIF(I40:XFD40,"&gt;"&amp;0)=0,,HLOOKUP(COUNTIF(I40:XFD40,"&gt;"&amp;0)-MIN($F$1+1,COUNTIF(I40:XFD40,"&gt;"&amp;0)),I$1:XFD40,A40+1,FALSE))</f>
        <v>180</v>
      </c>
      <c r="G40" s="8">
        <f>IF(COUNTIF(I40:XFD40,"&gt;"&amp;0)=0,,(E40/F40)^(1/MIN(COUNTIF(I40:XFD40,"&gt;"&amp;0)-1,$F$1)))</f>
        <v>1.2131590074993071</v>
      </c>
      <c r="H40" s="13" t="s">
        <v>92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  <c r="O40" s="9">
        <v>250</v>
      </c>
      <c r="P40" s="9">
        <v>330</v>
      </c>
      <c r="Q40" s="9">
        <v>409</v>
      </c>
      <c r="R40" s="9">
        <v>473</v>
      </c>
    </row>
    <row r="41" spans="1:30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Indonesia</v>
      </c>
      <c r="D41" s="6">
        <f>MAX(I41:CL41)</f>
        <v>450</v>
      </c>
      <c r="E41" s="6">
        <f>IF(COUNTIF(I41:XFD41,"&gt;"&amp;0)=0,,HLOOKUP(COUNTIF(I41:XFD41,"&gt;"&amp;0)-1,I$1:XFD41,A41+1,FALSE))</f>
        <v>450</v>
      </c>
      <c r="F41" s="7">
        <f>IF(COUNTIF(I41:XFD41,"&gt;"&amp;0)=0,,HLOOKUP(COUNTIF(I41:XFD41,"&gt;"&amp;0)-MIN($F$1+1,COUNTIF(I41:XFD41,"&gt;"&amp;0)),I$1:XFD41,A41+1,FALSE))</f>
        <v>134</v>
      </c>
      <c r="G41" s="8">
        <f>IF(COUNTIF(I41:XFD41,"&gt;"&amp;0)=0,,(E41/F41)^(1/MIN(COUNTIF(I41:XFD41,"&gt;"&amp;0)-1,$F$1)))</f>
        <v>1.2741528884248814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</row>
    <row r="42" spans="1:30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Singapore</v>
      </c>
      <c r="D42" s="6">
        <f>MAX(I42:CL42)</f>
        <v>432</v>
      </c>
      <c r="E42" s="6">
        <f>IF(COUNTIF(I42:XFD42,"&gt;"&amp;0)=0,,HLOOKUP(COUNTIF(I42:XFD42,"&gt;"&amp;0)-1,I$1:XFD42,A42+1,FALSE))</f>
        <v>432</v>
      </c>
      <c r="F42" s="7">
        <f>IF(COUNTIF(I42:XFD42,"&gt;"&amp;0)=0,,HLOOKUP(COUNTIF(I42:XFD42,"&gt;"&amp;0)-MIN($F$1+1,COUNTIF(I42:XFD42,"&gt;"&amp;0)),I$1:XFD42,A42+1,FALSE))</f>
        <v>243</v>
      </c>
      <c r="G42" s="8">
        <f>IF(COUNTIF(I42:XFD42,"&gt;"&amp;0)=0,,(E42/F42)^(1/MIN(COUNTIF(I42:XFD42,"&gt;"&amp;0)-1,$F$1)))</f>
        <v>1.1219551454461996</v>
      </c>
      <c r="H42" s="13" t="s">
        <v>40</v>
      </c>
      <c r="I42" s="9">
        <v>102</v>
      </c>
      <c r="J42" s="9">
        <v>106</v>
      </c>
      <c r="K42" s="9">
        <v>108</v>
      </c>
      <c r="L42" s="9">
        <v>110</v>
      </c>
      <c r="M42" s="9">
        <v>110</v>
      </c>
      <c r="N42" s="9">
        <v>117</v>
      </c>
      <c r="O42" s="9">
        <v>130</v>
      </c>
      <c r="P42" s="9">
        <v>138</v>
      </c>
      <c r="Q42" s="9">
        <v>150</v>
      </c>
      <c r="R42" s="9">
        <v>150</v>
      </c>
      <c r="S42" s="9">
        <v>160</v>
      </c>
      <c r="T42" s="9">
        <v>178</v>
      </c>
      <c r="U42" s="9">
        <v>178</v>
      </c>
      <c r="V42" s="9">
        <v>200</v>
      </c>
      <c r="W42" s="9">
        <v>212</v>
      </c>
      <c r="X42" s="9">
        <v>226</v>
      </c>
      <c r="Y42" s="9">
        <v>243</v>
      </c>
      <c r="Z42" s="9">
        <v>266</v>
      </c>
      <c r="AA42" s="9">
        <v>313</v>
      </c>
      <c r="AB42" s="9">
        <v>345</v>
      </c>
      <c r="AC42" s="9">
        <v>385</v>
      </c>
      <c r="AD42" s="9">
        <v>432</v>
      </c>
    </row>
    <row r="43" spans="1:30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Thailand</v>
      </c>
      <c r="D43" s="6">
        <f>MAX(I43:CL43)</f>
        <v>411</v>
      </c>
      <c r="E43" s="6">
        <f>IF(COUNTIF(I43:XFD43,"&gt;"&amp;0)=0,,HLOOKUP(COUNTIF(I43:XFD43,"&gt;"&amp;0)-1,I$1:XFD43,A43+1,FALSE))</f>
        <v>411</v>
      </c>
      <c r="F43" s="7">
        <f>IF(COUNTIF(I43:XFD43,"&gt;"&amp;0)=0,,HLOOKUP(COUNTIF(I43:XFD43,"&gt;"&amp;0)-MIN($F$1+1,COUNTIF(I43:XFD43,"&gt;"&amp;0)),I$1:XFD43,A43+1,FALSE))</f>
        <v>147</v>
      </c>
      <c r="G43" s="8">
        <f>IF(COUNTIF(I43:XFD43,"&gt;"&amp;0)=0,,(E43/F43)^(1/MIN(COUNTIF(I43:XFD43,"&gt;"&amp;0)-1,$F$1)))</f>
        <v>1.2283012602126029</v>
      </c>
      <c r="H43" s="13" t="s">
        <v>35</v>
      </c>
      <c r="I43" s="9">
        <v>114</v>
      </c>
      <c r="J43" s="9">
        <v>147</v>
      </c>
      <c r="K43" s="9">
        <v>177</v>
      </c>
      <c r="L43" s="9">
        <v>212</v>
      </c>
      <c r="M43" s="9">
        <v>272</v>
      </c>
      <c r="N43" s="9">
        <v>322</v>
      </c>
      <c r="O43" s="9">
        <v>411</v>
      </c>
    </row>
    <row r="44" spans="1:30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Saudi Arabia</v>
      </c>
      <c r="D44" s="6">
        <f>MAX(I44:CL44)</f>
        <v>392</v>
      </c>
      <c r="E44" s="6">
        <f>IF(COUNTIF(I44:XFD44,"&gt;"&amp;0)=0,,HLOOKUP(COUNTIF(I44:XFD44,"&gt;"&amp;0)-1,I$1:XFD44,A44+1,FALSE))</f>
        <v>392</v>
      </c>
      <c r="F44" s="7">
        <f>IF(COUNTIF(I44:XFD44,"&gt;"&amp;0)=0,,HLOOKUP(COUNTIF(I44:XFD44,"&gt;"&amp;0)-MIN($F$1+1,COUNTIF(I44:XFD44,"&gt;"&amp;0)),I$1:XFD44,A44+1,FALSE))</f>
        <v>118</v>
      </c>
      <c r="G44" s="8">
        <f>IF(COUNTIF(I44:XFD44,"&gt;"&amp;0)=0,,(E44/F44)^(1/MIN(COUNTIF(I44:XFD44,"&gt;"&amp;0)-1,$F$1)))</f>
        <v>1.2713959156910042</v>
      </c>
      <c r="H44" s="13" t="s">
        <v>113</v>
      </c>
      <c r="I44" s="9">
        <v>103</v>
      </c>
      <c r="J44" s="9">
        <v>103</v>
      </c>
      <c r="K44" s="9">
        <v>118</v>
      </c>
      <c r="L44" s="9">
        <v>171</v>
      </c>
      <c r="M44" s="9">
        <v>171</v>
      </c>
      <c r="N44" s="9">
        <v>274</v>
      </c>
      <c r="O44" s="9">
        <v>344</v>
      </c>
      <c r="P44" s="9">
        <v>392</v>
      </c>
    </row>
    <row r="45" spans="1:30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Slovenia</v>
      </c>
      <c r="D45" s="6">
        <f>MAX(I45:CL45)</f>
        <v>383</v>
      </c>
      <c r="E45" s="6">
        <f>IF(COUNTIF(I45:XFD45,"&gt;"&amp;0)=0,,HLOOKUP(COUNTIF(I45:XFD45,"&gt;"&amp;0)-1,I$1:XFD45,A45+1,FALSE))</f>
        <v>383</v>
      </c>
      <c r="F45" s="7">
        <f>IF(COUNTIF(I45:XFD45,"&gt;"&amp;0)=0,,HLOOKUP(COUNTIF(I45:XFD45,"&gt;"&amp;0)-MIN($F$1+1,COUNTIF(I45:XFD45,"&gt;"&amp;0)),I$1:XFD45,A45+1,FALSE))</f>
        <v>253</v>
      </c>
      <c r="G45" s="8">
        <f>IF(COUNTIF(I45:XFD45,"&gt;"&amp;0)=0,,(E45/F45)^(1/MIN(COUNTIF(I45:XFD45,"&gt;"&amp;0)-1,$F$1)))</f>
        <v>1.0864647755633281</v>
      </c>
      <c r="H45" s="13" t="s">
        <v>141</v>
      </c>
      <c r="I45" s="9">
        <v>141</v>
      </c>
      <c r="J45" s="9">
        <v>181</v>
      </c>
      <c r="K45" s="9">
        <v>219</v>
      </c>
      <c r="L45" s="9">
        <v>253</v>
      </c>
      <c r="M45" s="9">
        <v>275</v>
      </c>
      <c r="N45" s="9">
        <v>275</v>
      </c>
      <c r="O45" s="9">
        <v>286</v>
      </c>
      <c r="P45" s="9">
        <v>341</v>
      </c>
      <c r="Q45" s="9">
        <v>383</v>
      </c>
    </row>
    <row r="46" spans="1:30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Romania</v>
      </c>
      <c r="D46" s="6">
        <f>MAX(I46:CL46)</f>
        <v>367</v>
      </c>
      <c r="E46" s="6">
        <f>IF(COUNTIF(I46:XFD46,"&gt;"&amp;0)=0,,HLOOKUP(COUNTIF(I46:XFD46,"&gt;"&amp;0)-1,I$1:XFD46,A46+1,FALSE))</f>
        <v>367</v>
      </c>
      <c r="F46" s="7">
        <f>IF(COUNTIF(I46:XFD46,"&gt;"&amp;0)=0,,HLOOKUP(COUNTIF(I46:XFD46,"&gt;"&amp;0)-MIN($F$1+1,COUNTIF(I46:XFD46,"&gt;"&amp;0)),I$1:XFD46,A46+1,FALSE))</f>
        <v>158</v>
      </c>
      <c r="G46" s="8">
        <f>IF(COUNTIF(I46:XFD46,"&gt;"&amp;0)=0,,(E46/F46)^(1/MIN(COUNTIF(I46:XFD46,"&gt;"&amp;0)-1,$F$1)))</f>
        <v>1.1835913851533053</v>
      </c>
      <c r="H46" s="13" t="s">
        <v>86</v>
      </c>
      <c r="I46" s="9">
        <v>123</v>
      </c>
      <c r="J46" s="9">
        <v>131</v>
      </c>
      <c r="K46" s="9">
        <v>158</v>
      </c>
      <c r="L46" s="9">
        <v>184</v>
      </c>
      <c r="M46" s="9">
        <v>260</v>
      </c>
      <c r="N46" s="9">
        <v>277</v>
      </c>
      <c r="O46" s="9">
        <v>308</v>
      </c>
      <c r="P46" s="9">
        <v>367</v>
      </c>
    </row>
    <row r="47" spans="1:30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India</v>
      </c>
      <c r="D47" s="6">
        <f>MAX(I47:CL47)</f>
        <v>330</v>
      </c>
      <c r="E47" s="6">
        <f>IF(COUNTIF(I47:XFD47,"&gt;"&amp;0)=0,,HLOOKUP(COUNTIF(I47:XFD47,"&gt;"&amp;0)-1,I$1:XFD47,A47+1,FALSE))</f>
        <v>330</v>
      </c>
      <c r="F47" s="7">
        <f>IF(COUNTIF(I47:XFD47,"&gt;"&amp;0)=0,,HLOOKUP(COUNTIF(I47:XFD47,"&gt;"&amp;0)-MIN($F$1+1,COUNTIF(I47:XFD47,"&gt;"&amp;0)),I$1:XFD47,A47+1,FALSE))</f>
        <v>119</v>
      </c>
      <c r="G47" s="8">
        <f>IF(COUNTIF(I47:XFD47,"&gt;"&amp;0)=0,,(E47/F47)^(1/MIN(COUNTIF(I47:XFD47,"&gt;"&amp;0)-1,$F$1)))</f>
        <v>1.2262905900033791</v>
      </c>
      <c r="H47" s="13" t="s">
        <v>57</v>
      </c>
      <c r="I47" s="9">
        <v>102</v>
      </c>
      <c r="J47" s="9">
        <v>113</v>
      </c>
      <c r="K47" s="9">
        <v>119</v>
      </c>
      <c r="L47" s="9">
        <v>142</v>
      </c>
      <c r="M47" s="9">
        <v>156</v>
      </c>
      <c r="N47" s="9">
        <v>194</v>
      </c>
      <c r="O47" s="9">
        <v>244</v>
      </c>
      <c r="P47" s="9">
        <v>330</v>
      </c>
    </row>
    <row r="48" spans="1:30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Peru</v>
      </c>
      <c r="D48" s="6">
        <f>MAX(I48:CL48)</f>
        <v>318</v>
      </c>
      <c r="E48" s="6">
        <f>IF(COUNTIF(I48:XFD48,"&gt;"&amp;0)=0,,HLOOKUP(COUNTIF(I48:XFD48,"&gt;"&amp;0)-1,I$1:XFD48,A48+1,FALSE))</f>
        <v>318</v>
      </c>
      <c r="F48" s="7">
        <f>IF(COUNTIF(I48:XFD48,"&gt;"&amp;0)=0,,HLOOKUP(COUNTIF(I48:XFD48,"&gt;"&amp;0)-MIN($F$1+1,COUNTIF(I48:XFD48,"&gt;"&amp;0)),I$1:XFD48,A48+1,FALSE))</f>
        <v>117</v>
      </c>
      <c r="G48" s="8">
        <f>IF(COUNTIF(I48:XFD48,"&gt;"&amp;0)=0,,(E48/F48)^(1/MIN(COUNTIF(I48:XFD48,"&gt;"&amp;0)-1,$F$1)))</f>
        <v>1.283986077314025</v>
      </c>
      <c r="H48" s="15" t="s">
        <v>160</v>
      </c>
      <c r="I48" s="9">
        <v>117</v>
      </c>
      <c r="J48" s="9">
        <v>145</v>
      </c>
      <c r="K48" s="9">
        <v>234</v>
      </c>
      <c r="L48" s="9">
        <v>234</v>
      </c>
      <c r="M48" s="9">
        <v>318</v>
      </c>
    </row>
    <row r="49" spans="1:20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Philippines</v>
      </c>
      <c r="D49" s="6">
        <f>MAX(I49:CL49)</f>
        <v>307</v>
      </c>
      <c r="E49" s="6">
        <f>IF(COUNTIF(I49:XFD49,"&gt;"&amp;0)=0,,HLOOKUP(COUNTIF(I49:XFD49,"&gt;"&amp;0)-1,I$1:XFD49,A49+1,FALSE))</f>
        <v>307</v>
      </c>
      <c r="F49" s="7">
        <f>IF(COUNTIF(I49:XFD49,"&gt;"&amp;0)=0,,HLOOKUP(COUNTIF(I49:XFD49,"&gt;"&amp;0)-MIN($F$1+1,COUNTIF(I49:XFD49,"&gt;"&amp;0)),I$1:XFD49,A49+1,FALSE))</f>
        <v>142</v>
      </c>
      <c r="G49" s="8">
        <f>IF(COUNTIF(I49:XFD49,"&gt;"&amp;0)=0,,(E49/F49)^(1/MIN(COUNTIF(I49:XFD49,"&gt;"&amp;0)-1,$F$1)))</f>
        <v>1.1667290361986495</v>
      </c>
      <c r="H49" s="13" t="s">
        <v>56</v>
      </c>
      <c r="I49" s="9">
        <v>111</v>
      </c>
      <c r="J49" s="9">
        <v>140</v>
      </c>
      <c r="K49" s="9">
        <v>142</v>
      </c>
      <c r="L49" s="9">
        <v>187</v>
      </c>
      <c r="M49" s="9">
        <v>202</v>
      </c>
      <c r="N49" s="9">
        <v>217</v>
      </c>
      <c r="O49" s="9">
        <v>230</v>
      </c>
      <c r="P49" s="9">
        <v>307</v>
      </c>
    </row>
    <row r="50" spans="1:20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Estonia</v>
      </c>
      <c r="D50" s="6">
        <f>MAX(I50:CL50)</f>
        <v>306</v>
      </c>
      <c r="E50" s="6">
        <f>IF(COUNTIF(I50:XFD50,"&gt;"&amp;0)=0,,HLOOKUP(COUNTIF(I50:XFD50,"&gt;"&amp;0)-1,I$1:XFD50,A50+1,FALSE))</f>
        <v>306</v>
      </c>
      <c r="F50" s="7">
        <f>IF(COUNTIF(I50:XFD50,"&gt;"&amp;0)=0,,HLOOKUP(COUNTIF(I50:XFD50,"&gt;"&amp;0)-MIN($F$1+1,COUNTIF(I50:XFD50,"&gt;"&amp;0)),I$1:XFD50,A50+1,FALSE))</f>
        <v>205</v>
      </c>
      <c r="G50" s="8">
        <f>IF(COUNTIF(I50:XFD50,"&gt;"&amp;0)=0,,(E50/F50)^(1/MIN(COUNTIF(I50:XFD50,"&gt;"&amp;0)-1,$F$1)))</f>
        <v>1.0834116794628696</v>
      </c>
      <c r="H50" s="13" t="s">
        <v>88</v>
      </c>
      <c r="I50" s="9">
        <v>115</v>
      </c>
      <c r="J50" s="9">
        <v>171</v>
      </c>
      <c r="K50" s="9">
        <v>205</v>
      </c>
      <c r="L50" s="9">
        <v>225</v>
      </c>
      <c r="M50" s="9">
        <v>258</v>
      </c>
      <c r="N50" s="9">
        <v>267</v>
      </c>
      <c r="O50" s="9">
        <v>283</v>
      </c>
      <c r="P50" s="9">
        <v>306</v>
      </c>
    </row>
    <row r="51" spans="1:20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Russia</v>
      </c>
      <c r="D51" s="6">
        <f>MAX(I51:CL51)</f>
        <v>306</v>
      </c>
      <c r="E51" s="6">
        <f>IF(COUNTIF(I51:XFD51,"&gt;"&amp;0)=0,,HLOOKUP(COUNTIF(I51:XFD51,"&gt;"&amp;0)-1,I$1:XFD51,A51+1,FALSE))</f>
        <v>306</v>
      </c>
      <c r="F51" s="7">
        <f>IF(COUNTIF(I51:XFD51,"&gt;"&amp;0)=0,,HLOOKUP(COUNTIF(I51:XFD51,"&gt;"&amp;0)-MIN($F$1+1,COUNTIF(I51:XFD51,"&gt;"&amp;0)),I$1:XFD51,A51+1,FALSE))</f>
        <v>114</v>
      </c>
      <c r="G51" s="8">
        <f>IF(COUNTIF(I51:XFD51,"&gt;"&amp;0)=0,,(E51/F51)^(1/MIN(COUNTIF(I51:XFD51,"&gt;"&amp;0)-1,$F$1)))</f>
        <v>1.2799828295013378</v>
      </c>
      <c r="H51" s="13" t="s">
        <v>344</v>
      </c>
      <c r="I51" s="9">
        <v>114</v>
      </c>
      <c r="J51" s="9">
        <v>147</v>
      </c>
      <c r="K51" s="9">
        <v>199</v>
      </c>
      <c r="L51" s="9">
        <v>253</v>
      </c>
      <c r="M51" s="9">
        <v>306</v>
      </c>
    </row>
    <row r="52" spans="1:20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Bahrain</v>
      </c>
      <c r="D52" s="6">
        <f>MAX(I52:CL52)</f>
        <v>305</v>
      </c>
      <c r="E52" s="6">
        <f>IF(COUNTIF(I52:XFD52,"&gt;"&amp;0)=0,,HLOOKUP(COUNTIF(I52:XFD52,"&gt;"&amp;0)-1,I$1:XFD52,A52+1,FALSE))</f>
        <v>305</v>
      </c>
      <c r="F52" s="7">
        <f>IF(COUNTIF(I52:XFD52,"&gt;"&amp;0)=0,,HLOOKUP(COUNTIF(I52:XFD52,"&gt;"&amp;0)-MIN($F$1+1,COUNTIF(I52:XFD52,"&gt;"&amp;0)),I$1:XFD52,A52+1,FALSE))</f>
        <v>214</v>
      </c>
      <c r="G52" s="8">
        <f>IF(COUNTIF(I52:XFD52,"&gt;"&amp;0)=0,,(E52/F52)^(1/MIN(COUNTIF(I52:XFD52,"&gt;"&amp;0)-1,$F$1)))</f>
        <v>1.073438612563242</v>
      </c>
      <c r="H52" s="13" t="s">
        <v>73</v>
      </c>
      <c r="I52" s="9">
        <v>110</v>
      </c>
      <c r="J52" s="9">
        <v>195</v>
      </c>
      <c r="K52" s="9">
        <v>195</v>
      </c>
      <c r="L52" s="9">
        <v>189</v>
      </c>
      <c r="M52" s="9">
        <v>210</v>
      </c>
      <c r="N52" s="9">
        <v>214</v>
      </c>
      <c r="O52" s="9">
        <v>214</v>
      </c>
      <c r="P52" s="9">
        <v>228</v>
      </c>
      <c r="Q52" s="9">
        <v>256</v>
      </c>
      <c r="R52" s="9">
        <v>278</v>
      </c>
      <c r="S52" s="9">
        <v>285</v>
      </c>
      <c r="T52" s="9">
        <v>305</v>
      </c>
    </row>
    <row r="53" spans="1:20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Egypt</v>
      </c>
      <c r="D53" s="6">
        <f>MAX(I53:CL53)</f>
        <v>294</v>
      </c>
      <c r="E53" s="6">
        <f>IF(COUNTIF(I53:XFD53,"&gt;"&amp;0)=0,,HLOOKUP(COUNTIF(I53:XFD53,"&gt;"&amp;0)-1,I$1:XFD53,A53+1,FALSE))</f>
        <v>294</v>
      </c>
      <c r="F53" s="7">
        <f>IF(COUNTIF(I53:XFD53,"&gt;"&amp;0)=0,,HLOOKUP(COUNTIF(I53:XFD53,"&gt;"&amp;0)-MIN($F$1+1,COUNTIF(I53:XFD53,"&gt;"&amp;0)),I$1:XFD53,A53+1,FALSE))</f>
        <v>150</v>
      </c>
      <c r="G53" s="8">
        <f>IF(COUNTIF(I53:XFD53,"&gt;"&amp;0)=0,,(E53/F53)^(1/MIN(COUNTIF(I53:XFD53,"&gt;"&amp;0)-1,$F$1)))</f>
        <v>1.144066355858723</v>
      </c>
      <c r="H53" s="13" t="s">
        <v>65</v>
      </c>
      <c r="I53" s="9">
        <v>109</v>
      </c>
      <c r="J53" s="9">
        <v>110</v>
      </c>
      <c r="K53" s="9">
        <v>150</v>
      </c>
      <c r="L53" s="9">
        <v>196</v>
      </c>
      <c r="M53" s="9">
        <v>196</v>
      </c>
      <c r="N53" s="9">
        <v>256</v>
      </c>
      <c r="O53" s="9">
        <v>285</v>
      </c>
      <c r="P53" s="9">
        <v>294</v>
      </c>
    </row>
    <row r="54" spans="1:20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South Africa</v>
      </c>
      <c r="D54" s="6">
        <f>MAX(I54:CL54)</f>
        <v>240</v>
      </c>
      <c r="E54" s="6">
        <f>IF(COUNTIF(I54:XFD54,"&gt;"&amp;0)=0,,HLOOKUP(COUNTIF(I54:XFD54,"&gt;"&amp;0)-1,I$1:XFD54,A54+1,FALSE))</f>
        <v>240</v>
      </c>
      <c r="F54" s="7">
        <f>IF(COUNTIF(I54:XFD54,"&gt;"&amp;0)=0,,HLOOKUP(COUNTIF(I54:XFD54,"&gt;"&amp;0)-MIN($F$1+1,COUNTIF(I54:XFD54,"&gt;"&amp;0)),I$1:XFD54,A54+1,FALSE))</f>
        <v>116</v>
      </c>
      <c r="G54" s="8">
        <f>IF(COUNTIF(I54:XFD54,"&gt;"&amp;0)=0,,(E54/F54)^(1/MIN(COUNTIF(I54:XFD54,"&gt;"&amp;0)-1,$F$1)))</f>
        <v>1.2742395603340584</v>
      </c>
      <c r="H54" s="13" t="s">
        <v>145</v>
      </c>
      <c r="I54" s="9">
        <v>116</v>
      </c>
      <c r="J54" s="9">
        <v>150</v>
      </c>
      <c r="K54" s="9">
        <v>202</v>
      </c>
      <c r="L54" s="9">
        <v>240</v>
      </c>
    </row>
    <row r="55" spans="1:20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Iraq</v>
      </c>
      <c r="D55" s="6">
        <f>MAX(I55:CL55)</f>
        <v>214</v>
      </c>
      <c r="E55" s="6">
        <f>IF(COUNTIF(I55:XFD55,"&gt;"&amp;0)=0,,HLOOKUP(COUNTIF(I55:XFD55,"&gt;"&amp;0)-1,I$1:XFD55,A55+1,FALSE))</f>
        <v>214</v>
      </c>
      <c r="F55" s="7">
        <f>IF(COUNTIF(I55:XFD55,"&gt;"&amp;0)=0,,HLOOKUP(COUNTIF(I55:XFD55,"&gt;"&amp;0)-MIN($F$1+1,COUNTIF(I55:XFD55,"&gt;"&amp;0)),I$1:XFD55,A55+1,FALSE))</f>
        <v>124</v>
      </c>
      <c r="G55" s="8">
        <f>IF(COUNTIF(I55:XFD55,"&gt;"&amp;0)=0,,(E55/F55)^(1/MIN(COUNTIF(I55:XFD55,"&gt;"&amp;0)-1,$F$1)))</f>
        <v>1.1153172458666791</v>
      </c>
      <c r="H55" s="13" t="s">
        <v>70</v>
      </c>
      <c r="I55" s="9">
        <v>101</v>
      </c>
      <c r="J55" s="9">
        <v>110</v>
      </c>
      <c r="K55" s="9">
        <v>116</v>
      </c>
      <c r="L55" s="9">
        <v>124</v>
      </c>
      <c r="M55" s="9">
        <v>154</v>
      </c>
      <c r="N55" s="9">
        <v>164</v>
      </c>
      <c r="O55" s="9">
        <v>192</v>
      </c>
      <c r="P55" s="9">
        <v>208</v>
      </c>
      <c r="Q55" s="9">
        <v>214</v>
      </c>
    </row>
    <row r="56" spans="1:20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Croatia</v>
      </c>
      <c r="D56" s="6">
        <f>MAX(I56:CL56)</f>
        <v>206</v>
      </c>
      <c r="E56" s="6">
        <f>IF(COUNTIF(I56:XFD56,"&gt;"&amp;0)=0,,HLOOKUP(COUNTIF(I56:XFD56,"&gt;"&amp;0)-1,I$1:XFD56,A56+1,FALSE))</f>
        <v>206</v>
      </c>
      <c r="F56" s="7">
        <f>IF(COUNTIF(I56:XFD56,"&gt;"&amp;0)=0,,HLOOKUP(COUNTIF(I56:XFD56,"&gt;"&amp;0)-MIN($F$1+1,COUNTIF(I56:XFD56,"&gt;"&amp;0)),I$1:XFD56,A56+1,FALSE))</f>
        <v>105</v>
      </c>
      <c r="G56" s="8">
        <f>IF(COUNTIF(I56:XFD56,"&gt;"&amp;0)=0,,(E56/F56)^(1/MIN(COUNTIF(I56:XFD56,"&gt;"&amp;0)-1,$F$1)))</f>
        <v>1.4006801069140526</v>
      </c>
      <c r="H56" s="13" t="s">
        <v>76</v>
      </c>
      <c r="I56" s="9">
        <v>105</v>
      </c>
      <c r="J56" s="9">
        <v>128</v>
      </c>
      <c r="K56" s="9">
        <v>206</v>
      </c>
    </row>
    <row r="57" spans="1:20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Mexico</v>
      </c>
      <c r="D57" s="6">
        <f>MAX(I57:CL57)</f>
        <v>203</v>
      </c>
      <c r="E57" s="6">
        <f>IF(COUNTIF(I57:XFD57,"&gt;"&amp;0)=0,,HLOOKUP(COUNTIF(I57:XFD57,"&gt;"&amp;0)-1,I$1:XFD57,A57+1,FALSE))</f>
        <v>203</v>
      </c>
      <c r="F57" s="7">
        <f>IF(COUNTIF(I57:XFD57,"&gt;"&amp;0)=0,,HLOOKUP(COUNTIF(I57:XFD57,"&gt;"&amp;0)-MIN($F$1+1,COUNTIF(I57:XFD57,"&gt;"&amp;0)),I$1:XFD57,A57+1,FALSE))</f>
        <v>118</v>
      </c>
      <c r="G57" s="8">
        <f>IF(COUNTIF(I57:XFD57,"&gt;"&amp;0)=0,,(E57/F57)^(1/MIN(COUNTIF(I57:XFD57,"&gt;"&amp;0)-1,$F$1)))</f>
        <v>1.3116169345700168</v>
      </c>
      <c r="H57" s="13" t="s">
        <v>94</v>
      </c>
      <c r="I57" s="9">
        <v>118</v>
      </c>
      <c r="J57" s="9">
        <v>164</v>
      </c>
      <c r="K57" s="9">
        <v>203</v>
      </c>
    </row>
    <row r="58" spans="1:20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Panama</v>
      </c>
      <c r="D58" s="6">
        <f>MAX(I58:CL58)</f>
        <v>200</v>
      </c>
      <c r="E58" s="6">
        <f>IF(COUNTIF(I58:XFD58,"&gt;"&amp;0)=0,,HLOOKUP(COUNTIF(I58:XFD58,"&gt;"&amp;0)-1,I$1:XFD58,A58+1,FALSE))</f>
        <v>200</v>
      </c>
      <c r="F58" s="7">
        <f>IF(COUNTIF(I58:XFD58,"&gt;"&amp;0)=0,,HLOOKUP(COUNTIF(I58:XFD58,"&gt;"&amp;0)-MIN($F$1+1,COUNTIF(I58:XFD58,"&gt;"&amp;0)),I$1:XFD58,A58+1,FALSE))</f>
        <v>109</v>
      </c>
      <c r="G58" s="8">
        <f>IF(COUNTIF(I58:XFD58,"&gt;"&amp;0)=0,,(E58/F58)^(1/MIN(COUNTIF(I58:XFD58,"&gt;"&amp;0)-1,$F$1)))</f>
        <v>1.3545709229571927</v>
      </c>
      <c r="H58" s="13" t="s">
        <v>283</v>
      </c>
      <c r="I58" s="9">
        <v>109</v>
      </c>
      <c r="J58" s="9">
        <v>137</v>
      </c>
      <c r="K58" s="9">
        <v>200</v>
      </c>
    </row>
    <row r="59" spans="1:20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Colombia</v>
      </c>
      <c r="D59" s="6">
        <f>MAX(I59:CL59)</f>
        <v>196</v>
      </c>
      <c r="E59" s="6">
        <f>IF(COUNTIF(I59:XFD59,"&gt;"&amp;0)=0,,HLOOKUP(COUNTIF(I59:XFD59,"&gt;"&amp;0)-1,I$1:XFD59,A59+1,FALSE))</f>
        <v>196</v>
      </c>
      <c r="F59" s="7">
        <f>IF(COUNTIF(I59:XFD59,"&gt;"&amp;0)=0,,HLOOKUP(COUNTIF(I59:XFD59,"&gt;"&amp;0)-MIN($F$1+1,COUNTIF(I59:XFD59,"&gt;"&amp;0)),I$1:XFD59,A59+1,FALSE))</f>
        <v>102</v>
      </c>
      <c r="G59" s="8">
        <f>IF(COUNTIF(I59:XFD59,"&gt;"&amp;0)=0,,(E59/F59)^(1/MIN(COUNTIF(I59:XFD59,"&gt;"&amp;0)-1,$F$1)))</f>
        <v>1.3862065601673441</v>
      </c>
      <c r="H59" s="13" t="s">
        <v>158</v>
      </c>
      <c r="I59" s="9">
        <v>102</v>
      </c>
      <c r="J59" s="9">
        <v>128</v>
      </c>
      <c r="K59" s="9">
        <v>196</v>
      </c>
    </row>
    <row r="60" spans="1:20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Lebanon</v>
      </c>
      <c r="D60" s="6">
        <f>MAX(I60:CL60)</f>
        <v>187</v>
      </c>
      <c r="E60" s="6">
        <f>IF(COUNTIF(I60:XFD60,"&gt;"&amp;0)=0,,HLOOKUP(COUNTIF(I60:XFD60,"&gt;"&amp;0)-1,I$1:XFD60,A60+1,FALSE))</f>
        <v>187</v>
      </c>
      <c r="F60" s="7">
        <f>IF(COUNTIF(I60:XFD60,"&gt;"&amp;0)=0,,HLOOKUP(COUNTIF(I60:XFD60,"&gt;"&amp;0)-MIN($F$1+1,COUNTIF(I60:XFD60,"&gt;"&amp;0)),I$1:XFD60,A60+1,FALSE))</f>
        <v>99</v>
      </c>
      <c r="G60" s="8">
        <f>IF(COUNTIF(I60:XFD60,"&gt;"&amp;0)=0,,(E60/F60)^(1/MIN(COUNTIF(I60:XFD60,"&gt;"&amp;0)-1,$F$1)))</f>
        <v>1.1356415724960776</v>
      </c>
      <c r="H60" s="13" t="s">
        <v>67</v>
      </c>
      <c r="I60" s="9">
        <v>110</v>
      </c>
      <c r="J60" s="9">
        <v>99</v>
      </c>
      <c r="K60" s="9">
        <v>120</v>
      </c>
      <c r="L60" s="9">
        <v>133</v>
      </c>
      <c r="M60" s="9">
        <v>157</v>
      </c>
      <c r="N60" s="9">
        <v>163</v>
      </c>
      <c r="O60" s="9">
        <v>187</v>
      </c>
    </row>
    <row r="61" spans="1:20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Slovakia</v>
      </c>
      <c r="D61" s="6">
        <f>MAX(I61:CL61)</f>
        <v>178</v>
      </c>
      <c r="E61" s="6">
        <f>IF(COUNTIF(I61:XFD61,"&gt;"&amp;0)=0,,HLOOKUP(COUNTIF(I61:XFD61,"&gt;"&amp;0)-1,I$1:XFD61,A61+1,FALSE))</f>
        <v>178</v>
      </c>
      <c r="F61" s="7">
        <f>IF(COUNTIF(I61:XFD61,"&gt;"&amp;0)=0,,HLOOKUP(COUNTIF(I61:XFD61,"&gt;"&amp;0)-MIN($F$1+1,COUNTIF(I61:XFD61,"&gt;"&amp;0)),I$1:XFD61,A61+1,FALSE))</f>
        <v>105</v>
      </c>
      <c r="G61" s="8">
        <f>IF(COUNTIF(I61:XFD61,"&gt;"&amp;0)=0,,(E61/F61)^(1/MIN(COUNTIF(I61:XFD61,"&gt;"&amp;0)-1,$F$1)))</f>
        <v>1.1923677864252722</v>
      </c>
      <c r="H61" s="13" t="s">
        <v>162</v>
      </c>
      <c r="I61" s="9">
        <v>105</v>
      </c>
      <c r="J61" s="9">
        <v>123</v>
      </c>
      <c r="K61" s="9">
        <v>137</v>
      </c>
      <c r="L61" s="9">
        <v>178</v>
      </c>
    </row>
    <row r="62" spans="1:20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Kuwait</v>
      </c>
      <c r="D62" s="6">
        <f>MAX(I62:CL62)</f>
        <v>176</v>
      </c>
      <c r="E62" s="6">
        <f>IF(COUNTIF(I62:XFD62,"&gt;"&amp;0)=0,,HLOOKUP(COUNTIF(I62:XFD62,"&gt;"&amp;0)-1,I$1:XFD62,A62+1,FALSE))</f>
        <v>176</v>
      </c>
      <c r="F62" s="7">
        <f>IF(COUNTIF(I62:XFD62,"&gt;"&amp;0)=0,,HLOOKUP(COUNTIF(I62:XFD62,"&gt;"&amp;0)-MIN($F$1+1,COUNTIF(I62:XFD62,"&gt;"&amp;0)),I$1:XFD62,A62+1,FALSE))</f>
        <v>123</v>
      </c>
      <c r="G62" s="8">
        <f>IF(COUNTIF(I62:XFD62,"&gt;"&amp;0)=0,,(E62/F62)^(1/MIN(COUNTIF(I62:XFD62,"&gt;"&amp;0)-1,$F$1)))</f>
        <v>1.074289945934173</v>
      </c>
      <c r="H62" s="13" t="s">
        <v>74</v>
      </c>
      <c r="I62" s="9">
        <v>104</v>
      </c>
      <c r="J62" s="9">
        <v>112</v>
      </c>
      <c r="K62" s="9">
        <v>123</v>
      </c>
      <c r="L62" s="9">
        <v>130</v>
      </c>
      <c r="M62" s="9">
        <v>142</v>
      </c>
      <c r="N62" s="9">
        <v>148</v>
      </c>
      <c r="O62" s="9">
        <v>159</v>
      </c>
      <c r="P62" s="9">
        <v>176</v>
      </c>
    </row>
    <row r="63" spans="1:20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Serbia</v>
      </c>
      <c r="D63" s="6">
        <f>MAX(I63:CL63)</f>
        <v>171</v>
      </c>
      <c r="E63" s="6">
        <f>IF(COUNTIF(I63:XFD63,"&gt;"&amp;0)=0,,HLOOKUP(COUNTIF(I63:XFD63,"&gt;"&amp;0)-1,I$1:XFD63,A63+1,FALSE))</f>
        <v>171</v>
      </c>
      <c r="F63" s="7">
        <f>IF(COUNTIF(I63:XFD63,"&gt;"&amp;0)=0,,HLOOKUP(COUNTIF(I63:XFD63,"&gt;"&amp;0)-MIN($F$1+1,COUNTIF(I63:XFD63,"&gt;"&amp;0)),I$1:XFD63,A63+1,FALSE))</f>
        <v>103</v>
      </c>
      <c r="G63" s="8">
        <f>IF(COUNTIF(I63:XFD63,"&gt;"&amp;0)=0,,(E63/F63)^(1/MIN(COUNTIF(I63:XFD63,"&gt;"&amp;0)-1,$F$1)))</f>
        <v>1.2884852248890095</v>
      </c>
      <c r="H63" s="13" t="s">
        <v>161</v>
      </c>
      <c r="I63" s="9">
        <v>103</v>
      </c>
      <c r="J63" s="9">
        <v>135</v>
      </c>
      <c r="K63" s="9">
        <v>171</v>
      </c>
    </row>
    <row r="64" spans="1:20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Bulgaria</v>
      </c>
      <c r="D64" s="6">
        <f>MAX(I64:CL64)</f>
        <v>163</v>
      </c>
      <c r="E64" s="6">
        <f>IF(COUNTIF(I64:XFD64,"&gt;"&amp;0)=0,,HLOOKUP(COUNTIF(I64:XFD64,"&gt;"&amp;0)-1,I$1:XFD64,A64+1,FALSE))</f>
        <v>163</v>
      </c>
      <c r="F64" s="7">
        <f>IF(COUNTIF(I64:XFD64,"&gt;"&amp;0)=0,,HLOOKUP(COUNTIF(I64:XFD64,"&gt;"&amp;0)-MIN($F$1+1,COUNTIF(I64:XFD64,"&gt;"&amp;0)),I$1:XFD64,A64+1,FALSE))</f>
        <v>127</v>
      </c>
      <c r="G64" s="8">
        <f>IF(COUNTIF(I64:XFD64,"&gt;"&amp;0)=0,,(E64/F64)^(1/MIN(COUNTIF(I64:XFD64,"&gt;"&amp;0)-1,$F$1)))</f>
        <v>1.2834645669291338</v>
      </c>
      <c r="H64" s="13" t="s">
        <v>199</v>
      </c>
      <c r="I64" s="9">
        <v>127</v>
      </c>
      <c r="J64" s="9">
        <v>163</v>
      </c>
    </row>
    <row r="65" spans="1:15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Armenia</v>
      </c>
      <c r="D65" s="6">
        <f>MAX(I65:CL65)</f>
        <v>160</v>
      </c>
      <c r="E65" s="6">
        <f>IF(COUNTIF(I65:XFD65,"&gt;"&amp;0)=0,,HLOOKUP(COUNTIF(I65:XFD65,"&gt;"&amp;0)-1,I$1:XFD65,A65+1,FALSE))</f>
        <v>160</v>
      </c>
      <c r="F65" s="7">
        <f>IF(COUNTIF(I65:XFD65,"&gt;"&amp;0)=0,,HLOOKUP(COUNTIF(I65:XFD65,"&gt;"&amp;0)-MIN($F$1+1,COUNTIF(I65:XFD65,"&gt;"&amp;0)),I$1:XFD65,A65+1,FALSE))</f>
        <v>115</v>
      </c>
      <c r="G65" s="8">
        <f>IF(COUNTIF(I65:XFD65,"&gt;"&amp;0)=0,,(E65/F65)^(1/MIN(COUNTIF(I65:XFD65,"&gt;"&amp;0)-1,$F$1)))</f>
        <v>1.1795356492391771</v>
      </c>
      <c r="H65" s="13" t="s">
        <v>105</v>
      </c>
      <c r="I65" s="9">
        <v>115</v>
      </c>
      <c r="J65" s="9">
        <v>136</v>
      </c>
      <c r="K65" s="9">
        <v>160</v>
      </c>
    </row>
    <row r="66" spans="1:15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Argentina</v>
      </c>
      <c r="D66" s="6">
        <f>MAX(I66:CL66)</f>
        <v>158</v>
      </c>
      <c r="E66" s="6">
        <f>IF(COUNTIF(I66:XFD66,"&gt;"&amp;0)=0,,HLOOKUP(COUNTIF(I66:XFD66,"&gt;"&amp;0)-1,I$1:XFD66,A66+1,FALSE))</f>
        <v>158</v>
      </c>
      <c r="F66" s="7">
        <f>IF(COUNTIF(I66:XFD66,"&gt;"&amp;0)=0,,HLOOKUP(COUNTIF(I66:XFD66,"&gt;"&amp;0)-MIN($F$1+1,COUNTIF(I66:XFD66,"&gt;"&amp;0)),I$1:XFD66,A66+1,FALSE))</f>
        <v>128</v>
      </c>
      <c r="G66" s="8">
        <f>IF(COUNTIF(I66:XFD66,"&gt;"&amp;0)=0,,(E66/F66)^(1/MIN(COUNTIF(I66:XFD66,"&gt;"&amp;0)-1,$F$1)))</f>
        <v>1.234375</v>
      </c>
      <c r="H66" s="13" t="s">
        <v>123</v>
      </c>
      <c r="I66" s="9">
        <v>128</v>
      </c>
      <c r="J66" s="9">
        <v>158</v>
      </c>
    </row>
    <row r="67" spans="1:15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United Arab Emirates</v>
      </c>
      <c r="D67" s="6">
        <f>MAX(I67:CL67)</f>
        <v>153</v>
      </c>
      <c r="E67" s="6">
        <f>IF(COUNTIF(I67:XFD67,"&gt;"&amp;0)=0,,HLOOKUP(COUNTIF(I67:XFD67,"&gt;"&amp;0)-1,I$1:XFD67,A67+1,FALSE))</f>
        <v>153</v>
      </c>
      <c r="F67" s="7">
        <f>IF(COUNTIF(I67:XFD67,"&gt;"&amp;0)=0,,HLOOKUP(COUNTIF(I67:XFD67,"&gt;"&amp;0)-MIN($F$1+1,COUNTIF(I67:XFD67,"&gt;"&amp;0)),I$1:XFD67,A67+1,FALSE))</f>
        <v>113</v>
      </c>
      <c r="G67" s="8">
        <f>IF(COUNTIF(I67:XFD67,"&gt;"&amp;0)=0,,(E67/F67)^(1/MIN(COUNTIF(I67:XFD67,"&gt;"&amp;0)-1,$F$1)))</f>
        <v>1.1062951177259319</v>
      </c>
      <c r="H67" s="13" t="s">
        <v>55</v>
      </c>
      <c r="I67" s="9">
        <v>113</v>
      </c>
      <c r="J67" s="9">
        <v>140</v>
      </c>
      <c r="K67" s="9">
        <v>140</v>
      </c>
      <c r="L67" s="9">
        <v>153</v>
      </c>
    </row>
    <row r="68" spans="1:15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Taiwan*</v>
      </c>
      <c r="D68" s="6">
        <f>MAX(I68:CL68)</f>
        <v>153</v>
      </c>
      <c r="E68" s="6">
        <f>IF(COUNTIF(I68:XFD68,"&gt;"&amp;0)=0,,HLOOKUP(COUNTIF(I68:XFD68,"&gt;"&amp;0)-1,I$1:XFD68,A68+1,FALSE))</f>
        <v>153</v>
      </c>
      <c r="F68" s="7">
        <f>IF(COUNTIF(I68:XFD68,"&gt;"&amp;0)=0,,HLOOKUP(COUNTIF(I68:XFD68,"&gt;"&amp;0)-MIN($F$1+1,COUNTIF(I68:XFD68,"&gt;"&amp;0)),I$1:XFD68,A68+1,FALSE))</f>
        <v>100</v>
      </c>
      <c r="G68" s="8">
        <f>IF(COUNTIF(I68:XFD68,"&gt;"&amp;0)=0,,(E68/F68)^(1/MIN(COUNTIF(I68:XFD68,"&gt;"&amp;0)-1,$F$1)))</f>
        <v>1.1522953525110873</v>
      </c>
      <c r="H68" s="13" t="s">
        <v>342</v>
      </c>
      <c r="I68" s="9">
        <v>100</v>
      </c>
      <c r="J68" s="9">
        <v>108</v>
      </c>
      <c r="K68" s="9">
        <v>135</v>
      </c>
      <c r="L68" s="9">
        <v>153</v>
      </c>
    </row>
    <row r="69" spans="1:15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San Marino</v>
      </c>
      <c r="D69" s="6">
        <f>MAX(I69:CL69)</f>
        <v>144</v>
      </c>
      <c r="E69" s="6">
        <f>IF(COUNTIF(I69:XFD69,"&gt;"&amp;0)=0,,HLOOKUP(COUNTIF(I69:XFD69,"&gt;"&amp;0)-1,I$1:XFD69,A69+1,FALSE))</f>
        <v>144</v>
      </c>
      <c r="F69" s="7">
        <f>IF(COUNTIF(I69:XFD69,"&gt;"&amp;0)=0,,HLOOKUP(COUNTIF(I69:XFD69,"&gt;"&amp;0)-MIN($F$1+1,COUNTIF(I69:XFD69,"&gt;"&amp;0)),I$1:XFD69,A69+1,FALSE))</f>
        <v>109</v>
      </c>
      <c r="G69" s="8">
        <f>IF(COUNTIF(I69:XFD69,"&gt;"&amp;0)=0,,(E69/F69)^(1/MIN(COUNTIF(I69:XFD69,"&gt;"&amp;0)-1,$F$1)))</f>
        <v>1.0572731393312871</v>
      </c>
      <c r="H69" s="13" t="s">
        <v>90</v>
      </c>
      <c r="I69" s="9">
        <v>101</v>
      </c>
      <c r="J69" s="9">
        <v>109</v>
      </c>
      <c r="K69" s="9">
        <v>109</v>
      </c>
      <c r="L69" s="9">
        <v>119</v>
      </c>
      <c r="M69" s="9">
        <v>119</v>
      </c>
      <c r="N69" s="9">
        <v>144</v>
      </c>
      <c r="O69" s="9">
        <v>144</v>
      </c>
    </row>
    <row r="70" spans="1:15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Algeria</v>
      </c>
      <c r="D70" s="6">
        <f>MAX(I70:CL70)</f>
        <v>139</v>
      </c>
      <c r="E70" s="6">
        <f>IF(COUNTIF(I70:XFD70,"&gt;"&amp;0)=0,,HLOOKUP(COUNTIF(I70:XFD70,"&gt;"&amp;0)-1,I$1:XFD70,A70+1,FALSE))</f>
        <v>139</v>
      </c>
      <c r="F70" s="7">
        <f>IF(COUNTIF(I70:XFD70,"&gt;"&amp;0)=0,,HLOOKUP(COUNTIF(I70:XFD70,"&gt;"&amp;0)-MIN($F$1+1,COUNTIF(I70:XFD70,"&gt;"&amp;0)),I$1:XFD70,A70+1,FALSE))</f>
        <v>139</v>
      </c>
      <c r="G70" s="8" t="e">
        <f>IF(COUNTIF(I70:XFD70,"&gt;"&amp;0)=0,,(E70/F70)^(1/MIN(COUNTIF(I70:XFD70,"&gt;"&amp;0)-1,$F$1)))</f>
        <v>#DIV/0!</v>
      </c>
      <c r="H70" s="13" t="s">
        <v>75</v>
      </c>
      <c r="I70" s="9">
        <v>139</v>
      </c>
    </row>
    <row r="71" spans="1:15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Latvia</v>
      </c>
      <c r="D71" s="6">
        <f>MAX(I71:CL71)</f>
        <v>124</v>
      </c>
      <c r="E71" s="6">
        <f>IF(COUNTIF(I71:XFD71,"&gt;"&amp;0)=0,,HLOOKUP(COUNTIF(I71:XFD71,"&gt;"&amp;0)-1,I$1:XFD71,A71+1,FALSE))</f>
        <v>124</v>
      </c>
      <c r="F71" s="7">
        <f>IF(COUNTIF(I71:XFD71,"&gt;"&amp;0)=0,,HLOOKUP(COUNTIF(I71:XFD71,"&gt;"&amp;0)-MIN($F$1+1,COUNTIF(I71:XFD71,"&gt;"&amp;0)),I$1:XFD71,A71+1,FALSE))</f>
        <v>111</v>
      </c>
      <c r="G71" s="8">
        <f>IF(COUNTIF(I71:XFD71,"&gt;"&amp;0)=0,,(E71/F71)^(1/MIN(COUNTIF(I71:XFD71,"&gt;"&amp;0)-1,$F$1)))</f>
        <v>1.117117117117117</v>
      </c>
      <c r="H71" s="13" t="s">
        <v>111</v>
      </c>
      <c r="I71" s="9">
        <v>111</v>
      </c>
      <c r="J71" s="9">
        <v>124</v>
      </c>
    </row>
    <row r="72" spans="1:15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Costa Rica</v>
      </c>
      <c r="D72" s="6">
        <f>MAX(I72:CL72)</f>
        <v>117</v>
      </c>
      <c r="E72" s="6">
        <f>IF(COUNTIF(I72:XFD72,"&gt;"&amp;0)=0,,HLOOKUP(COUNTIF(I72:XFD72,"&gt;"&amp;0)-1,I$1:XFD72,A72+1,FALSE))</f>
        <v>117</v>
      </c>
      <c r="F72" s="7">
        <f>IF(COUNTIF(I72:XFD72,"&gt;"&amp;0)=0,,HLOOKUP(COUNTIF(I72:XFD72,"&gt;"&amp;0)-MIN($F$1+1,COUNTIF(I72:XFD72,"&gt;"&amp;0)),I$1:XFD72,A72+1,FALSE))</f>
        <v>117</v>
      </c>
      <c r="G72" s="8" t="e">
        <f>IF(COUNTIF(I72:XFD72,"&gt;"&amp;0)=0,,(E72/F72)^(1/MIN(COUNTIF(I72:XFD72,"&gt;"&amp;0)-1,$F$1)))</f>
        <v>#DIV/0!</v>
      </c>
      <c r="H72" s="13" t="s">
        <v>159</v>
      </c>
      <c r="I72" s="9">
        <v>117</v>
      </c>
    </row>
    <row r="73" spans="1:15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Dominican Republic</v>
      </c>
      <c r="D73" s="6">
        <f>MAX(I73:CL73)</f>
        <v>112</v>
      </c>
      <c r="E73" s="6">
        <f>IF(COUNTIF(I73:XFD73,"&gt;"&amp;0)=0,,HLOOKUP(COUNTIF(I73:XFD73,"&gt;"&amp;0)-1,I$1:XFD73,A73+1,FALSE))</f>
        <v>112</v>
      </c>
      <c r="F73" s="7">
        <f>IF(COUNTIF(I73:XFD73,"&gt;"&amp;0)=0,,HLOOKUP(COUNTIF(I73:XFD73,"&gt;"&amp;0)-MIN($F$1+1,COUNTIF(I73:XFD73,"&gt;"&amp;0)),I$1:XFD73,A73+1,FALSE))</f>
        <v>112</v>
      </c>
      <c r="G73" s="8" t="e">
        <f>IF(COUNTIF(I73:XFD73,"&gt;"&amp;0)=0,,(E73/F73)^(1/MIN(COUNTIF(I73:XFD73,"&gt;"&amp;0)-1,$F$1)))</f>
        <v>#DIV/0!</v>
      </c>
      <c r="H73" s="13" t="s">
        <v>106</v>
      </c>
      <c r="I73" s="9">
        <v>112</v>
      </c>
    </row>
    <row r="74" spans="1:15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Hungary</v>
      </c>
      <c r="D74" s="6">
        <f>MAX(I74:CL74)</f>
        <v>103</v>
      </c>
      <c r="E74" s="6">
        <f>IF(COUNTIF(I74:XFD74,"&gt;"&amp;0)=0,,HLOOKUP(COUNTIF(I74:XFD74,"&gt;"&amp;0)-1,I$1:XFD74,A74+1,FALSE))</f>
        <v>103</v>
      </c>
      <c r="F74" s="7">
        <f>IF(COUNTIF(I74:XFD74,"&gt;"&amp;0)=0,,HLOOKUP(COUNTIF(I74:XFD74,"&gt;"&amp;0)-MIN($F$1+1,COUNTIF(I74:XFD74,"&gt;"&amp;0)),I$1:XFD74,A74+1,FALSE))</f>
        <v>103</v>
      </c>
      <c r="G74" s="8" t="e">
        <f>IF(COUNTIF(I74:XFD74,"&gt;"&amp;0)=0,,(E74/F74)^(1/MIN(COUNTIF(I74:XFD74,"&gt;"&amp;0)-1,$F$1)))</f>
        <v>#DIV/0!</v>
      </c>
      <c r="H74" s="13" t="s">
        <v>132</v>
      </c>
      <c r="I74" s="9">
        <v>103</v>
      </c>
    </row>
    <row r="75" spans="1:15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MAX(I75:CL75)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15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MAX(I76:CL76)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15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MAX(I77:CL77)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15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MAX(I78:CL78)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15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MAX(I79:CL79)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15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MAX(I80:CL80)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MAX(I81:CL81)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MAX(I82:CL82)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MAX(I83:CL83)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MAX(I84:CL84)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MAX(I85:CL85)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MAX(I86:CL86)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MAX(I87:CL87)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MAX(I88:CL88)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MAX(I89:CL89)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workbookViewId="0">
      <selection activeCell="W19" sqref="W19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58108</v>
      </c>
      <c r="E5" s="6">
        <f>IF(COUNTIF(I5:XFD5,"&gt;"&amp;0)=0,,HLOOKUP(COUNTIF(I5:XFD5,"&gt;"&amp;0)-1,I$1:XFD5,A5+1,FALSE))</f>
        <v>6189</v>
      </c>
      <c r="F5" s="7">
        <f>IF(COUNTIF(I5:XFD5,"&gt;"&amp;0)=0,,HLOOKUP(COUNTIF(I5:XFD5,"&gt;"&amp;0)-MIN($F$1+1,COUNTIF(I5:XFD5,"&gt;"&amp;0)),I$1:XFD5,A5+1,FALSE))</f>
        <v>9906</v>
      </c>
      <c r="G5" s="8">
        <f t="shared" si="9"/>
        <v>0.91021592965684295</v>
      </c>
      <c r="H5" s="15" t="s">
        <v>337</v>
      </c>
      <c r="I5" s="9">
        <v>150</v>
      </c>
      <c r="J5" s="9">
        <v>221</v>
      </c>
      <c r="K5" s="9">
        <v>311</v>
      </c>
      <c r="L5" s="9">
        <v>438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42681</v>
      </c>
      <c r="E6" s="6">
        <f>IF(COUNTIF(I6:XFD6,"&gt;"&amp;0)=0,,HLOOKUP(COUNTIF(I6:XFD6,"&gt;"&amp;0)-1,I$1:XFD6,A6+1,FALSE))</f>
        <v>42681</v>
      </c>
      <c r="F6" s="7">
        <f>IF(COUNTIF(I6:XFD6,"&gt;"&amp;0)=0,,HLOOKUP(COUNTIF(I6:XFD6,"&gt;"&amp;0)-MIN($F$1+1,COUNTIF(I6:XFD6,"&gt;"&amp;0)),I$1:XFD6,A6+1,FALSE))</f>
        <v>23073</v>
      </c>
      <c r="G6" s="8">
        <f t="shared" ref="G6:G69" si="15">IF(COUNTIF(I6:XFD6,"&gt;"&amp;0)=0,,(E6/F6)^(1/MIN(COUNTIF(I6:XFD6,"&gt;"&amp;0)-1,$F$1)))</f>
        <v>1.1309049474989201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11466</v>
      </c>
      <c r="E7" s="6">
        <f>IF(COUNTIF(I7:XFD7,"&gt;"&amp;0)=0,,HLOOKUP(COUNTIF(I7:XFD7,"&gt;"&amp;0)-1,I$1:XFD7,A7+1,FALSE))</f>
        <v>11419</v>
      </c>
      <c r="F7" s="7">
        <f>IF(COUNTIF(I7:XFD7,"&gt;"&amp;0)=0,,HLOOKUP(COUNTIF(I7:XFD7,"&gt;"&amp;0)-MIN($F$1+1,COUNTIF(I7:XFD7,"&gt;"&amp;0)),I$1:XFD7,A7+1,FALSE))</f>
        <v>9548</v>
      </c>
      <c r="G7" s="8">
        <f t="shared" si="15"/>
        <v>1.0364375344681858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1</v>
      </c>
      <c r="C8" s="9" t="str">
        <f t="shared" si="13"/>
        <v>Korea, South</v>
      </c>
      <c r="D8" s="6">
        <f t="shared" si="14"/>
        <v>7577</v>
      </c>
      <c r="E8" s="6">
        <f>IF(COUNTIF(I8:XFD8,"&gt;"&amp;0)=0,,HLOOKUP(COUNTIF(I8:XFD8,"&gt;"&amp;0)-1,I$1:XFD8,A8+1,FALSE))</f>
        <v>7157</v>
      </c>
      <c r="F8" s="7">
        <f>IF(COUNTIF(I8:XFD8,"&gt;"&amp;0)=0,,HLOOKUP(COUNTIF(I8:XFD8,"&gt;"&amp;0)-MIN($F$1+1,COUNTIF(I8:XFD8,"&gt;"&amp;0)),I$1:XFD8,A8+1,FALSE))</f>
        <v>7024</v>
      </c>
      <c r="G8" s="8">
        <f t="shared" si="15"/>
        <v>1.0037586545764774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0</v>
      </c>
      <c r="C9" s="9" t="str">
        <f t="shared" si="13"/>
        <v>Spain</v>
      </c>
      <c r="D9" s="6">
        <f t="shared" si="14"/>
        <v>21874</v>
      </c>
      <c r="E9" s="6">
        <f>IF(COUNTIF(I9:XFD9,"&gt;"&amp;0)=0,,HLOOKUP(COUNTIF(I9:XFD9,"&gt;"&amp;0)-1,I$1:XFD9,A9+1,FALSE))</f>
        <v>21874</v>
      </c>
      <c r="F9" s="7">
        <f>IF(COUNTIF(I9:XFD9,"&gt;"&amp;0)=0,,HLOOKUP(COUNTIF(I9:XFD9,"&gt;"&amp;0)-MIN($F$1+1,COUNTIF(I9:XFD9,"&gt;"&amp;0)),I$1:XFD9,A9+1,FALSE))</f>
        <v>9070</v>
      </c>
      <c r="G9" s="8">
        <f t="shared" si="15"/>
        <v>1.1925159161375942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21896</v>
      </c>
      <c r="E10" s="6">
        <f>IF(COUNTIF(I10:XFD10,"&gt;"&amp;0)=0,,HLOOKUP(COUNTIF(I10:XFD10,"&gt;"&amp;0)-1,I$1:XFD10,A10+1,FALSE))</f>
        <v>21896</v>
      </c>
      <c r="F10" s="7">
        <f>IF(COUNTIF(I10:XFD10,"&gt;"&amp;0)=0,,HLOOKUP(COUNTIF(I10:XFD10,"&gt;"&amp;0)-MIN($F$1+1,COUNTIF(I10:XFD10,"&gt;"&amp;0)),I$1:XFD10,A10+1,FALSE))</f>
        <v>7188</v>
      </c>
      <c r="G10" s="8">
        <f t="shared" si="15"/>
        <v>1.2495433949770771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13857</v>
      </c>
      <c r="E11" s="6">
        <f>IF(COUNTIF(I11:XFD11,"&gt;"&amp;0)=0,,HLOOKUP(COUNTIF(I11:XFD11,"&gt;"&amp;0)-1,I$1:XFD11,A11+1,FALSE))</f>
        <v>13857</v>
      </c>
      <c r="F11" s="7">
        <f>IF(COUNTIF(I11:XFD11,"&gt;"&amp;0)=0,,HLOOKUP(COUNTIF(I11:XFD11,"&gt;"&amp;0)-MIN($F$1+1,COUNTIF(I11:XFD11,"&gt;"&amp;0)),I$1:XFD11,A11+1,FALSE))</f>
        <v>6508</v>
      </c>
      <c r="G11" s="8">
        <f t="shared" si="15"/>
        <v>1.1631730586863531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  <c r="AC11" s="9">
        <v>12264</v>
      </c>
      <c r="AD11" s="9">
        <v>13857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25182</v>
      </c>
      <c r="E12" s="6">
        <f>IF(COUNTIF(I12:XFD12,"&gt;"&amp;0)=0,,HLOOKUP(COUNTIF(I12:XFD12,"&gt;"&amp;0)-1,I$1:XFD12,A12+1,FALSE))</f>
        <v>25182</v>
      </c>
      <c r="F12" s="7">
        <f>IF(COUNTIF(I12:XFD12,"&gt;"&amp;0)=0,,HLOOKUP(COUNTIF(I12:XFD12,"&gt;"&amp;0)-MIN($F$1+1,COUNTIF(I12:XFD12,"&gt;"&amp;0)),I$1:XFD12,A12+1,FALSE))</f>
        <v>4530</v>
      </c>
      <c r="G12" s="8">
        <f t="shared" si="15"/>
        <v>1.4092836178305304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6485</v>
      </c>
      <c r="E13" s="6">
        <f>IF(COUNTIF(I13:XFD13,"&gt;"&amp;0)=0,,HLOOKUP(COUNTIF(I13:XFD13,"&gt;"&amp;0)-1,I$1:XFD13,A13+1,FALSE))</f>
        <v>6485</v>
      </c>
      <c r="F13" s="7">
        <f>IF(COUNTIF(I13:XFD13,"&gt;"&amp;0)=0,,HLOOKUP(COUNTIF(I13:XFD13,"&gt;"&amp;0)-MIN($F$1+1,COUNTIF(I13:XFD13,"&gt;"&amp;0)),I$1:XFD13,A13+1,FALSE))</f>
        <v>2182</v>
      </c>
      <c r="G13" s="8">
        <f t="shared" si="15"/>
        <v>1.2434005262298768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2110</v>
      </c>
      <c r="E14" s="6">
        <f>IF(COUNTIF(I14:XFD14,"&gt;"&amp;0)=0,,HLOOKUP(COUNTIF(I14:XFD14,"&gt;"&amp;0)-1,I$1:XFD14,A14+1,FALSE))</f>
        <v>2110</v>
      </c>
      <c r="F14" s="7">
        <f>IF(COUNTIF(I14:XFD14,"&gt;"&amp;0)=0,,HLOOKUP(COUNTIF(I14:XFD14,"&gt;"&amp;0)-MIN($F$1+1,COUNTIF(I14:XFD14,"&gt;"&amp;0)),I$1:XFD14,A14+1,FALSE))</f>
        <v>1329</v>
      </c>
      <c r="G14" s="8">
        <f t="shared" si="15"/>
        <v>1.0968607471664367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1727</v>
      </c>
      <c r="E15" s="6">
        <f>IF(COUNTIF(I15:XFD15,"&gt;"&amp;0)=0,,HLOOKUP(COUNTIF(I15:XFD15,"&gt;"&amp;0)-1,I$1:XFD15,A15+1,FALSE))</f>
        <v>1727</v>
      </c>
      <c r="F15" s="7">
        <f>IF(COUNTIF(I15:XFD15,"&gt;"&amp;0)=0,,HLOOKUP(COUNTIF(I15:XFD15,"&gt;"&amp;0)-MIN($F$1+1,COUNTIF(I15:XFD15,"&gt;"&amp;0)),I$1:XFD15,A15+1,FALSE))</f>
        <v>1096</v>
      </c>
      <c r="G15" s="8">
        <f t="shared" si="15"/>
        <v>1.0952073675837359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1406</v>
      </c>
      <c r="E16" s="6">
        <f>IF(COUNTIF(I16:XFD16,"&gt;"&amp;0)=0,,HLOOKUP(COUNTIF(I16:XFD16,"&gt;"&amp;0)-1,I$1:XFD16,A16+1,FALSE))</f>
        <v>1406</v>
      </c>
      <c r="F16" s="7">
        <f>IF(COUNTIF(I16:XFD16,"&gt;"&amp;0)=0,,HLOOKUP(COUNTIF(I16:XFD16,"&gt;"&amp;0)-MIN($F$1+1,COUNTIF(I16:XFD16,"&gt;"&amp;0)),I$1:XFD16,A16+1,FALSE))</f>
        <v>929</v>
      </c>
      <c r="G16" s="8">
        <f t="shared" si="15"/>
        <v>1.0864104174190201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</row>
    <row r="17" spans="1:49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3501</v>
      </c>
      <c r="E17" s="6">
        <f>IF(COUNTIF(I17:XFD17,"&gt;"&amp;0)=0,,HLOOKUP(COUNTIF(I17:XFD17,"&gt;"&amp;0)-1,I$1:XFD17,A17+1,FALSE))</f>
        <v>3501</v>
      </c>
      <c r="F17" s="7">
        <f>IF(COUNTIF(I17:XFD17,"&gt;"&amp;0)=0,,HLOOKUP(COUNTIF(I17:XFD17,"&gt;"&amp;0)-MIN($F$1+1,COUNTIF(I17:XFD17,"&gt;"&amp;0)),I$1:XFD17,A17+1,FALSE))</f>
        <v>1390</v>
      </c>
      <c r="G17" s="8">
        <f t="shared" si="15"/>
        <v>1.2029164448958729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</row>
    <row r="18" spans="1:49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4766</v>
      </c>
      <c r="E18" s="6">
        <f>IF(COUNTIF(I18:XFD18,"&gt;"&amp;0)=0,,HLOOKUP(COUNTIF(I18:XFD18,"&gt;"&amp;0)-1,I$1:XFD18,A18+1,FALSE))</f>
        <v>4766</v>
      </c>
      <c r="F18" s="7">
        <f>IF(COUNTIF(I18:XFD18,"&gt;"&amp;0)=0,,HLOOKUP(COUNTIF(I18:XFD18,"&gt;"&amp;0)-MIN($F$1+1,COUNTIF(I18:XFD18,"&gt;"&amp;0)),I$1:XFD18,A18+1,FALSE))</f>
        <v>1474</v>
      </c>
      <c r="G18" s="8">
        <f t="shared" si="15"/>
        <v>1.2645363294222478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3100</v>
      </c>
      <c r="X18" s="9">
        <v>3769</v>
      </c>
      <c r="Y18" s="9">
        <v>4766</v>
      </c>
    </row>
    <row r="19" spans="1:49" x14ac:dyDescent="0.25">
      <c r="A19" s="9">
        <f t="shared" si="7"/>
        <v>18</v>
      </c>
      <c r="B19" s="9">
        <f t="array" ref="B19">IF(C19="",0,IF(OR(C19=Country_Comparison!$S$10:$S$29),1,0))</f>
        <v>1</v>
      </c>
      <c r="C19" s="9" t="str">
        <f t="shared" si="13"/>
        <v>Japan</v>
      </c>
      <c r="D19" s="6">
        <f t="shared" si="14"/>
        <v>745</v>
      </c>
      <c r="E19" s="6">
        <f>IF(COUNTIF(I19:XFD19,"&gt;"&amp;0)=0,,HLOOKUP(COUNTIF(I19:XFD19,"&gt;"&amp;0)-1,I$1:XFD19,A19+1,FALSE))</f>
        <v>740</v>
      </c>
      <c r="F19" s="7">
        <f>IF(COUNTIF(I19:XFD19,"&gt;"&amp;0)=0,,HLOOKUP(COUNTIF(I19:XFD19,"&gt;"&amp;0)-MIN($F$1+1,COUNTIF(I19:XFD19,"&gt;"&amp;0)),I$1:XFD19,A19+1,FALSE))</f>
        <v>654</v>
      </c>
      <c r="G19" s="8">
        <f t="shared" si="15"/>
        <v>1.025016353347231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</row>
    <row r="20" spans="1:49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Cruise Ship</v>
      </c>
      <c r="D20" s="6">
        <f t="shared" si="14"/>
        <v>691</v>
      </c>
      <c r="E20" s="6">
        <f>IF(COUNTIF(I20:XFD20,"&gt;"&amp;0)=0,,HLOOKUP(COUNTIF(I20:XFD20,"&gt;"&amp;0)-1,I$1:XFD20,A20+1,FALSE))</f>
        <v>379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5"/>
        <v>1.0081091701340181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  <c r="AV20" s="9">
        <v>380</v>
      </c>
      <c r="AW20" s="9">
        <v>379</v>
      </c>
    </row>
    <row r="21" spans="1:49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2485</v>
      </c>
      <c r="E21" s="6">
        <f>IF(COUNTIF(I21:XFD21,"&gt;"&amp;0)=0,,HLOOKUP(COUNTIF(I21:XFD21,"&gt;"&amp;0)-1,I$1:XFD21,A21+1,FALSE))</f>
        <v>2485</v>
      </c>
      <c r="F21" s="7">
        <f>IF(COUNTIF(I21:XFD21,"&gt;"&amp;0)=0,,HLOOKUP(COUNTIF(I21:XFD21,"&gt;"&amp;0)-MIN($F$1+1,COUNTIF(I21:XFD21,"&gt;"&amp;0)),I$1:XFD21,A21+1,FALSE))</f>
        <v>1052</v>
      </c>
      <c r="G21" s="8">
        <f t="shared" si="15"/>
        <v>1.1875779644516851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  <c r="X21" s="9">
        <v>2485</v>
      </c>
    </row>
    <row r="22" spans="1:49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Austria</v>
      </c>
      <c r="D22" s="6">
        <f t="shared" si="14"/>
        <v>2797</v>
      </c>
      <c r="E22" s="6">
        <f>IF(COUNTIF(I22:XFD22,"&gt;"&amp;0)=0,,HLOOKUP(COUNTIF(I22:XFD22,"&gt;"&amp;0)-1,I$1:XFD22,A22+1,FALSE))</f>
        <v>2797</v>
      </c>
      <c r="F22" s="7">
        <f>IF(COUNTIF(I22:XFD22,"&gt;"&amp;0)=0,,HLOOKUP(COUNTIF(I22:XFD22,"&gt;"&amp;0)-MIN($F$1+1,COUNTIF(I22:XFD22,"&gt;"&amp;0)),I$1:XFD22,A22+1,FALSE))</f>
        <v>1009</v>
      </c>
      <c r="G22" s="8">
        <f t="shared" si="15"/>
        <v>1.2261970304209078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  <c r="V22" s="9">
        <v>2797</v>
      </c>
    </row>
    <row r="23" spans="1:49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Qatar</v>
      </c>
      <c r="D23" s="6">
        <f t="shared" si="14"/>
        <v>460</v>
      </c>
      <c r="E23" s="6">
        <f>IF(COUNTIF(I23:XFD23,"&gt;"&amp;0)=0,,HLOOKUP(COUNTIF(I23:XFD23,"&gt;"&amp;0)-1,I$1:XFD23,A23+1,FALSE))</f>
        <v>454</v>
      </c>
      <c r="F23" s="7">
        <f>IF(COUNTIF(I23:XFD23,"&gt;"&amp;0)=0,,HLOOKUP(COUNTIF(I23:XFD23,"&gt;"&amp;0)-MIN($F$1+1,COUNTIF(I23:XFD23,"&gt;"&amp;0)),I$1:XFD23,A23+1,FALSE))</f>
        <v>435</v>
      </c>
      <c r="G23" s="8">
        <f t="shared" si="15"/>
        <v>1.0085868910387139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  <c r="S23" s="9">
        <v>454</v>
      </c>
    </row>
    <row r="24" spans="1:49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Australia</v>
      </c>
      <c r="D24" s="6">
        <f t="shared" si="14"/>
        <v>1038</v>
      </c>
      <c r="E24" s="6">
        <f>IF(COUNTIF(I24:XFD24,"&gt;"&amp;0)=0,,HLOOKUP(COUNTIF(I24:XFD24,"&gt;"&amp;0)-1,I$1:XFD24,A24+1,FALSE))</f>
        <v>1038</v>
      </c>
      <c r="F24" s="7">
        <f>IF(COUNTIF(I24:XFD24,"&gt;"&amp;0)=0,,HLOOKUP(COUNTIF(I24:XFD24,"&gt;"&amp;0)-MIN($F$1+1,COUNTIF(I24:XFD24,"&gt;"&amp;0)),I$1:XFD24,A24+1,FALSE))</f>
        <v>351</v>
      </c>
      <c r="G24" s="8">
        <f t="shared" si="15"/>
        <v>1.2421614512924164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  <c r="T24" s="9">
        <v>1038</v>
      </c>
    </row>
    <row r="25" spans="1:49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Singapore</v>
      </c>
      <c r="D25" s="6">
        <f t="shared" si="14"/>
        <v>290</v>
      </c>
      <c r="E25" s="6">
        <f>IF(COUNTIF(I25:XFD25,"&gt;"&amp;0)=0,,HLOOKUP(COUNTIF(I25:XFD25,"&gt;"&amp;0)-1,I$1:XFD25,A25+1,FALSE))</f>
        <v>290</v>
      </c>
      <c r="F25" s="7">
        <f>IF(COUNTIF(I25:XFD25,"&gt;"&amp;0)=0,,HLOOKUP(COUNTIF(I25:XFD25,"&gt;"&amp;0)-MIN($F$1+1,COUNTIF(I25:XFD25,"&gt;"&amp;0)),I$1:XFD25,A25+1,FALSE))</f>
        <v>134</v>
      </c>
      <c r="G25" s="8">
        <f t="shared" si="15"/>
        <v>1.1669671742705283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  <c r="AD25" s="9">
        <v>290</v>
      </c>
    </row>
    <row r="26" spans="1:49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Malaysia</v>
      </c>
      <c r="D26" s="6">
        <f t="shared" si="14"/>
        <v>1065</v>
      </c>
      <c r="E26" s="6">
        <f>IF(COUNTIF(I26:XFD26,"&gt;"&amp;0)=0,,HLOOKUP(COUNTIF(I26:XFD26,"&gt;"&amp;0)-1,I$1:XFD26,A26+1,FALSE))</f>
        <v>1065</v>
      </c>
      <c r="F26" s="7">
        <f>IF(COUNTIF(I26:XFD26,"&gt;"&amp;0)=0,,HLOOKUP(COUNTIF(I26:XFD26,"&gt;"&amp;0)-MIN($F$1+1,COUNTIF(I26:XFD26,"&gt;"&amp;0)),I$1:XFD26,A26+1,FALSE))</f>
        <v>524</v>
      </c>
      <c r="G26" s="8">
        <f t="shared" si="15"/>
        <v>1.1524011000081114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  <c r="U26" s="9">
        <v>1065</v>
      </c>
    </row>
    <row r="27" spans="1:49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Canada</v>
      </c>
      <c r="D27" s="6">
        <f t="shared" si="14"/>
        <v>1249</v>
      </c>
      <c r="E27" s="6">
        <f>IF(COUNTIF(I27:XFD27,"&gt;"&amp;0)=0,,HLOOKUP(COUNTIF(I27:XFD27,"&gt;"&amp;0)-1,I$1:XFD27,A27+1,FALSE))</f>
        <v>1249</v>
      </c>
      <c r="F27" s="7">
        <f>IF(COUNTIF(I27:XFD27,"&gt;"&amp;0)=0,,HLOOKUP(COUNTIF(I27:XFD27,"&gt;"&amp;0)-MIN($F$1+1,COUNTIF(I27:XFD27,"&gt;"&amp;0)),I$1:XFD27,A27+1,FALSE))</f>
        <v>402</v>
      </c>
      <c r="G27" s="8">
        <f t="shared" si="15"/>
        <v>1.2544902117730472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  <c r="S27" s="9">
        <v>1249</v>
      </c>
    </row>
    <row r="28" spans="1:49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Greece</v>
      </c>
      <c r="D28" s="6">
        <f t="shared" si="14"/>
        <v>498</v>
      </c>
      <c r="E28" s="6">
        <f>IF(COUNTIF(I28:XFD28,"&gt;"&amp;0)=0,,HLOOKUP(COUNTIF(I28:XFD28,"&gt;"&amp;0)-1,I$1:XFD28,A28+1,FALSE))</f>
        <v>498</v>
      </c>
      <c r="F28" s="7">
        <f>IF(COUNTIF(I28:XFD28,"&gt;"&amp;0)=0,,HLOOKUP(COUNTIF(I28:XFD28,"&gt;"&amp;0)-MIN($F$1+1,COUNTIF(I28:XFD28,"&gt;"&amp;0)),I$1:XFD28,A28+1,FALSE))</f>
        <v>319</v>
      </c>
      <c r="G28" s="8">
        <f t="shared" si="15"/>
        <v>1.0931700683490959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  <c r="Q28" s="9">
        <v>498</v>
      </c>
    </row>
    <row r="29" spans="1:49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Bahrain</v>
      </c>
      <c r="D29" s="6">
        <f t="shared" si="14"/>
        <v>184</v>
      </c>
      <c r="E29" s="6">
        <f>IF(COUNTIF(I29:XFD29,"&gt;"&amp;0)=0,,HLOOKUP(COUNTIF(I29:XFD29,"&gt;"&amp;0)-1,I$1:XFD29,A29+1,FALSE))</f>
        <v>179</v>
      </c>
      <c r="F29" s="7">
        <f>IF(COUNTIF(I29:XFD29,"&gt;"&amp;0)=0,,HLOOKUP(COUNTIF(I29:XFD29,"&gt;"&amp;0)-MIN($F$1+1,COUNTIF(I29:XFD29,"&gt;"&amp;0)),I$1:XFD29,A29+1,FALSE))</f>
        <v>136</v>
      </c>
      <c r="G29" s="8">
        <f t="shared" si="15"/>
        <v>1.0564837574378272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  <c r="T29" s="9">
        <v>179</v>
      </c>
    </row>
    <row r="30" spans="1:49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Israel</v>
      </c>
      <c r="D30" s="6">
        <f t="shared" si="14"/>
        <v>846</v>
      </c>
      <c r="E30" s="6">
        <f>IF(COUNTIF(I30:XFD30,"&gt;"&amp;0)=0,,HLOOKUP(COUNTIF(I30:XFD30,"&gt;"&amp;0)-1,I$1:XFD30,A30+1,FALSE))</f>
        <v>846</v>
      </c>
      <c r="F30" s="7">
        <f>IF(COUNTIF(I30:XFD30,"&gt;"&amp;0)=0,,HLOOKUP(COUNTIF(I30:XFD30,"&gt;"&amp;0)-MIN($F$1+1,COUNTIF(I30:XFD30,"&gt;"&amp;0)),I$1:XFD30,A30+1,FALSE))</f>
        <v>251</v>
      </c>
      <c r="G30" s="8">
        <f t="shared" si="15"/>
        <v>1.2750855623635553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  <c r="S30" s="9">
        <v>846</v>
      </c>
    </row>
    <row r="31" spans="1:49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Finland</v>
      </c>
      <c r="D31" s="6">
        <f t="shared" si="14"/>
        <v>512</v>
      </c>
      <c r="E31" s="6">
        <f>IF(COUNTIF(I31:XFD31,"&gt;"&amp;0)=0,,HLOOKUP(COUNTIF(I31:XFD31,"&gt;"&amp;0)-1,I$1:XFD31,A31+1,FALSE))</f>
        <v>512</v>
      </c>
      <c r="F31" s="7">
        <f>IF(COUNTIF(I31:XFD31,"&gt;"&amp;0)=0,,HLOOKUP(COUNTIF(I31:XFD31,"&gt;"&amp;0)-MIN($F$1+1,COUNTIF(I31:XFD31,"&gt;"&amp;0)),I$1:XFD31,A31+1,FALSE))</f>
        <v>267</v>
      </c>
      <c r="G31" s="8">
        <f t="shared" si="15"/>
        <v>1.1390734779647012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  <c r="Q31" s="9">
        <v>512</v>
      </c>
    </row>
    <row r="32" spans="1:49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Brazil</v>
      </c>
      <c r="D32" s="6">
        <f t="shared" si="14"/>
        <v>1004</v>
      </c>
      <c r="E32" s="6">
        <f>IF(COUNTIF(I32:XFD32,"&gt;"&amp;0)=0,,HLOOKUP(COUNTIF(I32:XFD32,"&gt;"&amp;0)-1,I$1:XFD32,A32+1,FALSE))</f>
        <v>1004</v>
      </c>
      <c r="F32" s="7">
        <f>IF(COUNTIF(I32:XFD32,"&gt;"&amp;0)=0,,HLOOKUP(COUNTIF(I32:XFD32,"&gt;"&amp;0)-MIN($F$1+1,COUNTIF(I32:XFD32,"&gt;"&amp;0)),I$1:XFD32,A32+1,FALSE))</f>
        <v>199</v>
      </c>
      <c r="G32" s="8">
        <f t="shared" si="15"/>
        <v>1.3822166727916894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  <c r="Q32" s="9">
        <v>1004</v>
      </c>
    </row>
    <row r="33" spans="1:18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989</v>
      </c>
      <c r="E33" s="6">
        <f>IF(COUNTIF(I33:XFD33,"&gt;"&amp;0)=0,,HLOOKUP(COUNTIF(I33:XFD33,"&gt;"&amp;0)-1,I$1:XFD33,A33+1,FALSE))</f>
        <v>989</v>
      </c>
      <c r="F33" s="7">
        <f>IF(COUNTIF(I33:XFD33,"&gt;"&amp;0)=0,,HLOOKUP(COUNTIF(I33:XFD33,"&gt;"&amp;0)-MIN($F$1+1,COUNTIF(I33:XFD33,"&gt;"&amp;0)),I$1:XFD33,A33+1,FALSE))</f>
        <v>295</v>
      </c>
      <c r="G33" s="8">
        <f t="shared" si="15"/>
        <v>1.2737226012975744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  <c r="Q33" s="9">
        <v>989</v>
      </c>
    </row>
    <row r="34" spans="1:18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Slovenia</v>
      </c>
      <c r="D34" s="6">
        <f t="shared" si="14"/>
        <v>382</v>
      </c>
      <c r="E34" s="6">
        <f>IF(COUNTIF(I34:XFD34,"&gt;"&amp;0)=0,,HLOOKUP(COUNTIF(I34:XFD34,"&gt;"&amp;0)-1,I$1:XFD34,A34+1,FALSE))</f>
        <v>382</v>
      </c>
      <c r="F34" s="7">
        <f>IF(COUNTIF(I34:XFD34,"&gt;"&amp;0)=0,,HLOOKUP(COUNTIF(I34:XFD34,"&gt;"&amp;0)-MIN($F$1+1,COUNTIF(I34:XFD34,"&gt;"&amp;0)),I$1:XFD34,A34+1,FALSE))</f>
        <v>252</v>
      </c>
      <c r="G34" s="8">
        <f t="shared" si="15"/>
        <v>1.0867572957383294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  <c r="Q34" s="9">
        <v>382</v>
      </c>
    </row>
    <row r="35" spans="1:18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Iceland</v>
      </c>
      <c r="D35" s="6">
        <f t="shared" si="14"/>
        <v>450</v>
      </c>
      <c r="E35" s="6">
        <f>IF(COUNTIF(I35:XFD35,"&gt;"&amp;0)=0,,HLOOKUP(COUNTIF(I35:XFD35,"&gt;"&amp;0)-1,I$1:XFD35,A35+1,FALSE))</f>
        <v>450</v>
      </c>
      <c r="F35" s="7">
        <f>IF(COUNTIF(I35:XFD35,"&gt;"&amp;0)=0,,HLOOKUP(COUNTIF(I35:XFD35,"&gt;"&amp;0)-MIN($F$1+1,COUNTIF(I35:XFD35,"&gt;"&amp;0)),I$1:XFD35,A35+1,FALSE))</f>
        <v>180</v>
      </c>
      <c r="G35" s="8">
        <f t="shared" si="15"/>
        <v>1.2011244339814313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  <c r="R35" s="9">
        <v>450</v>
      </c>
    </row>
    <row r="36" spans="1:18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Portugal</v>
      </c>
      <c r="D36" s="6">
        <f t="shared" si="14"/>
        <v>1263</v>
      </c>
      <c r="E36" s="6">
        <f>IF(COUNTIF(I36:XFD36,"&gt;"&amp;0)=0,,HLOOKUP(COUNTIF(I36:XFD36,"&gt;"&amp;0)-1,I$1:XFD36,A36+1,FALSE))</f>
        <v>1263</v>
      </c>
      <c r="F36" s="7">
        <f>IF(COUNTIF(I36:XFD36,"&gt;"&amp;0)=0,,HLOOKUP(COUNTIF(I36:XFD36,"&gt;"&amp;0)-MIN($F$1+1,COUNTIF(I36:XFD36,"&gt;"&amp;0)),I$1:XFD36,A36+1,FALSE))</f>
        <v>328</v>
      </c>
      <c r="G36" s="8">
        <f t="shared" si="15"/>
        <v>1.3095012018958461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  <c r="Q36" s="9">
        <v>1263</v>
      </c>
    </row>
    <row r="37" spans="1:18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Iraq</v>
      </c>
      <c r="D37" s="6">
        <f t="shared" si="14"/>
        <v>146</v>
      </c>
      <c r="E37" s="6">
        <f>IF(COUNTIF(I37:XFD37,"&gt;"&amp;0)=0,,HLOOKUP(COUNTIF(I37:XFD37,"&gt;"&amp;0)-1,I$1:XFD37,A37+1,FALSE))</f>
        <v>146</v>
      </c>
      <c r="F37" s="7">
        <f>IF(COUNTIF(I37:XFD37,"&gt;"&amp;0)=0,,HLOOKUP(COUNTIF(I37:XFD37,"&gt;"&amp;0)-MIN($F$1+1,COUNTIF(I37:XFD37,"&gt;"&amp;0)),I$1:XFD37,A37+1,FALSE))</f>
        <v>88</v>
      </c>
      <c r="G37" s="8">
        <f t="shared" si="15"/>
        <v>1.1065576290575301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  <c r="Q37" s="9">
        <v>146</v>
      </c>
    </row>
    <row r="38" spans="1:18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Ireland</v>
      </c>
      <c r="D38" s="6">
        <f t="shared" si="14"/>
        <v>777</v>
      </c>
      <c r="E38" s="6">
        <f>IF(COUNTIF(I38:XFD38,"&gt;"&amp;0)=0,,HLOOKUP(COUNTIF(I38:XFD38,"&gt;"&amp;0)-1,I$1:XFD38,A38+1,FALSE))</f>
        <v>777</v>
      </c>
      <c r="F38" s="7">
        <f>IF(COUNTIF(I38:XFD38,"&gt;"&amp;0)=0,,HLOOKUP(COUNTIF(I38:XFD38,"&gt;"&amp;0)-MIN($F$1+1,COUNTIF(I38:XFD38,"&gt;"&amp;0)),I$1:XFD38,A38+1,FALSE))</f>
        <v>167</v>
      </c>
      <c r="G38" s="8">
        <f t="shared" si="15"/>
        <v>1.3600062666798542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  <c r="P38" s="9">
        <v>777</v>
      </c>
    </row>
    <row r="39" spans="1:18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Romania</v>
      </c>
      <c r="D39" s="6">
        <f t="shared" si="14"/>
        <v>315</v>
      </c>
      <c r="E39" s="6">
        <f>IF(COUNTIF(I39:XFD39,"&gt;"&amp;0)=0,,HLOOKUP(COUNTIF(I39:XFD39,"&gt;"&amp;0)-1,I$1:XFD39,A39+1,FALSE))</f>
        <v>315</v>
      </c>
      <c r="F39" s="7">
        <f>IF(COUNTIF(I39:XFD39,"&gt;"&amp;0)=0,,HLOOKUP(COUNTIF(I39:XFD39,"&gt;"&amp;0)-MIN($F$1+1,COUNTIF(I39:XFD39,"&gt;"&amp;0)),I$1:XFD39,A39+1,FALSE))</f>
        <v>149</v>
      </c>
      <c r="G39" s="8">
        <f t="shared" si="15"/>
        <v>1.1615150918714097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  <c r="P39" s="9">
        <v>315</v>
      </c>
    </row>
    <row r="40" spans="1:18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Saudi Arabia</v>
      </c>
      <c r="D40" s="6">
        <f t="shared" si="14"/>
        <v>376</v>
      </c>
      <c r="E40" s="6">
        <f>IF(COUNTIF(I40:XFD40,"&gt;"&amp;0)=0,,HLOOKUP(COUNTIF(I40:XFD40,"&gt;"&amp;0)-1,I$1:XFD40,A40+1,FALSE))</f>
        <v>376</v>
      </c>
      <c r="F40" s="7">
        <f>IF(COUNTIF(I40:XFD40,"&gt;"&amp;0)=0,,HLOOKUP(COUNTIF(I40:XFD40,"&gt;"&amp;0)-MIN($F$1+1,COUNTIF(I40:XFD40,"&gt;"&amp;0)),I$1:XFD40,A40+1,FALSE))</f>
        <v>116</v>
      </c>
      <c r="G40" s="8">
        <f t="shared" si="15"/>
        <v>1.2651615106803622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  <c r="P40" s="9">
        <v>376</v>
      </c>
    </row>
    <row r="41" spans="1:18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United Arab Emirates</v>
      </c>
      <c r="D41" s="6">
        <f t="shared" si="14"/>
        <v>113</v>
      </c>
      <c r="E41" s="6">
        <f>IF(COUNTIF(I41:XFD41,"&gt;"&amp;0)=0,,HLOOKUP(COUNTIF(I41:XFD41,"&gt;"&amp;0)-1,I$1:XFD41,A41+1,FALSE))</f>
        <v>113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5"/>
        <v>1.0910711280651422</v>
      </c>
      <c r="H41" s="13" t="s">
        <v>55</v>
      </c>
      <c r="I41" s="9">
        <v>87</v>
      </c>
      <c r="J41" s="9">
        <v>109</v>
      </c>
      <c r="K41" s="9">
        <v>107</v>
      </c>
      <c r="L41" s="9">
        <v>113</v>
      </c>
    </row>
    <row r="42" spans="1:18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India</v>
      </c>
      <c r="D42" s="6">
        <f t="shared" si="14"/>
        <v>303</v>
      </c>
      <c r="E42" s="6">
        <f>IF(COUNTIF(I42:XFD42,"&gt;"&amp;0)=0,,HLOOKUP(COUNTIF(I42:XFD42,"&gt;"&amp;0)-1,I$1:XFD42,A42+1,FALSE))</f>
        <v>303</v>
      </c>
      <c r="F42" s="7">
        <f>IF(COUNTIF(I42:XFD42,"&gt;"&amp;0)=0,,HLOOKUP(COUNTIF(I42:XFD42,"&gt;"&amp;0)-MIN($F$1+1,COUNTIF(I42:XFD42,"&gt;"&amp;0)),I$1:XFD42,A42+1,FALSE))</f>
        <v>104</v>
      </c>
      <c r="G42" s="8">
        <f t="shared" si="15"/>
        <v>1.2384596395852996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  <c r="P42" s="9">
        <v>303</v>
      </c>
    </row>
    <row r="43" spans="1:18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Egypt</v>
      </c>
      <c r="D43" s="6">
        <f t="shared" si="14"/>
        <v>243</v>
      </c>
      <c r="E43" s="6">
        <f>IF(COUNTIF(I43:XFD43,"&gt;"&amp;0)=0,,HLOOKUP(COUNTIF(I43:XFD43,"&gt;"&amp;0)-1,I$1:XFD43,A43+1,FALSE))</f>
        <v>243</v>
      </c>
      <c r="F43" s="7">
        <f>IF(COUNTIF(I43:XFD43,"&gt;"&amp;0)=0,,HLOOKUP(COUNTIF(I43:XFD43,"&gt;"&amp;0)-MIN($F$1+1,COUNTIF(I43:XFD43,"&gt;"&amp;0)),I$1:XFD43,A43+1,FALSE))</f>
        <v>121</v>
      </c>
      <c r="G43" s="8">
        <f t="shared" si="15"/>
        <v>1.1496461272068819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  <c r="P43" s="9">
        <v>243</v>
      </c>
    </row>
    <row r="44" spans="1:18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Kuwait</v>
      </c>
      <c r="D44" s="6">
        <f t="shared" si="14"/>
        <v>149</v>
      </c>
      <c r="E44" s="6">
        <f>IF(COUNTIF(I44:XFD44,"&gt;"&amp;0)=0,,HLOOKUP(COUNTIF(I44:XFD44,"&gt;"&amp;0)-1,I$1:XFD44,A44+1,FALSE))</f>
        <v>149</v>
      </c>
      <c r="F44" s="7">
        <f>IF(COUNTIF(I44:XFD44,"&gt;"&amp;0)=0,,HLOOKUP(COUNTIF(I44:XFD44,"&gt;"&amp;0)-MIN($F$1+1,COUNTIF(I44:XFD44,"&gt;"&amp;0)),I$1:XFD44,A44+1,FALSE))</f>
        <v>114</v>
      </c>
      <c r="G44" s="8">
        <f t="shared" si="15"/>
        <v>1.0550092888750742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  <c r="P44" s="9">
        <v>149</v>
      </c>
    </row>
    <row r="45" spans="1:18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San Marino</v>
      </c>
      <c r="D45" s="6">
        <f t="shared" si="14"/>
        <v>126</v>
      </c>
      <c r="E45" s="6">
        <f>IF(COUNTIF(I45:XFD45,"&gt;"&amp;0)=0,,HLOOKUP(COUNTIF(I45:XFD45,"&gt;"&amp;0)-1,I$1:XFD45,A45+1,FALSE))</f>
        <v>120</v>
      </c>
      <c r="F45" s="7">
        <f>IF(COUNTIF(I45:XFD45,"&gt;"&amp;0)=0,,HLOOKUP(COUNTIF(I45:XFD45,"&gt;"&amp;0)-MIN($F$1+1,COUNTIF(I45:XFD45,"&gt;"&amp;0)),I$1:XFD45,A45+1,FALSE))</f>
        <v>98</v>
      </c>
      <c r="G45" s="8">
        <f t="shared" si="15"/>
        <v>1.0413363631105752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  <c r="O45" s="9">
        <v>120</v>
      </c>
    </row>
    <row r="46" spans="1:18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Estonia</v>
      </c>
      <c r="D46" s="6">
        <f t="shared" si="14"/>
        <v>305</v>
      </c>
      <c r="E46" s="6">
        <f>IF(COUNTIF(I46:XFD46,"&gt;"&amp;0)=0,,HLOOKUP(COUNTIF(I46:XFD46,"&gt;"&amp;0)-1,I$1:XFD46,A46+1,FALSE))</f>
        <v>305</v>
      </c>
      <c r="F46" s="7">
        <f>IF(COUNTIF(I46:XFD46,"&gt;"&amp;0)=0,,HLOOKUP(COUNTIF(I46:XFD46,"&gt;"&amp;0)-MIN($F$1+1,COUNTIF(I46:XFD46,"&gt;"&amp;0)),I$1:XFD46,A46+1,FALSE))</f>
        <v>204</v>
      </c>
      <c r="G46" s="8">
        <f t="shared" si="15"/>
        <v>1.0837620377549808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  <c r="P46" s="9">
        <v>305</v>
      </c>
    </row>
    <row r="47" spans="1:18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Lebanon</v>
      </c>
      <c r="D47" s="6">
        <f t="shared" si="14"/>
        <v>179</v>
      </c>
      <c r="E47" s="6">
        <f>IF(COUNTIF(I47:XFD47,"&gt;"&amp;0)=0,,HLOOKUP(COUNTIF(I47:XFD47,"&gt;"&amp;0)-1,I$1:XFD47,A47+1,FALSE))</f>
        <v>179</v>
      </c>
      <c r="F47" s="7">
        <f>IF(COUNTIF(I47:XFD47,"&gt;"&amp;0)=0,,HLOOKUP(COUNTIF(I47:XFD47,"&gt;"&amp;0)-MIN($F$1+1,COUNTIF(I47:XFD47,"&gt;"&amp;0)),I$1:XFD47,A47+1,FALSE))</f>
        <v>95</v>
      </c>
      <c r="G47" s="8">
        <f t="shared" si="15"/>
        <v>1.1350784674354291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  <c r="N47" s="9">
        <v>155</v>
      </c>
      <c r="O47" s="9">
        <v>179</v>
      </c>
    </row>
    <row r="48" spans="1:18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Thailand</v>
      </c>
      <c r="D48" s="6">
        <f t="shared" si="14"/>
        <v>368</v>
      </c>
      <c r="E48" s="6">
        <f>IF(COUNTIF(I48:XFD48,"&gt;"&amp;0)=0,,HLOOKUP(COUNTIF(I48:XFD48,"&gt;"&amp;0)-1,I$1:XFD48,A48+1,FALSE))</f>
        <v>368</v>
      </c>
      <c r="F48" s="7">
        <f>IF(COUNTIF(I48:XFD48,"&gt;"&amp;0)=0,,HLOOKUP(COUNTIF(I48:XFD48,"&gt;"&amp;0)-MIN($F$1+1,COUNTIF(I48:XFD48,"&gt;"&amp;0)),I$1:XFD48,A48+1,FALSE))</f>
        <v>111</v>
      </c>
      <c r="G48" s="8">
        <f t="shared" si="15"/>
        <v>1.2708812371624203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  <c r="O48" s="9">
        <v>368</v>
      </c>
    </row>
    <row r="49" spans="1:16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Indonesia</v>
      </c>
      <c r="D49" s="6">
        <f t="shared" si="14"/>
        <v>397</v>
      </c>
      <c r="E49" s="6">
        <f>IF(COUNTIF(I49:XFD49,"&gt;"&amp;0)=0,,HLOOKUP(COUNTIF(I49:XFD49,"&gt;"&amp;0)-1,I$1:XFD49,A49+1,FALSE))</f>
        <v>397</v>
      </c>
      <c r="F49" s="7">
        <f>IF(COUNTIF(I49:XFD49,"&gt;"&amp;0)=0,,HLOOKUP(COUNTIF(I49:XFD49,"&gt;"&amp;0)-MIN($F$1+1,COUNTIF(I49:XFD49,"&gt;"&amp;0)),I$1:XFD49,A49+1,FALSE))</f>
        <v>121</v>
      </c>
      <c r="G49" s="8">
        <f t="shared" si="15"/>
        <v>1.2682387754708055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  <c r="O49" s="9">
        <v>397</v>
      </c>
    </row>
    <row r="50" spans="1:16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Poland</v>
      </c>
      <c r="D50" s="6">
        <f t="shared" si="14"/>
        <v>530</v>
      </c>
      <c r="E50" s="6">
        <f>IF(COUNTIF(I50:XFD50,"&gt;"&amp;0)=0,,HLOOKUP(COUNTIF(I50:XFD50,"&gt;"&amp;0)-1,I$1:XFD50,A50+1,FALSE))</f>
        <v>530</v>
      </c>
      <c r="F50" s="7">
        <f>IF(COUNTIF(I50:XFD50,"&gt;"&amp;0)=0,,HLOOKUP(COUNTIF(I50:XFD50,"&gt;"&amp;0)-MIN($F$1+1,COUNTIF(I50:XFD50,"&gt;"&amp;0)),I$1:XFD50,A50+1,FALSE))</f>
        <v>160</v>
      </c>
      <c r="G50" s="8">
        <f t="shared" si="15"/>
        <v>1.2706653212075216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  <c r="P50" s="9">
        <v>530</v>
      </c>
    </row>
    <row r="51" spans="1:16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Philippines</v>
      </c>
      <c r="D51" s="6">
        <f t="shared" si="14"/>
        <v>275</v>
      </c>
      <c r="E51" s="6">
        <f>IF(COUNTIF(I51:XFD51,"&gt;"&amp;0)=0,,HLOOKUP(COUNTIF(I51:XFD51,"&gt;"&amp;0)-1,I$1:XFD51,A51+1,FALSE))</f>
        <v>275</v>
      </c>
      <c r="F51" s="7">
        <f>IF(COUNTIF(I51:XFD51,"&gt;"&amp;0)=0,,HLOOKUP(COUNTIF(I51:XFD51,"&gt;"&amp;0)-MIN($F$1+1,COUNTIF(I51:XFD51,"&gt;"&amp;0)),I$1:XFD51,A51+1,FALSE))</f>
        <v>128</v>
      </c>
      <c r="G51" s="8">
        <f t="shared" si="15"/>
        <v>1.1652645779264672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  <c r="P51" s="9">
        <v>275</v>
      </c>
    </row>
    <row r="52" spans="1:16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Taiwan*</v>
      </c>
      <c r="D52" s="6">
        <f t="shared" si="14"/>
        <v>123</v>
      </c>
      <c r="E52" s="6">
        <f>IF(COUNTIF(I52:XFD52,"&gt;"&amp;0)=0,,HLOOKUP(COUNTIF(I52:XFD52,"&gt;"&amp;0)-1,I$1:XFD52,A52+1,FALSE))</f>
        <v>123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5"/>
        <v>1.1689738482229293</v>
      </c>
      <c r="H52" s="13" t="s">
        <v>342</v>
      </c>
      <c r="I52" s="9">
        <v>77</v>
      </c>
      <c r="J52" s="9">
        <v>81</v>
      </c>
      <c r="K52" s="9">
        <v>107</v>
      </c>
      <c r="L52" s="9">
        <v>123</v>
      </c>
    </row>
    <row r="53" spans="1:16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Russia</v>
      </c>
      <c r="D53" s="6">
        <f t="shared" si="14"/>
        <v>293</v>
      </c>
      <c r="E53" s="6">
        <f>IF(COUNTIF(I53:XFD53,"&gt;"&amp;0)=0,,HLOOKUP(COUNTIF(I53:XFD53,"&gt;"&amp;0)-1,I$1:XFD53,A53+1,FALSE))</f>
        <v>293</v>
      </c>
      <c r="F53" s="7">
        <f>IF(COUNTIF(I53:XFD53,"&gt;"&amp;0)=0,,HLOOKUP(COUNTIF(I53:XFD53,"&gt;"&amp;0)-MIN($F$1+1,COUNTIF(I53:XFD53,"&gt;"&amp;0)),I$1:XFD53,A53+1,FALSE))</f>
        <v>106</v>
      </c>
      <c r="G53" s="8">
        <f t="shared" si="15"/>
        <v>1.2894082326284917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  <c r="M53" s="9">
        <v>293</v>
      </c>
    </row>
    <row r="54" spans="1:16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Chile</v>
      </c>
      <c r="D54" s="6">
        <f t="shared" si="14"/>
        <v>531</v>
      </c>
      <c r="E54" s="6">
        <f>IF(COUNTIF(I54:XFD54,"&gt;"&amp;0)=0,,HLOOKUP(COUNTIF(I54:XFD54,"&gt;"&amp;0)-1,I$1:XFD54,A54+1,FALSE))</f>
        <v>531</v>
      </c>
      <c r="F54" s="7">
        <f>IF(COUNTIF(I54:XFD54,"&gt;"&amp;0)=0,,HLOOKUP(COUNTIF(I54:XFD54,"&gt;"&amp;0)-MIN($F$1+1,COUNTIF(I54:XFD54,"&gt;"&amp;0)),I$1:XFD54,A54+1,FALSE))</f>
        <v>155</v>
      </c>
      <c r="G54" s="8">
        <f t="shared" si="15"/>
        <v>1.2792415725353254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  <c r="N54" s="9">
        <v>531</v>
      </c>
    </row>
    <row r="55" spans="1:16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Serbia</v>
      </c>
      <c r="D55" s="6">
        <f t="shared" si="14"/>
        <v>169</v>
      </c>
      <c r="E55" s="6">
        <f>IF(COUNTIF(I55:XFD55,"&gt;"&amp;0)=0,,HLOOKUP(COUNTIF(I55:XFD55,"&gt;"&amp;0)-1,I$1:XFD55,A55+1,FALSE))</f>
        <v>169</v>
      </c>
      <c r="F55" s="7">
        <f>IF(COUNTIF(I55:XFD55,"&gt;"&amp;0)=0,,HLOOKUP(COUNTIF(I55:XFD55,"&gt;"&amp;0)-MIN($F$1+1,COUNTIF(I55:XFD55,"&gt;"&amp;0)),I$1:XFD55,A55+1,FALSE))</f>
        <v>102</v>
      </c>
      <c r="G55" s="8">
        <f t="shared" si="15"/>
        <v>1.2871918058696767</v>
      </c>
      <c r="H55" s="13" t="s">
        <v>161</v>
      </c>
      <c r="I55" s="9">
        <v>102</v>
      </c>
      <c r="J55" s="9">
        <v>133</v>
      </c>
      <c r="K55" s="9">
        <v>169</v>
      </c>
    </row>
    <row r="56" spans="1:16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Luxembourg</v>
      </c>
      <c r="D56" s="6">
        <f t="shared" si="14"/>
        <v>662</v>
      </c>
      <c r="E56" s="6">
        <f>IF(COUNTIF(I56:XFD56,"&gt;"&amp;0)=0,,HLOOKUP(COUNTIF(I56:XFD56,"&gt;"&amp;0)-1,I$1:XFD56,A56+1,FALSE))</f>
        <v>662</v>
      </c>
      <c r="F56" s="7">
        <f>IF(COUNTIF(I56:XFD56,"&gt;"&amp;0)=0,,HLOOKUP(COUNTIF(I56:XFD56,"&gt;"&amp;0)-MIN($F$1+1,COUNTIF(I56:XFD56,"&gt;"&amp;0)),I$1:XFD56,A56+1,FALSE))</f>
        <v>139</v>
      </c>
      <c r="G56" s="8">
        <f t="shared" si="15"/>
        <v>1.4772731257289902</v>
      </c>
      <c r="H56" s="13" t="s">
        <v>99</v>
      </c>
      <c r="I56" s="9">
        <v>139</v>
      </c>
      <c r="J56" s="9">
        <v>201</v>
      </c>
      <c r="K56" s="9">
        <v>331</v>
      </c>
      <c r="L56" s="9">
        <v>480</v>
      </c>
      <c r="M56" s="9">
        <v>662</v>
      </c>
    </row>
    <row r="57" spans="1:16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Croatia</v>
      </c>
      <c r="D57" s="6">
        <f t="shared" si="14"/>
        <v>200</v>
      </c>
      <c r="E57" s="6">
        <f>IF(COUNTIF(I57:XFD57,"&gt;"&amp;0)=0,,HLOOKUP(COUNTIF(I57:XFD57,"&gt;"&amp;0)-1,I$1:XFD57,A57+1,FALSE))</f>
        <v>200</v>
      </c>
      <c r="F57" s="7">
        <f>IF(COUNTIF(I57:XFD57,"&gt;"&amp;0)=0,,HLOOKUP(COUNTIF(I57:XFD57,"&gt;"&amp;0)-MIN($F$1+1,COUNTIF(I57:XFD57,"&gt;"&amp;0)),I$1:XFD57,A57+1,FALSE))</f>
        <v>99</v>
      </c>
      <c r="G57" s="8">
        <f t="shared" si="15"/>
        <v>1.4213381090374029</v>
      </c>
      <c r="H57" s="13" t="s">
        <v>76</v>
      </c>
      <c r="I57" s="9">
        <v>99</v>
      </c>
      <c r="J57" s="9">
        <v>122</v>
      </c>
      <c r="K57" s="9">
        <v>200</v>
      </c>
    </row>
    <row r="58" spans="1:16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Slovakia</v>
      </c>
      <c r="D58" s="6">
        <f t="shared" si="14"/>
        <v>177</v>
      </c>
      <c r="E58" s="6">
        <f>IF(COUNTIF(I58:XFD58,"&gt;"&amp;0)=0,,HLOOKUP(COUNTIF(I58:XFD58,"&gt;"&amp;0)-1,I$1:XFD58,A58+1,FALSE))</f>
        <v>177</v>
      </c>
      <c r="F58" s="7">
        <f>IF(COUNTIF(I58:XFD58,"&gt;"&amp;0)=0,,HLOOKUP(COUNTIF(I58:XFD58,"&gt;"&amp;0)-MIN($F$1+1,COUNTIF(I58:XFD58,"&gt;"&amp;0)),I$1:XFD58,A58+1,FALSE))</f>
        <v>104</v>
      </c>
      <c r="G58" s="8">
        <f t="shared" si="15"/>
        <v>1.193933053708321</v>
      </c>
      <c r="H58" s="13" t="s">
        <v>162</v>
      </c>
      <c r="I58" s="9">
        <v>104</v>
      </c>
      <c r="J58" s="9">
        <v>122</v>
      </c>
      <c r="K58" s="9">
        <v>136</v>
      </c>
      <c r="L58" s="9">
        <v>177</v>
      </c>
    </row>
    <row r="59" spans="1:16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Argentina</v>
      </c>
      <c r="D59" s="6">
        <f t="shared" si="14"/>
        <v>151</v>
      </c>
      <c r="E59" s="6">
        <f>IF(COUNTIF(I59:XFD59,"&gt;"&amp;0)=0,,HLOOKUP(COUNTIF(I59:XFD59,"&gt;"&amp;0)-1,I$1:XFD59,A59+1,FALSE))</f>
        <v>151</v>
      </c>
      <c r="F59" s="7">
        <f>IF(COUNTIF(I59:XFD59,"&gt;"&amp;0)=0,,HLOOKUP(COUNTIF(I59:XFD59,"&gt;"&amp;0)-MIN($F$1+1,COUNTIF(I59:XFD59,"&gt;"&amp;0)),I$1:XFD59,A59+1,FALSE))</f>
        <v>122</v>
      </c>
      <c r="G59" s="8">
        <f t="shared" si="15"/>
        <v>1.2377049180327868</v>
      </c>
      <c r="H59" s="13" t="s">
        <v>123</v>
      </c>
      <c r="I59" s="9">
        <v>122</v>
      </c>
      <c r="J59" s="9">
        <v>151</v>
      </c>
    </row>
    <row r="60" spans="1:16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Pakistan</v>
      </c>
      <c r="D60" s="6">
        <f t="shared" si="14"/>
        <v>714</v>
      </c>
      <c r="E60" s="6">
        <f>IF(COUNTIF(I60:XFD60,"&gt;"&amp;0)=0,,HLOOKUP(COUNTIF(I60:XFD60,"&gt;"&amp;0)-1,I$1:XFD60,A60+1,FALSE))</f>
        <v>714</v>
      </c>
      <c r="F60" s="7">
        <f>IF(COUNTIF(I60:XFD60,"&gt;"&amp;0)=0,,HLOOKUP(COUNTIF(I60:XFD60,"&gt;"&amp;0)-MIN($F$1+1,COUNTIF(I60:XFD60,"&gt;"&amp;0)),I$1:XFD60,A60+1,FALSE))</f>
        <v>134</v>
      </c>
      <c r="G60" s="8">
        <f t="shared" si="15"/>
        <v>1.3973933838039048</v>
      </c>
      <c r="H60" s="13" t="s">
        <v>80</v>
      </c>
      <c r="I60" s="9">
        <v>134</v>
      </c>
      <c r="J60" s="9">
        <v>234</v>
      </c>
      <c r="K60" s="9">
        <v>297</v>
      </c>
      <c r="L60" s="9">
        <v>439</v>
      </c>
      <c r="M60" s="9">
        <v>485</v>
      </c>
      <c r="N60" s="9">
        <v>714</v>
      </c>
    </row>
    <row r="61" spans="1:16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Peru</v>
      </c>
      <c r="D61" s="6">
        <f t="shared" si="14"/>
        <v>312</v>
      </c>
      <c r="E61" s="6">
        <f>IF(COUNTIF(I61:XFD61,"&gt;"&amp;0)=0,,HLOOKUP(COUNTIF(I61:XFD61,"&gt;"&amp;0)-1,I$1:XFD61,A61+1,FALSE))</f>
        <v>312</v>
      </c>
      <c r="F61" s="7">
        <f>IF(COUNTIF(I61:XFD61,"&gt;"&amp;0)=0,,HLOOKUP(COUNTIF(I61:XFD61,"&gt;"&amp;0)-MIN($F$1+1,COUNTIF(I61:XFD61,"&gt;"&amp;0)),I$1:XFD61,A61+1,FALSE))</f>
        <v>116</v>
      </c>
      <c r="G61" s="8">
        <f t="shared" si="15"/>
        <v>1.2806314148776774</v>
      </c>
      <c r="H61" s="13" t="s">
        <v>160</v>
      </c>
      <c r="I61" s="9">
        <v>116</v>
      </c>
      <c r="J61" s="9">
        <v>144</v>
      </c>
      <c r="K61" s="9">
        <v>233</v>
      </c>
      <c r="L61" s="9">
        <v>230</v>
      </c>
      <c r="M61" s="9">
        <v>312</v>
      </c>
    </row>
    <row r="62" spans="1:16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Panama</v>
      </c>
      <c r="D62" s="6">
        <f t="shared" si="14"/>
        <v>199</v>
      </c>
      <c r="E62" s="6">
        <f>IF(COUNTIF(I62:XFD62,"&gt;"&amp;0)=0,,HLOOKUP(COUNTIF(I62:XFD62,"&gt;"&amp;0)-1,I$1:XFD62,A62+1,FALSE))</f>
        <v>199</v>
      </c>
      <c r="F62" s="7">
        <f>IF(COUNTIF(I62:XFD62,"&gt;"&amp;0)=0,,HLOOKUP(COUNTIF(I62:XFD62,"&gt;"&amp;0)-MIN($F$1+1,COUNTIF(I62:XFD62,"&gt;"&amp;0)),I$1:XFD62,A62+1,FALSE))</f>
        <v>108</v>
      </c>
      <c r="G62" s="8">
        <f t="shared" si="15"/>
        <v>1.3574213025411797</v>
      </c>
      <c r="H62" s="13" t="s">
        <v>283</v>
      </c>
      <c r="I62" s="9">
        <v>108</v>
      </c>
      <c r="J62" s="9">
        <v>136</v>
      </c>
      <c r="K62" s="9">
        <v>199</v>
      </c>
    </row>
    <row r="63" spans="1:16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Algeria</v>
      </c>
      <c r="D63" s="6">
        <f t="shared" si="14"/>
        <v>92</v>
      </c>
      <c r="E63" s="6">
        <f>IF(COUNTIF(I63:XFD63,"&gt;"&amp;0)=0,,HLOOKUP(COUNTIF(I63:XFD63,"&gt;"&amp;0)-1,I$1:XFD63,A63+1,FALSE))</f>
        <v>92</v>
      </c>
      <c r="F63" s="7">
        <f>IF(COUNTIF(I63:XFD63,"&gt;"&amp;0)=0,,HLOOKUP(COUNTIF(I63:XFD63,"&gt;"&amp;0)-MIN($F$1+1,COUNTIF(I63:XFD63,"&gt;"&amp;0)),I$1:XFD63,A63+1,FALSE))</f>
        <v>92</v>
      </c>
      <c r="G63" s="8" t="e">
        <f t="shared" si="15"/>
        <v>#DIV/0!</v>
      </c>
      <c r="H63" s="13" t="s">
        <v>75</v>
      </c>
      <c r="I63" s="9">
        <v>92</v>
      </c>
    </row>
    <row r="64" spans="1:16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South Africa</v>
      </c>
      <c r="D64" s="6">
        <f t="shared" si="14"/>
        <v>240</v>
      </c>
      <c r="E64" s="6">
        <f>IF(COUNTIF(I64:XFD64,"&gt;"&amp;0)=0,,HLOOKUP(COUNTIF(I64:XFD64,"&gt;"&amp;0)-1,I$1:XFD64,A64+1,FALSE))</f>
        <v>240</v>
      </c>
      <c r="F64" s="7">
        <f>IF(COUNTIF(I64:XFD64,"&gt;"&amp;0)=0,,HLOOKUP(COUNTIF(I64:XFD64,"&gt;"&amp;0)-MIN($F$1+1,COUNTIF(I64:XFD64,"&gt;"&amp;0)),I$1:XFD64,A64+1,FALSE))</f>
        <v>116</v>
      </c>
      <c r="G64" s="8">
        <f t="shared" si="15"/>
        <v>1.2742395603340584</v>
      </c>
      <c r="H64" s="13" t="s">
        <v>145</v>
      </c>
      <c r="I64" s="9">
        <v>116</v>
      </c>
      <c r="J64" s="9">
        <v>150</v>
      </c>
      <c r="K64" s="9">
        <v>202</v>
      </c>
      <c r="L64" s="9">
        <v>240</v>
      </c>
    </row>
    <row r="65" spans="1:12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Bulgaria</v>
      </c>
      <c r="D65" s="6">
        <f t="shared" si="14"/>
        <v>157</v>
      </c>
      <c r="E65" s="6">
        <f>IF(COUNTIF(I65:XFD65,"&gt;"&amp;0)=0,,HLOOKUP(COUNTIF(I65:XFD65,"&gt;"&amp;0)-1,I$1:XFD65,A65+1,FALSE))</f>
        <v>157</v>
      </c>
      <c r="F65" s="7">
        <f>IF(COUNTIF(I65:XFD65,"&gt;"&amp;0)=0,,HLOOKUP(COUNTIF(I65:XFD65,"&gt;"&amp;0)-MIN($F$1+1,COUNTIF(I65:XFD65,"&gt;"&amp;0)),I$1:XFD65,A65+1,FALSE))</f>
        <v>124</v>
      </c>
      <c r="G65" s="8">
        <f t="shared" si="15"/>
        <v>1.2661290322580645</v>
      </c>
      <c r="H65" s="13" t="s">
        <v>199</v>
      </c>
      <c r="I65" s="9">
        <v>124</v>
      </c>
      <c r="J65" s="9">
        <v>157</v>
      </c>
    </row>
    <row r="66" spans="1:12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Costa Rica</v>
      </c>
      <c r="D66" s="6">
        <f t="shared" si="14"/>
        <v>113</v>
      </c>
      <c r="E66" s="6">
        <f>IF(COUNTIF(I66:XFD66,"&gt;"&amp;0)=0,,HLOOKUP(COUNTIF(I66:XFD66,"&gt;"&amp;0)-1,I$1:XFD66,A66+1,FALSE))</f>
        <v>113</v>
      </c>
      <c r="F66" s="7">
        <f>IF(COUNTIF(I66:XFD66,"&gt;"&amp;0)=0,,HLOOKUP(COUNTIF(I66:XFD66,"&gt;"&amp;0)-MIN($F$1+1,COUNTIF(I66:XFD66,"&gt;"&amp;0)),I$1:XFD66,A66+1,FALSE))</f>
        <v>113</v>
      </c>
      <c r="G66" s="8" t="e">
        <f t="shared" si="15"/>
        <v>#DIV/0!</v>
      </c>
      <c r="H66" s="13" t="s">
        <v>159</v>
      </c>
      <c r="I66" s="9">
        <v>113</v>
      </c>
    </row>
    <row r="67" spans="1:12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Hungary</v>
      </c>
      <c r="D67" s="6">
        <f t="shared" si="14"/>
        <v>92</v>
      </c>
      <c r="E67" s="6">
        <f>IF(COUNTIF(I67:XFD67,"&gt;"&amp;0)=0,,HLOOKUP(COUNTIF(I67:XFD67,"&gt;"&amp;0)-1,I$1:XFD67,A67+1,FALSE))</f>
        <v>92</v>
      </c>
      <c r="F67" s="7">
        <f>IF(COUNTIF(I67:XFD67,"&gt;"&amp;0)=0,,HLOOKUP(COUNTIF(I67:XFD67,"&gt;"&amp;0)-MIN($F$1+1,COUNTIF(I67:XFD67,"&gt;"&amp;0)),I$1:XFD67,A67+1,FALSE))</f>
        <v>92</v>
      </c>
      <c r="G67" s="8" t="e">
        <f t="shared" si="15"/>
        <v>#DIV/0!</v>
      </c>
      <c r="H67" s="13" t="s">
        <v>132</v>
      </c>
      <c r="I67" s="9">
        <v>92</v>
      </c>
    </row>
    <row r="68" spans="1:12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Ecuador</v>
      </c>
      <c r="D68" s="6">
        <f t="shared" si="14"/>
        <v>496</v>
      </c>
      <c r="E68" s="6">
        <f>IF(COUNTIF(I68:XFD68,"&gt;"&amp;0)=0,,HLOOKUP(COUNTIF(I68:XFD68,"&gt;"&amp;0)-1,I$1:XFD68,A68+1,FALSE))</f>
        <v>496</v>
      </c>
      <c r="F68" s="7">
        <f>IF(COUNTIF(I68:XFD68,"&gt;"&amp;0)=0,,HLOOKUP(COUNTIF(I68:XFD68,"&gt;"&amp;0)-MIN($F$1+1,COUNTIF(I68:XFD68,"&gt;"&amp;0)),I$1:XFD68,A68+1,FALSE))</f>
        <v>109</v>
      </c>
      <c r="G68" s="8">
        <f t="shared" si="15"/>
        <v>1.657111480724059</v>
      </c>
      <c r="H68" s="13" t="s">
        <v>103</v>
      </c>
      <c r="I68" s="9">
        <v>109</v>
      </c>
      <c r="J68" s="9">
        <v>196</v>
      </c>
      <c r="K68" s="9">
        <v>362</v>
      </c>
      <c r="L68" s="9">
        <v>496</v>
      </c>
    </row>
    <row r="69" spans="1:12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Latvia</v>
      </c>
      <c r="D69" s="6">
        <f t="shared" si="14"/>
        <v>123</v>
      </c>
      <c r="E69" s="6">
        <f>IF(COUNTIF(I69:XFD69,"&gt;"&amp;0)=0,,HLOOKUP(COUNTIF(I69:XFD69,"&gt;"&amp;0)-1,I$1:XFD69,A69+1,FALSE))</f>
        <v>123</v>
      </c>
      <c r="F69" s="7">
        <f>IF(COUNTIF(I69:XFD69,"&gt;"&amp;0)=0,,HLOOKUP(COUNTIF(I69:XFD69,"&gt;"&amp;0)-MIN($F$1+1,COUNTIF(I69:XFD69,"&gt;"&amp;0)),I$1:XFD69,A69+1,FALSE))</f>
        <v>110</v>
      </c>
      <c r="G69" s="8">
        <f t="shared" si="15"/>
        <v>1.1181818181818182</v>
      </c>
      <c r="H69" s="13" t="s">
        <v>111</v>
      </c>
      <c r="I69" s="9">
        <v>110</v>
      </c>
      <c r="J69" s="9">
        <v>123</v>
      </c>
    </row>
    <row r="70" spans="1:12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Colombia</v>
      </c>
      <c r="D70" s="6">
        <f t="shared" ref="D70:D133" si="17">MAX(I70:CL70)</f>
        <v>195</v>
      </c>
      <c r="E70" s="6">
        <f>IF(COUNTIF(I70:XFD70,"&gt;"&amp;0)=0,,HLOOKUP(COUNTIF(I70:XFD70,"&gt;"&amp;0)-1,I$1:XFD70,A70+1,FALSE))</f>
        <v>195</v>
      </c>
      <c r="F70" s="7">
        <f>IF(COUNTIF(I70:XFD70,"&gt;"&amp;0)=0,,HLOOKUP(COUNTIF(I70:XFD70,"&gt;"&amp;0)-MIN($F$1+1,COUNTIF(I70:XFD70,"&gt;"&amp;0)),I$1:XFD70,A70+1,FALSE))</f>
        <v>101</v>
      </c>
      <c r="G70" s="8">
        <f t="shared" ref="G70:G133" si="18">IF(COUNTIF(I70:XFD70,"&gt;"&amp;0)=0,,(E70/F70)^(1/MIN(COUNTIF(I70:XFD70,"&gt;"&amp;0)-1,$F$1)))</f>
        <v>1.3894938176569662</v>
      </c>
      <c r="H70" s="13" t="s">
        <v>158</v>
      </c>
      <c r="I70" s="9">
        <v>101</v>
      </c>
      <c r="J70" s="9">
        <v>127</v>
      </c>
      <c r="K70" s="9">
        <v>195</v>
      </c>
    </row>
    <row r="71" spans="1:12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Mexico</v>
      </c>
      <c r="D71" s="6">
        <f t="shared" si="17"/>
        <v>197</v>
      </c>
      <c r="E71" s="6">
        <f>IF(COUNTIF(I71:XFD71,"&gt;"&amp;0)=0,,HLOOKUP(COUNTIF(I71:XFD71,"&gt;"&amp;0)-1,I$1:XFD71,A71+1,FALSE))</f>
        <v>197</v>
      </c>
      <c r="F71" s="7">
        <f>IF(COUNTIF(I71:XFD71,"&gt;"&amp;0)=0,,HLOOKUP(COUNTIF(I71:XFD71,"&gt;"&amp;0)-MIN($F$1+1,COUNTIF(I71:XFD71,"&gt;"&amp;0)),I$1:XFD71,A71+1,FALSE))</f>
        <v>113</v>
      </c>
      <c r="G71" s="8">
        <f t="shared" si="18"/>
        <v>1.3203646586675997</v>
      </c>
      <c r="H71" s="13" t="s">
        <v>94</v>
      </c>
      <c r="I71" s="9">
        <v>113</v>
      </c>
      <c r="J71" s="9">
        <v>159</v>
      </c>
      <c r="K71" s="9">
        <v>197</v>
      </c>
    </row>
    <row r="72" spans="1:12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Armenia</v>
      </c>
      <c r="D72" s="6">
        <f t="shared" si="17"/>
        <v>159</v>
      </c>
      <c r="E72" s="6">
        <f>IF(COUNTIF(I72:XFD72,"&gt;"&amp;0)=0,,HLOOKUP(COUNTIF(I72:XFD72,"&gt;"&amp;0)-1,I$1:XFD72,A72+1,FALSE))</f>
        <v>159</v>
      </c>
      <c r="F72" s="7">
        <f>IF(COUNTIF(I72:XFD72,"&gt;"&amp;0)=0,,HLOOKUP(COUNTIF(I72:XFD72,"&gt;"&amp;0)-MIN($F$1+1,COUNTIF(I72:XFD72,"&gt;"&amp;0)),I$1:XFD72,A72+1,FALSE))</f>
        <v>114</v>
      </c>
      <c r="G72" s="8">
        <f t="shared" si="18"/>
        <v>1.180989772227204</v>
      </c>
      <c r="H72" s="13" t="s">
        <v>105</v>
      </c>
      <c r="I72" s="9">
        <v>114</v>
      </c>
      <c r="J72" s="9">
        <v>135</v>
      </c>
      <c r="K72" s="9">
        <v>159</v>
      </c>
    </row>
    <row r="73" spans="1:12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Dominican Republic</v>
      </c>
      <c r="D73" s="6">
        <f t="shared" si="17"/>
        <v>110</v>
      </c>
      <c r="E73" s="6">
        <f>IF(COUNTIF(I73:XFD73,"&gt;"&amp;0)=0,,HLOOKUP(COUNTIF(I73:XFD73,"&gt;"&amp;0)-1,I$1:XFD73,A73+1,FALSE))</f>
        <v>110</v>
      </c>
      <c r="F73" s="7">
        <f>IF(COUNTIF(I73:XFD73,"&gt;"&amp;0)=0,,HLOOKUP(COUNTIF(I73:XFD73,"&gt;"&amp;0)-MIN($F$1+1,COUNTIF(I73:XFD73,"&gt;"&amp;0)),I$1:XFD73,A73+1,FALSE))</f>
        <v>110</v>
      </c>
      <c r="G73" s="8" t="e">
        <f t="shared" si="18"/>
        <v>#DIV/0!</v>
      </c>
      <c r="H73" s="13" t="s">
        <v>106</v>
      </c>
      <c r="I73" s="9">
        <v>110</v>
      </c>
    </row>
    <row r="74" spans="1:12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Turkey</v>
      </c>
      <c r="D74" s="6">
        <f t="shared" si="17"/>
        <v>661</v>
      </c>
      <c r="E74" s="6">
        <f>IF(COUNTIF(I74:XFD74,"&gt;"&amp;0)=0,,HLOOKUP(COUNTIF(I74:XFD74,"&gt;"&amp;0)-1,I$1:XFD74,A74+1,FALSE))</f>
        <v>661</v>
      </c>
      <c r="F74" s="7">
        <f>IF(COUNTIF(I74:XFD74,"&gt;"&amp;0)=0,,HLOOKUP(COUNTIF(I74:XFD74,"&gt;"&amp;0)-MIN($F$1+1,COUNTIF(I74:XFD74,"&gt;"&amp;0)),I$1:XFD74,A74+1,FALSE))</f>
        <v>189</v>
      </c>
      <c r="G74" s="8">
        <f t="shared" si="18"/>
        <v>1.8701215194084306</v>
      </c>
      <c r="H74" s="13" t="s">
        <v>355</v>
      </c>
      <c r="I74" s="9">
        <v>189</v>
      </c>
      <c r="J74" s="9">
        <v>355</v>
      </c>
      <c r="K74" s="9">
        <v>661</v>
      </c>
    </row>
    <row r="75" spans="1:12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/>
      </c>
      <c r="D75" s="6">
        <f t="shared" si="17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8"/>
        <v>0</v>
      </c>
    </row>
    <row r="76" spans="1:12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/>
      </c>
      <c r="D76" s="6">
        <f t="shared" si="17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8"/>
        <v>0</v>
      </c>
    </row>
    <row r="77" spans="1:12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/>
      </c>
      <c r="D77" s="6">
        <f t="shared" si="17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8"/>
        <v>0</v>
      </c>
    </row>
    <row r="78" spans="1:12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/>
      </c>
      <c r="D78" s="6">
        <f t="shared" si="17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8"/>
        <v>0</v>
      </c>
    </row>
    <row r="79" spans="1:12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/>
      </c>
      <c r="D79" s="6">
        <f t="shared" si="17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8"/>
        <v>0</v>
      </c>
    </row>
    <row r="80" spans="1:12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/>
      </c>
      <c r="D80" s="6">
        <f t="shared" si="17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8"/>
        <v>0</v>
      </c>
    </row>
    <row r="81" spans="1:7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/>
      </c>
      <c r="D81" s="6">
        <f t="shared" si="17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8"/>
        <v>0</v>
      </c>
    </row>
    <row r="82" spans="1:7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/>
      </c>
      <c r="D82" s="6">
        <f t="shared" si="17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8"/>
        <v>0</v>
      </c>
    </row>
    <row r="83" spans="1:7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/>
      </c>
      <c r="D83" s="6">
        <f t="shared" si="17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8"/>
        <v>0</v>
      </c>
    </row>
    <row r="84" spans="1:7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/>
      </c>
      <c r="D84" s="6">
        <f t="shared" si="17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8"/>
        <v>0</v>
      </c>
    </row>
    <row r="85" spans="1:7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/>
      </c>
      <c r="D85" s="6">
        <f t="shared" si="17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8"/>
        <v>0</v>
      </c>
    </row>
    <row r="86" spans="1:7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/>
      </c>
      <c r="D86" s="6">
        <f t="shared" si="17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8"/>
        <v>0</v>
      </c>
    </row>
    <row r="87" spans="1:7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/>
      </c>
      <c r="D87" s="6">
        <f t="shared" si="17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8"/>
        <v>0</v>
      </c>
    </row>
    <row r="88" spans="1:7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/>
      </c>
      <c r="D88" s="6">
        <f t="shared" si="17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8"/>
        <v>0</v>
      </c>
    </row>
    <row r="89" spans="1:7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/>
      </c>
      <c r="D89" s="6">
        <f t="shared" si="17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8"/>
        <v>0</v>
      </c>
    </row>
    <row r="90" spans="1:7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7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7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7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7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7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7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workbookViewId="0">
      <selection activeCell="T17" sqref="T17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479</v>
      </c>
      <c r="D1" s="54">
        <v>100</v>
      </c>
      <c r="E1" s="54" t="s">
        <v>489</v>
      </c>
      <c r="F1" s="54" t="s">
        <v>450</v>
      </c>
      <c r="G1" s="54" t="s">
        <v>512</v>
      </c>
      <c r="H1" s="54" t="s">
        <v>513</v>
      </c>
      <c r="I1" s="54" t="s">
        <v>507</v>
      </c>
      <c r="J1" s="54" t="s">
        <v>504</v>
      </c>
      <c r="K1" s="43" t="s">
        <v>517</v>
      </c>
      <c r="L1" s="54" t="s">
        <v>518</v>
      </c>
      <c r="M1" s="54" t="s">
        <v>467</v>
      </c>
      <c r="N1" s="54" t="s">
        <v>522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81305</v>
      </c>
      <c r="G2" s="43">
        <f>MAX(CumulativeRecovered!2:2)</f>
        <v>71857</v>
      </c>
      <c r="H2" s="43">
        <f>MAX(CumulativeDead!2:2)</f>
        <v>3259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2">
        <f>H2/F2</f>
        <v>4.008363569276182E-2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53578</v>
      </c>
      <c r="G3" s="43">
        <f>MAX(CumulativeRecovered!3:3)</f>
        <v>6072</v>
      </c>
      <c r="H3" s="43">
        <f>MAX(CumulativeDead!3:3)</f>
        <v>4825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2">
        <f t="shared" ref="N3:N66" si="0">H3/F3</f>
        <v>9.0055619843965803E-2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20610</v>
      </c>
      <c r="G4" s="43">
        <f>MAX(CumulativeRecovered!4:4)</f>
        <v>7635</v>
      </c>
      <c r="H4" s="43">
        <f>MAX(CumulativeDead!4:4)</f>
        <v>1556</v>
      </c>
      <c r="K4" s="43">
        <v>83992949</v>
      </c>
      <c r="L4" s="54">
        <v>0</v>
      </c>
      <c r="M4" s="43">
        <v>0</v>
      </c>
      <c r="N4" s="72">
        <f t="shared" si="0"/>
        <v>7.54973313925279E-2</v>
      </c>
    </row>
    <row r="5" spans="1:14" x14ac:dyDescent="0.3">
      <c r="A5" s="54">
        <v>4</v>
      </c>
      <c r="B5" s="57" t="s">
        <v>478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8799</v>
      </c>
      <c r="G5" s="43">
        <f>MAX(CumulativeRecovered!5:5)</f>
        <v>1540</v>
      </c>
      <c r="H5" s="43">
        <f>MAX(CumulativeDead!5:5)</f>
        <v>102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2">
        <f t="shared" si="0"/>
        <v>1.1592226389362428E-2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25374</v>
      </c>
      <c r="G6" s="43">
        <f>MAX(CumulativeRecovered!6:6)</f>
        <v>2125</v>
      </c>
      <c r="H6" s="43">
        <f>MAX(CumulativeDead!6:6)</f>
        <v>1375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2">
        <f t="shared" si="0"/>
        <v>5.4189327658232839E-2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22213</v>
      </c>
      <c r="G7" s="43">
        <f>MAX(CumulativeRecovered!7:7)</f>
        <v>233</v>
      </c>
      <c r="H7" s="43">
        <f>MAX(CumulativeDead!7:7)</f>
        <v>84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2">
        <f t="shared" si="0"/>
        <v>3.7815693512807816E-3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14431</v>
      </c>
      <c r="G8" s="43">
        <f>MAX(CumulativeRecovered!8:8)</f>
        <v>12</v>
      </c>
      <c r="H8" s="43">
        <f>MAX(CumulativeDead!8:8)</f>
        <v>562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2">
        <f t="shared" si="0"/>
        <v>3.8943940128889194E-2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25489</v>
      </c>
      <c r="G9" s="43">
        <f>MAX(CumulativeRecovered!9:9)</f>
        <v>17</v>
      </c>
      <c r="H9" s="43">
        <f>MAX(CumulativeDead!9:9)</f>
        <v>307</v>
      </c>
      <c r="J9" s="58">
        <v>43904</v>
      </c>
      <c r="K9" s="43">
        <v>331002651</v>
      </c>
      <c r="L9" s="54">
        <v>29.3</v>
      </c>
      <c r="M9" s="43">
        <v>96983.776743000009</v>
      </c>
      <c r="N9" s="72">
        <f t="shared" si="0"/>
        <v>1.2044411314684766E-2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6575</v>
      </c>
      <c r="G10" s="43">
        <f>MAX(CumulativeRecovered!10:10)</f>
        <v>15</v>
      </c>
      <c r="H10" s="43">
        <f>MAX(CumulativeDead!10:10)</f>
        <v>75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2">
        <f t="shared" si="0"/>
        <v>1.1406844106463879E-2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2118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2">
        <f t="shared" si="0"/>
        <v>3.3050047214353163E-3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1763</v>
      </c>
      <c r="G12" s="43">
        <f>MAX(CumulativeRecovered!12:12)</f>
        <v>16</v>
      </c>
      <c r="H12" s="43">
        <f>MAX(CumulativeDead!12:12)</f>
        <v>20</v>
      </c>
      <c r="K12" s="43">
        <v>10099265</v>
      </c>
      <c r="L12" s="54">
        <v>5.8</v>
      </c>
      <c r="M12" s="43">
        <v>585.75736999999992</v>
      </c>
      <c r="N12" s="72">
        <f t="shared" si="0"/>
        <v>1.1344299489506523E-2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1420</v>
      </c>
      <c r="G13" s="43">
        <f>MAX(CumulativeRecovered!13:13)</f>
        <v>1</v>
      </c>
      <c r="H13" s="43">
        <f>MAX(CumulativeDead!13:13)</f>
        <v>13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2">
        <f t="shared" si="0"/>
        <v>9.1549295774647887E-3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3640</v>
      </c>
      <c r="G14" s="43">
        <f>MAX(CumulativeRecovered!14:14)</f>
        <v>2</v>
      </c>
      <c r="H14" s="43">
        <f>MAX(CumulativeDead!14:14)</f>
        <v>137</v>
      </c>
      <c r="K14" s="43">
        <v>17134872</v>
      </c>
      <c r="L14" s="54">
        <v>0</v>
      </c>
      <c r="M14" s="43">
        <v>0</v>
      </c>
      <c r="N14" s="72">
        <f t="shared" si="0"/>
        <v>3.7637362637362635E-2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5067</v>
      </c>
      <c r="G15" s="43">
        <f>MAX(CumulativeRecovered!15:15)</f>
        <v>67</v>
      </c>
      <c r="H15" s="43">
        <f>MAX(CumulativeDead!15:15)</f>
        <v>234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2">
        <f t="shared" si="0"/>
        <v>4.6181172291296625E-2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1007</v>
      </c>
      <c r="G16" s="43">
        <f>MAX(CumulativeRecovered!16:16)</f>
        <v>232</v>
      </c>
      <c r="H16" s="43">
        <f>MAX(CumulativeDead!16:16)</f>
        <v>35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2">
        <f t="shared" si="0"/>
        <v>3.4756703078450843E-2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8</v>
      </c>
      <c r="K17" s="43" t="e">
        <v>#N/A</v>
      </c>
      <c r="L17" s="54">
        <v>0</v>
      </c>
      <c r="M17" s="43" t="e">
        <v>#N/A</v>
      </c>
      <c r="N17" s="72">
        <f t="shared" si="0"/>
        <v>1.1235955056179775E-2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2815</v>
      </c>
      <c r="G18" s="43">
        <f>MAX(CumulativeRecovered!18:18)</f>
        <v>263</v>
      </c>
      <c r="H18" s="43">
        <f>MAX(CumulativeDead!18:18)</f>
        <v>67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2">
        <f t="shared" si="0"/>
        <v>2.3801065719360567E-2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2814</v>
      </c>
      <c r="G19" s="43">
        <f>MAX(CumulativeRecovered!19:19)</f>
        <v>9</v>
      </c>
      <c r="H19" s="43">
        <f>MAX(CumulativeDead!19:19)</f>
        <v>8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2">
        <f t="shared" si="0"/>
        <v>2.8429282160625444E-3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481</v>
      </c>
      <c r="G20" s="43">
        <f>MAX(CumulativeRecovered!20:20)</f>
        <v>27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2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1071</v>
      </c>
      <c r="G21" s="43">
        <f>MAX(CumulativeRecovered!21:21)</f>
        <v>26</v>
      </c>
      <c r="H21" s="43">
        <f>MAX(CumulativeDead!21:21)</f>
        <v>7</v>
      </c>
      <c r="K21" s="43">
        <v>25499884</v>
      </c>
      <c r="L21" s="54">
        <v>0</v>
      </c>
      <c r="M21" s="43">
        <v>0</v>
      </c>
      <c r="N21" s="72">
        <f t="shared" si="0"/>
        <v>6.5359477124183009E-3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432</v>
      </c>
      <c r="G22" s="43">
        <f>MAX(CumulativeRecovered!22:22)</f>
        <v>140</v>
      </c>
      <c r="H22" s="43">
        <f>MAX(CumulativeDead!22:22)</f>
        <v>2</v>
      </c>
      <c r="K22" s="43">
        <v>5850342</v>
      </c>
      <c r="L22" s="54">
        <v>0</v>
      </c>
      <c r="M22" s="43">
        <v>0</v>
      </c>
      <c r="N22" s="72">
        <f t="shared" si="0"/>
        <v>4.6296296296296294E-3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1183</v>
      </c>
      <c r="G23" s="43">
        <f>MAX(CumulativeRecovered!23:23)</f>
        <v>114</v>
      </c>
      <c r="H23" s="43">
        <f>MAX(CumulativeDead!23:23)</f>
        <v>4</v>
      </c>
      <c r="K23" s="43">
        <v>32365999</v>
      </c>
      <c r="L23" s="54">
        <v>0</v>
      </c>
      <c r="M23" s="43">
        <v>0</v>
      </c>
      <c r="N23" s="72">
        <f t="shared" si="0"/>
        <v>3.3812341504649195E-3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1278</v>
      </c>
      <c r="G24" s="43">
        <f>MAX(CumulativeRecovered!24:24)</f>
        <v>10</v>
      </c>
      <c r="H24" s="43">
        <f>MAX(CumulativeDead!24:24)</f>
        <v>19</v>
      </c>
      <c r="K24" s="43">
        <v>37742154</v>
      </c>
      <c r="L24" s="54">
        <v>0</v>
      </c>
      <c r="M24" s="43">
        <v>0</v>
      </c>
      <c r="N24" s="72">
        <f t="shared" si="0"/>
        <v>1.486697965571205E-2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530</v>
      </c>
      <c r="G25" s="43">
        <f>MAX(CumulativeRecovered!25:25)</f>
        <v>19</v>
      </c>
      <c r="H25" s="43">
        <f>MAX(CumulativeDead!25:25)</f>
        <v>13</v>
      </c>
      <c r="K25" s="43">
        <v>10423054</v>
      </c>
      <c r="L25" s="54">
        <v>6</v>
      </c>
      <c r="M25" s="43">
        <v>625.38324</v>
      </c>
      <c r="N25" s="72">
        <f t="shared" si="0"/>
        <v>2.4528301886792454E-2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305</v>
      </c>
      <c r="G26" s="43">
        <f>MAX(CumulativeRecovered!26:26)</f>
        <v>125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2">
        <f t="shared" si="0"/>
        <v>3.2786885245901639E-3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883</v>
      </c>
      <c r="G27" s="43">
        <f>MAX(CumulativeRecovered!27:27)</f>
        <v>36</v>
      </c>
      <c r="H27" s="43">
        <f>MAX(CumulativeDead!27:27)</f>
        <v>1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2">
        <f t="shared" si="0"/>
        <v>1.1325028312570782E-3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523</v>
      </c>
      <c r="G28" s="43">
        <f>MAX(CumulativeRecovered!28:28)</f>
        <v>10</v>
      </c>
      <c r="H28" s="43">
        <f>MAX(CumulativeDead!28:28)</f>
        <v>1</v>
      </c>
      <c r="K28" s="43">
        <v>5540720</v>
      </c>
      <c r="L28" s="54">
        <v>6.1</v>
      </c>
      <c r="M28" s="43">
        <v>337.98392000000001</v>
      </c>
      <c r="N28" s="72">
        <f t="shared" si="0"/>
        <v>1.9120458891013384E-3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1021</v>
      </c>
      <c r="G29" s="43">
        <f>MAX(CumulativeRecovered!29:29)</f>
        <v>2</v>
      </c>
      <c r="H29" s="43">
        <f>MAX(CumulativeDead!29:29)</f>
        <v>15</v>
      </c>
      <c r="K29" s="43">
        <v>212559417</v>
      </c>
      <c r="L29" s="54">
        <v>0</v>
      </c>
      <c r="M29" s="43">
        <v>0</v>
      </c>
      <c r="N29" s="72">
        <f t="shared" si="0"/>
        <v>1.4691478942213516E-2</v>
      </c>
    </row>
    <row r="30" spans="1:14" x14ac:dyDescent="0.3">
      <c r="A30" s="54">
        <v>29</v>
      </c>
      <c r="B30" s="57" t="s">
        <v>481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995</v>
      </c>
      <c r="G30" s="43">
        <f>MAX(CumulativeRecovered!30:30)</f>
        <v>6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2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383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2">
        <f t="shared" si="0"/>
        <v>2.6109660574412533E-3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473</v>
      </c>
      <c r="G32" s="43">
        <f>MAX(CumulativeRecovered!32:32)</f>
        <v>22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2">
        <f t="shared" si="0"/>
        <v>1.0570824524312896E-2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1280</v>
      </c>
      <c r="G33" s="43">
        <f>MAX(CumulativeRecovered!33:33)</f>
        <v>5</v>
      </c>
      <c r="H33" s="43">
        <f>MAX(CumulativeDead!33:33)</f>
        <v>12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2">
        <f t="shared" si="0"/>
        <v>9.3749999999999997E-3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214</v>
      </c>
      <c r="G34" s="43">
        <f>MAX(CumulativeRecovered!34:34)</f>
        <v>51</v>
      </c>
      <c r="H34" s="43">
        <f>MAX(CumulativeDead!34:34)</f>
        <v>17</v>
      </c>
      <c r="K34" s="43">
        <v>40222493</v>
      </c>
      <c r="L34" s="54">
        <v>0</v>
      </c>
      <c r="M34" s="43">
        <v>0</v>
      </c>
      <c r="N34" s="72">
        <f t="shared" si="0"/>
        <v>7.9439252336448593E-2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785</v>
      </c>
      <c r="G35" s="43">
        <f>MAX(CumulativeRecovered!35:35)</f>
        <v>5</v>
      </c>
      <c r="H35" s="43">
        <f>MAX(CumulativeDead!35:35)</f>
        <v>3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2">
        <f t="shared" si="0"/>
        <v>3.821656050955414E-3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367</v>
      </c>
      <c r="G36" s="43">
        <f>MAX(CumulativeRecovered!36:36)</f>
        <v>52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2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392</v>
      </c>
      <c r="G37" s="43">
        <f>MAX(CumulativeRecovered!37:37)</f>
        <v>16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2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153</v>
      </c>
      <c r="G38" s="43">
        <f>MAX(CumulativeRecovered!38:38)</f>
        <v>38</v>
      </c>
      <c r="H38" s="43">
        <f>MAX(CumulativeDead!38:38)</f>
        <v>2</v>
      </c>
      <c r="K38" s="43">
        <v>9890402</v>
      </c>
      <c r="L38" s="54">
        <v>0</v>
      </c>
      <c r="M38" s="43">
        <v>0</v>
      </c>
      <c r="N38" s="72">
        <f t="shared" si="0"/>
        <v>1.3071895424836602E-2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330</v>
      </c>
      <c r="G39" s="43">
        <f>MAX(CumulativeRecovered!39:39)</f>
        <v>23</v>
      </c>
      <c r="H39" s="43">
        <f>MAX(CumulativeDead!39:39)</f>
        <v>5</v>
      </c>
      <c r="K39" s="43">
        <v>1380004385</v>
      </c>
      <c r="L39" s="54">
        <v>2.2999999999999998</v>
      </c>
      <c r="M39" s="43">
        <v>31740.100854999997</v>
      </c>
      <c r="N39" s="72">
        <f t="shared" si="0"/>
        <v>1.5151515151515152E-2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294</v>
      </c>
      <c r="G40" s="43">
        <f>MAX(CumulativeRecovered!40:40)</f>
        <v>41</v>
      </c>
      <c r="H40" s="43">
        <f>MAX(CumulativeDead!40:40)</f>
        <v>10</v>
      </c>
      <c r="K40" s="43">
        <v>102334404</v>
      </c>
      <c r="L40" s="54">
        <v>0</v>
      </c>
      <c r="M40" s="43">
        <v>0</v>
      </c>
      <c r="N40" s="72">
        <f t="shared" si="0"/>
        <v>3.4013605442176874E-2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176</v>
      </c>
      <c r="G41" s="43">
        <f>MAX(CumulativeRecovered!41:41)</f>
        <v>27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2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144</v>
      </c>
      <c r="G42" s="43">
        <f>MAX(CumulativeRecovered!42:42)</f>
        <v>4</v>
      </c>
      <c r="H42" s="43">
        <f>MAX(CumulativeDead!42:42)</f>
        <v>20</v>
      </c>
      <c r="K42" s="43">
        <v>33931</v>
      </c>
      <c r="L42" s="54">
        <v>0</v>
      </c>
      <c r="M42" s="43">
        <v>0</v>
      </c>
      <c r="N42" s="72">
        <f t="shared" si="0"/>
        <v>0.1388888888888889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306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2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187</v>
      </c>
      <c r="G44" s="43">
        <f>MAX(CumulativeRecovered!44:44)</f>
        <v>4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2">
        <f t="shared" si="0"/>
        <v>2.1390374331550801E-2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411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2">
        <f t="shared" si="0"/>
        <v>2.4330900243309003E-3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450</v>
      </c>
      <c r="G46" s="43">
        <f>MAX(CumulativeRecovered!46:46)</f>
        <v>15</v>
      </c>
      <c r="H46" s="43">
        <f>MAX(CumulativeDead!46:46)</f>
        <v>38</v>
      </c>
      <c r="K46" s="43">
        <v>273523615</v>
      </c>
      <c r="L46" s="54">
        <v>0</v>
      </c>
      <c r="M46" s="43">
        <v>0</v>
      </c>
      <c r="N46" s="72">
        <f t="shared" si="0"/>
        <v>8.4444444444444447E-2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536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2">
        <f t="shared" si="0"/>
        <v>9.3283582089552231E-3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307</v>
      </c>
      <c r="G48" s="43">
        <f>MAX(CumulativeRecovered!48:48)</f>
        <v>13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2">
        <f t="shared" si="0"/>
        <v>6.1889250814332247E-2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153</v>
      </c>
      <c r="G49" s="43">
        <f>MAX(CumulativeRecovered!49:49)</f>
        <v>28</v>
      </c>
      <c r="H49" s="43">
        <f>MAX(CumulativeDead!49:49)</f>
        <v>2</v>
      </c>
      <c r="K49" s="43">
        <v>23816775</v>
      </c>
      <c r="L49" s="54">
        <v>0</v>
      </c>
      <c r="M49" s="43">
        <v>0</v>
      </c>
      <c r="N49" s="72">
        <f t="shared" si="0"/>
        <v>1.3071895424836602E-2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94</v>
      </c>
      <c r="G50" s="43">
        <f>MAX(CumulativeRecovered!50:50)</f>
        <v>17</v>
      </c>
      <c r="H50" s="43">
        <f>MAX(CumulativeDead!50:50)</f>
        <v>0</v>
      </c>
      <c r="K50" s="43">
        <v>97338579</v>
      </c>
      <c r="L50" s="54" t="s">
        <v>516</v>
      </c>
      <c r="M50" s="43" t="e">
        <v>#VALUE!</v>
      </c>
      <c r="N50" s="72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306</v>
      </c>
      <c r="G51" s="43">
        <f>MAX(CumulativeRecovered!51:51)</f>
        <v>12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2">
        <f t="shared" si="0"/>
        <v>3.2679738562091504E-3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537</v>
      </c>
      <c r="G52" s="43">
        <f>MAX(CumulativeRecovered!52:52)</f>
        <v>6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2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83</v>
      </c>
      <c r="G53" s="43">
        <f>MAX(CumulativeRecovered!53:53)</f>
        <v>2</v>
      </c>
      <c r="H53" s="43">
        <f>MAX(CumulativeDead!53:53)</f>
        <v>0</v>
      </c>
      <c r="K53" s="43">
        <v>437479</v>
      </c>
      <c r="L53" s="54" t="s">
        <v>516</v>
      </c>
      <c r="M53" s="43" t="e">
        <v>#VALUE!</v>
      </c>
      <c r="N53" s="72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>
        <f>VLOOKUP(C54,Days_Since_100!H:I,2,FALSE)</f>
        <v>103</v>
      </c>
      <c r="E54" s="58">
        <f ca="1">OFFSET(CumulativeConfirmed!A54,-A54,MATCH(Country_Data!D54,CumulativeConfirmed!B54:BT54,0))</f>
        <v>43909</v>
      </c>
      <c r="F54" s="43">
        <f>MAX(CumulativeConfirmed!54:54)</f>
        <v>171</v>
      </c>
      <c r="G54" s="43">
        <f>MAX(CumulativeRecovered!54:54)</f>
        <v>1</v>
      </c>
      <c r="H54" s="43">
        <f>MAX(CumulativeDead!54:54)</f>
        <v>1</v>
      </c>
      <c r="K54" s="43">
        <v>8737371</v>
      </c>
      <c r="L54" s="54" t="s">
        <v>516</v>
      </c>
      <c r="M54" s="43" t="e">
        <v>#VALUE!</v>
      </c>
      <c r="N54" s="72">
        <f t="shared" si="0"/>
        <v>5.8479532163742687E-3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670</v>
      </c>
      <c r="G55" s="43">
        <f>MAX(CumulativeRecovered!55:55)</f>
        <v>0</v>
      </c>
      <c r="H55" s="43">
        <f>MAX(CumulativeDead!55:55)</f>
        <v>8</v>
      </c>
      <c r="K55" s="43">
        <v>625978</v>
      </c>
      <c r="L55" s="54">
        <v>24.8</v>
      </c>
      <c r="M55" s="43">
        <v>155.24254400000001</v>
      </c>
      <c r="N55" s="72">
        <f t="shared" si="0"/>
        <v>1.1940298507462687E-2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76</v>
      </c>
      <c r="G56" s="43">
        <f>MAX(CumulativeRecovered!56:56)</f>
        <v>2</v>
      </c>
      <c r="H56" s="43">
        <f>MAX(CumulativeDead!56:56)</f>
        <v>2</v>
      </c>
      <c r="K56" s="43">
        <v>2877797</v>
      </c>
      <c r="L56" s="54" t="s">
        <v>516</v>
      </c>
      <c r="M56" s="43" t="e">
        <v>#VALUE!</v>
      </c>
      <c r="N56" s="72">
        <f t="shared" si="0"/>
        <v>2.6315789473684209E-2</v>
      </c>
    </row>
    <row r="57" spans="1:14" x14ac:dyDescent="0.3">
      <c r="A57" s="54">
        <v>56</v>
      </c>
      <c r="B57" s="57" t="s">
        <v>76</v>
      </c>
      <c r="C57" s="57" t="s">
        <v>76</v>
      </c>
      <c r="D57" s="54">
        <f>VLOOKUP(C57,Days_Since_100!H:I,2,FALSE)</f>
        <v>105</v>
      </c>
      <c r="E57" s="58">
        <f ca="1">OFFSET(CumulativeConfirmed!A57,-A57,MATCH(Country_Data!D57,CumulativeConfirmed!B57:BT57,0))</f>
        <v>43909</v>
      </c>
      <c r="F57" s="43">
        <f>MAX(CumulativeConfirmed!57:57)</f>
        <v>206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2">
        <f t="shared" si="0"/>
        <v>4.8543689320388345E-3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178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2">
        <f t="shared" si="0"/>
        <v>5.6179775280898875E-3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>
        <f>VLOOKUP(C59,Days_Since_100!H:I,2,FALSE)</f>
        <v>128</v>
      </c>
      <c r="E59" s="58">
        <f ca="1">OFFSET(CumulativeConfirmed!A59,-A59,MATCH(Country_Data!D59,CumulativeConfirmed!B59:BT59,0))</f>
        <v>43910</v>
      </c>
      <c r="F59" s="43">
        <f>MAX(CumulativeConfirmed!59:59)</f>
        <v>158</v>
      </c>
      <c r="G59" s="43">
        <f>MAX(CumulativeRecovered!59:59)</f>
        <v>3</v>
      </c>
      <c r="H59" s="43">
        <f>MAX(CumulativeDead!59:59)</f>
        <v>4</v>
      </c>
      <c r="K59" s="43">
        <v>45195774</v>
      </c>
      <c r="L59" s="54" t="s">
        <v>516</v>
      </c>
      <c r="M59" s="43" t="e">
        <v>#VALUE!</v>
      </c>
      <c r="N59" s="72">
        <f t="shared" si="0"/>
        <v>2.5316455696202531E-2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730</v>
      </c>
      <c r="G60" s="43">
        <f>MAX(CumulativeRecovered!60:60)</f>
        <v>13</v>
      </c>
      <c r="H60" s="43">
        <f>MAX(CumulativeDead!60:60)</f>
        <v>3</v>
      </c>
      <c r="K60" s="43">
        <v>220892340</v>
      </c>
      <c r="L60" s="54">
        <v>0</v>
      </c>
      <c r="M60" s="43">
        <v>0</v>
      </c>
      <c r="N60" s="72">
        <f t="shared" si="0"/>
        <v>4.10958904109589E-3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318</v>
      </c>
      <c r="G61" s="43">
        <f>MAX(CumulativeRecovered!61:61)</f>
        <v>1</v>
      </c>
      <c r="H61" s="43">
        <f>MAX(CumulativeDead!61:61)</f>
        <v>5</v>
      </c>
      <c r="K61" s="43">
        <v>32971854</v>
      </c>
      <c r="L61" s="54">
        <v>0</v>
      </c>
      <c r="M61" s="43">
        <v>0</v>
      </c>
      <c r="N61" s="72">
        <f t="shared" si="0"/>
        <v>1.5723270440251572E-2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76</v>
      </c>
      <c r="G62" s="43">
        <f>MAX(CumulativeRecovered!62:62)</f>
        <v>15</v>
      </c>
      <c r="H62" s="43">
        <f>MAX(CumulativeDead!62:62)</f>
        <v>0</v>
      </c>
      <c r="K62" s="43">
        <v>9449323</v>
      </c>
      <c r="L62" s="54" t="s">
        <v>516</v>
      </c>
      <c r="M62" s="43" t="e">
        <v>#VALUE!</v>
      </c>
      <c r="N62" s="72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>
        <f>VLOOKUP(C63,Days_Since_100!H:I,2,FALSE)</f>
        <v>109</v>
      </c>
      <c r="E63" s="58">
        <f ca="1">OFFSET(CumulativeConfirmed!A63,-A63,MATCH(Country_Data!D63,CumulativeConfirmed!B63:BT63,0))</f>
        <v>43909</v>
      </c>
      <c r="F63" s="43">
        <f>MAX(CumulativeConfirmed!63:63)</f>
        <v>200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516</v>
      </c>
      <c r="M63" s="43" t="e">
        <v>#VALUE!</v>
      </c>
      <c r="N63" s="72">
        <f t="shared" si="0"/>
        <v>5.0000000000000001E-3</v>
      </c>
    </row>
    <row r="64" spans="1:14" x14ac:dyDescent="0.3">
      <c r="A64" s="54">
        <v>63</v>
      </c>
      <c r="B64" s="57" t="s">
        <v>75</v>
      </c>
      <c r="C64" s="57" t="s">
        <v>75</v>
      </c>
      <c r="D64" s="54">
        <f>VLOOKUP(C64,Days_Since_100!H:I,2,FALSE)</f>
        <v>139</v>
      </c>
      <c r="E64" s="58">
        <f ca="1">OFFSET(CumulativeConfirmed!A64,-A64,MATCH(Country_Data!D64,CumulativeConfirmed!B64:BT64,0))</f>
        <v>43911</v>
      </c>
      <c r="F64" s="43">
        <f>MAX(CumulativeConfirmed!64:64)</f>
        <v>139</v>
      </c>
      <c r="G64" s="43">
        <f>MAX(CumulativeRecovered!64:64)</f>
        <v>32</v>
      </c>
      <c r="H64" s="43">
        <f>MAX(CumulativeDead!64:64)</f>
        <v>15</v>
      </c>
      <c r="K64" s="43">
        <v>43851044</v>
      </c>
      <c r="L64" s="54" t="s">
        <v>516</v>
      </c>
      <c r="M64" s="43" t="e">
        <v>#VALUE!</v>
      </c>
      <c r="N64" s="72">
        <f t="shared" si="0"/>
        <v>0.1079136690647482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49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516</v>
      </c>
      <c r="M65" s="43" t="e">
        <v>#VALUE!</v>
      </c>
      <c r="N65" s="72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240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2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>
        <f>VLOOKUP(C67,Days_Since_100!H:I,2,FALSE)</f>
        <v>127</v>
      </c>
      <c r="E67" s="58">
        <f ca="1">OFFSET(CumulativeConfirmed!A67,-A67,MATCH(Country_Data!D67,CumulativeConfirmed!B67:BT67,0))</f>
        <v>43910</v>
      </c>
      <c r="F67" s="43">
        <f>MAX(CumulativeConfirmed!67:67)</f>
        <v>163</v>
      </c>
      <c r="G67" s="43">
        <f>MAX(CumulativeRecovered!67:67)</f>
        <v>3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2">
        <f t="shared" ref="N67:N127" si="1">H67/F67</f>
        <v>1.8404907975460124E-2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>
        <f>VLOOKUP(C68,Days_Since_100!H:I,2,FALSE)</f>
        <v>117</v>
      </c>
      <c r="E68" s="58">
        <f ca="1">OFFSET(CumulativeConfirmed!A68,-A68,MATCH(Country_Data!D68,CumulativeConfirmed!B68:BT68,0))</f>
        <v>43911</v>
      </c>
      <c r="F68" s="43">
        <f>MAX(CumulativeConfirmed!68:68)</f>
        <v>117</v>
      </c>
      <c r="G68" s="43">
        <f>MAX(CumulativeRecovered!68:68)</f>
        <v>2</v>
      </c>
      <c r="H68" s="43">
        <f>MAX(CumulativeDead!68:68)</f>
        <v>2</v>
      </c>
      <c r="K68" s="43">
        <v>5094118</v>
      </c>
      <c r="L68" s="54" t="s">
        <v>516</v>
      </c>
      <c r="M68" s="43" t="e">
        <v>#VALUE!</v>
      </c>
      <c r="N68" s="72">
        <f t="shared" si="1"/>
        <v>1.7094017094017096E-2</v>
      </c>
    </row>
    <row r="69" spans="1:14" x14ac:dyDescent="0.3">
      <c r="A69" s="54">
        <v>68</v>
      </c>
      <c r="B69" s="57" t="s">
        <v>132</v>
      </c>
      <c r="C69" s="57" t="s">
        <v>132</v>
      </c>
      <c r="D69" s="54">
        <f>VLOOKUP(C69,Days_Since_100!H:I,2,FALSE)</f>
        <v>103</v>
      </c>
      <c r="E69" s="58">
        <f ca="1">OFFSET(CumulativeConfirmed!A69,-A69,MATCH(Country_Data!D69,CumulativeConfirmed!B69:BT69,0))</f>
        <v>43911</v>
      </c>
      <c r="F69" s="43">
        <f>MAX(CumulativeConfirmed!69:69)</f>
        <v>103</v>
      </c>
      <c r="G69" s="43">
        <f>MAX(CumulativeRecovered!69:69)</f>
        <v>7</v>
      </c>
      <c r="H69" s="43">
        <f>MAX(CumulativeDead!69:69)</f>
        <v>4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2">
        <f t="shared" si="1"/>
        <v>3.8834951456310676E-2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52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516</v>
      </c>
      <c r="M70" s="43" t="e">
        <v>#VALUE!</v>
      </c>
      <c r="N70" s="72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506</v>
      </c>
      <c r="G71" s="43">
        <f>MAX(CumulativeRecovered!71:71)</f>
        <v>3</v>
      </c>
      <c r="H71" s="43">
        <f>MAX(CumulativeDead!71:71)</f>
        <v>7</v>
      </c>
      <c r="K71" s="43">
        <v>17643054</v>
      </c>
      <c r="L71" s="54">
        <v>0</v>
      </c>
      <c r="M71" s="43">
        <v>0</v>
      </c>
      <c r="N71" s="72">
        <f t="shared" si="1"/>
        <v>1.383399209486166E-2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>
        <f>VLOOKUP(C72,Days_Since_100!H:I,2,FALSE)</f>
        <v>111</v>
      </c>
      <c r="E72" s="58">
        <f ca="1">OFFSET(CumulativeConfirmed!A72,-A72,MATCH(Country_Data!D72,CumulativeConfirmed!B72:BT72,0))</f>
        <v>43910</v>
      </c>
      <c r="F72" s="43">
        <f>MAX(CumulativeConfirmed!72:72)</f>
        <v>124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2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60</v>
      </c>
      <c r="G73" s="43">
        <f>MAX(CumulativeRecovered!73:73)</f>
        <v>0</v>
      </c>
      <c r="H73" s="43">
        <f>MAX(CumulativeDead!73:73)</f>
        <v>1</v>
      </c>
      <c r="K73" s="43">
        <v>11818619</v>
      </c>
      <c r="L73" s="54" t="s">
        <v>516</v>
      </c>
      <c r="M73" s="43" t="e">
        <v>#VALUE!</v>
      </c>
      <c r="N73" s="72">
        <f t="shared" si="1"/>
        <v>1.6666666666666666E-2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53</v>
      </c>
      <c r="G74" s="43">
        <f>MAX(CumulativeRecovered!74:74)</f>
        <v>11</v>
      </c>
      <c r="H74" s="43">
        <f>MAX(CumulativeDead!74:74)</f>
        <v>1</v>
      </c>
      <c r="K74" s="43">
        <v>10139177</v>
      </c>
      <c r="L74" s="54" t="s">
        <v>516</v>
      </c>
      <c r="M74" s="43" t="e">
        <v>#VALUE!</v>
      </c>
      <c r="N74" s="72">
        <f t="shared" si="1"/>
        <v>1.8867924528301886E-2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84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2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85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516</v>
      </c>
      <c r="M76" s="43" t="e">
        <v>#VALUE!</v>
      </c>
      <c r="N76" s="72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93</v>
      </c>
      <c r="G77" s="43">
        <f>MAX(CumulativeRecovered!77:77)</f>
        <v>2</v>
      </c>
      <c r="H77" s="43">
        <f>MAX(CumulativeDead!77:77)</f>
        <v>1</v>
      </c>
      <c r="K77" s="43">
        <v>3280819</v>
      </c>
      <c r="L77" s="54" t="s">
        <v>516</v>
      </c>
      <c r="M77" s="43" t="e">
        <v>#VALUE!</v>
      </c>
      <c r="N77" s="72">
        <f t="shared" si="1"/>
        <v>1.0752688172043012E-2</v>
      </c>
    </row>
    <row r="78" spans="1:14" x14ac:dyDescent="0.3">
      <c r="A78" s="54">
        <v>77</v>
      </c>
      <c r="B78" s="57" t="s">
        <v>158</v>
      </c>
      <c r="C78" s="57" t="s">
        <v>158</v>
      </c>
      <c r="D78" s="54">
        <f>VLOOKUP(C78,Days_Since_100!H:I,2,FALSE)</f>
        <v>102</v>
      </c>
      <c r="E78" s="58">
        <f ca="1">OFFSET(CumulativeConfirmed!A78,-A78,MATCH(Country_Data!D78,CumulativeConfirmed!B78:BT78,0))</f>
        <v>43909</v>
      </c>
      <c r="F78" s="43">
        <f>MAX(CumulativeConfirmed!78:78)</f>
        <v>196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516</v>
      </c>
      <c r="M78" s="43" t="e">
        <v>#VALUE!</v>
      </c>
      <c r="N78" s="72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73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516</v>
      </c>
      <c r="M79" s="43" t="e">
        <v>#VALUE!</v>
      </c>
      <c r="N79" s="72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>
        <f>VLOOKUP(C80,Days_Since_100!H:I,2,FALSE)</f>
        <v>118</v>
      </c>
      <c r="E80" s="58">
        <f ca="1">OFFSET(CumulativeConfirmed!A80,-A80,MATCH(Country_Data!D80,CumulativeConfirmed!B80:BT80,0))</f>
        <v>43909</v>
      </c>
      <c r="F80" s="43">
        <f>MAX(CumulativeConfirmed!80:80)</f>
        <v>203</v>
      </c>
      <c r="G80" s="43">
        <f>MAX(CumulativeRecovered!80:80)</f>
        <v>4</v>
      </c>
      <c r="H80" s="43">
        <f>MAX(CumulativeDead!80:80)</f>
        <v>2</v>
      </c>
      <c r="K80" s="43">
        <v>128932753</v>
      </c>
      <c r="L80" s="54" t="s">
        <v>516</v>
      </c>
      <c r="M80" s="43" t="e">
        <v>#VALUE!</v>
      </c>
      <c r="N80" s="72">
        <f t="shared" si="1"/>
        <v>9.852216748768473E-3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47</v>
      </c>
      <c r="G81" s="43">
        <f>MAX(CumulativeRecovered!81:81)</f>
        <v>5</v>
      </c>
      <c r="H81" s="43">
        <f>MAX(CumulativeDead!81:81)</f>
        <v>0</v>
      </c>
      <c r="K81" s="43">
        <v>16743927</v>
      </c>
      <c r="L81" s="54" t="s">
        <v>516</v>
      </c>
      <c r="M81" s="43" t="e">
        <v>#VALUE!</v>
      </c>
      <c r="N81" s="72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516</v>
      </c>
      <c r="M82" s="43" t="e">
        <v>#VALUE!</v>
      </c>
      <c r="N82" s="72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>
        <f>VLOOKUP(C83,Days_Since_100!H:I,2,FALSE)</f>
        <v>115</v>
      </c>
      <c r="E83" s="58">
        <f ca="1">OFFSET(CumulativeConfirmed!A83,-A83,MATCH(Country_Data!D83,CumulativeConfirmed!B83:BT83,0))</f>
        <v>43909</v>
      </c>
      <c r="F83" s="43">
        <f>MAX(CumulativeConfirmed!83:83)</f>
        <v>160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516</v>
      </c>
      <c r="M83" s="43" t="e">
        <v>#VALUE!</v>
      </c>
      <c r="N83" s="72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16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516</v>
      </c>
      <c r="M84" s="43" t="e">
        <v>#VALUE!</v>
      </c>
      <c r="N84" s="72">
        <f t="shared" si="1"/>
        <v>6.25E-2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24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516</v>
      </c>
      <c r="M85" s="43" t="e">
        <v>#VALUE!</v>
      </c>
      <c r="N85" s="72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96</v>
      </c>
      <c r="G86" s="43">
        <f>MAX(CumulativeRecovered!86:86)</f>
        <v>3</v>
      </c>
      <c r="H86" s="43">
        <f>MAX(CumulativeDead!86:86)</f>
        <v>3</v>
      </c>
      <c r="K86" s="43">
        <v>36910560</v>
      </c>
      <c r="L86" s="54" t="s">
        <v>516</v>
      </c>
      <c r="M86" s="43" t="e">
        <v>#VALUE!</v>
      </c>
      <c r="N86" s="72">
        <f t="shared" si="1"/>
        <v>3.125E-2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83</v>
      </c>
      <c r="G87" s="43">
        <f>MAX(CumulativeRecovered!87:87)</f>
        <v>1</v>
      </c>
      <c r="H87" s="43">
        <f>MAX(CumulativeDead!87:87)</f>
        <v>1</v>
      </c>
      <c r="K87" s="43">
        <v>2722289</v>
      </c>
      <c r="L87" s="54">
        <v>15.5</v>
      </c>
      <c r="M87" s="43">
        <v>421.95479499999999</v>
      </c>
      <c r="N87" s="72">
        <f t="shared" si="1"/>
        <v>1.2048192771084338E-2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80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516</v>
      </c>
      <c r="M88" s="43" t="e">
        <v>#VALUE!</v>
      </c>
      <c r="N88" s="72">
        <f t="shared" si="1"/>
        <v>1.2500000000000001E-2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18</v>
      </c>
      <c r="G89" s="43">
        <f>MAX(CumulativeRecovered!89:89)</f>
        <v>0</v>
      </c>
      <c r="H89" s="43">
        <f>MAX(CumulativeDead!89:89)</f>
        <v>1</v>
      </c>
      <c r="K89" s="43">
        <v>7132538</v>
      </c>
      <c r="L89" s="54" t="s">
        <v>516</v>
      </c>
      <c r="M89" s="43" t="e">
        <v>#VALUE!</v>
      </c>
      <c r="N89" s="72">
        <f t="shared" si="1"/>
        <v>5.5555555555555552E-2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77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516</v>
      </c>
      <c r="M90" s="43" t="e">
        <v>#VALUE!</v>
      </c>
      <c r="N90" s="72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53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516</v>
      </c>
      <c r="M91" s="43" t="e">
        <v>#VALUE!</v>
      </c>
      <c r="N91" s="72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>
        <f>VLOOKUP(C92,Days_Since_100!H:I,2,FALSE)</f>
        <v>112</v>
      </c>
      <c r="E92" s="58">
        <f ca="1">OFFSET(CumulativeConfirmed!A92,-A92,MATCH(Country_Data!D92,CumulativeConfirmed!B92:BT92,0))</f>
        <v>43911</v>
      </c>
      <c r="F92" s="43">
        <f>MAX(CumulativeConfirmed!92:92)</f>
        <v>112</v>
      </c>
      <c r="G92" s="43">
        <f>MAX(CumulativeRecovered!92:92)</f>
        <v>0</v>
      </c>
      <c r="H92" s="43">
        <f>MAX(CumulativeDead!92:92)</f>
        <v>2</v>
      </c>
      <c r="K92" s="43">
        <v>10847910</v>
      </c>
      <c r="L92" s="54" t="s">
        <v>516</v>
      </c>
      <c r="M92" s="43" t="e">
        <v>#VALUE!</v>
      </c>
      <c r="N92" s="72">
        <f t="shared" si="1"/>
        <v>1.7857142857142856E-2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516</v>
      </c>
      <c r="M93" s="43" t="e">
        <v>#VALUE!</v>
      </c>
      <c r="N93" s="72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52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516</v>
      </c>
      <c r="M94" s="43" t="e">
        <v>#VALUE!</v>
      </c>
      <c r="N94" s="72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516</v>
      </c>
      <c r="M95" s="43" t="e">
        <v>#N/A</v>
      </c>
      <c r="N95" s="72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>
        <f>VLOOKUP(C96,Days_Since_100!H:I,2,FALSE)</f>
        <v>192</v>
      </c>
      <c r="E96" s="58">
        <f ca="1">OFFSET(CumulativeConfirmed!A96,-A96,MATCH(Country_Data!D96,CumulativeConfirmed!B96:BT96,0))</f>
        <v>43909</v>
      </c>
      <c r="F96" s="43">
        <f>MAX(CumulativeConfirmed!96:96)</f>
        <v>670</v>
      </c>
      <c r="G96" s="43">
        <f>MAX(CumulativeRecovered!96:96)</f>
        <v>0</v>
      </c>
      <c r="H96" s="43">
        <f>MAX(CumulativeDead!96:96)</f>
        <v>9</v>
      </c>
      <c r="K96" s="43">
        <v>84339067</v>
      </c>
      <c r="L96" s="54" t="s">
        <v>516</v>
      </c>
      <c r="M96" s="43" t="e">
        <v>#VALUE!</v>
      </c>
      <c r="N96" s="72">
        <f t="shared" si="1"/>
        <v>1.3432835820895522E-2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21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516</v>
      </c>
      <c r="M97" s="43" t="e">
        <v>#VALUE!</v>
      </c>
      <c r="N97" s="72">
        <f t="shared" si="1"/>
        <v>4.7619047619047616E-2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53</v>
      </c>
      <c r="G98" s="43">
        <f>MAX(CumulativeRecovered!98:98)</f>
        <v>0</v>
      </c>
      <c r="H98" s="43">
        <f>MAX(CumulativeDead!98:98)</f>
        <v>3</v>
      </c>
      <c r="K98" s="43">
        <v>18776707</v>
      </c>
      <c r="L98" s="54" t="s">
        <v>516</v>
      </c>
      <c r="M98" s="43" t="e">
        <v>#VALUE!</v>
      </c>
      <c r="N98" s="72">
        <f t="shared" si="1"/>
        <v>5.6603773584905662E-2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25</v>
      </c>
      <c r="G99" s="43">
        <f>MAX(CumulativeRecovered!99:99)</f>
        <v>3</v>
      </c>
      <c r="H99" s="43">
        <f>MAX(CumulativeDead!99:99)</f>
        <v>2</v>
      </c>
      <c r="K99" s="43">
        <v>164689383</v>
      </c>
      <c r="L99" s="54" t="s">
        <v>516</v>
      </c>
      <c r="M99" s="43" t="e">
        <v>#VALUE!</v>
      </c>
      <c r="N99" s="72">
        <f t="shared" si="1"/>
        <v>0.08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19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516</v>
      </c>
      <c r="M100" s="43" t="e">
        <v>#VALUE!</v>
      </c>
      <c r="N100" s="72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32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516</v>
      </c>
      <c r="M101" s="43" t="e">
        <v>#VALUE!</v>
      </c>
      <c r="N101" s="72">
        <f t="shared" si="1"/>
        <v>3.125E-2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47</v>
      </c>
      <c r="G102" s="43">
        <f>MAX(CumulativeRecovered!102:102)</f>
        <v>1</v>
      </c>
      <c r="H102" s="43">
        <f>MAX(CumulativeDead!102:102)</f>
        <v>3</v>
      </c>
      <c r="K102" s="43">
        <v>43733762</v>
      </c>
      <c r="L102" s="54" t="s">
        <v>516</v>
      </c>
      <c r="M102" s="43" t="e">
        <v>#VALUE!</v>
      </c>
      <c r="N102" s="72">
        <f t="shared" si="1"/>
        <v>6.3829787234042548E-2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516</v>
      </c>
      <c r="M103" s="43" t="e">
        <v>#VALUE!</v>
      </c>
      <c r="N103" s="72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64</v>
      </c>
      <c r="G104" s="43">
        <f>MAX(CumulativeRecovered!104:104)</f>
        <v>5</v>
      </c>
      <c r="H104" s="43">
        <f>MAX(CumulativeDead!104:104)</f>
        <v>2</v>
      </c>
      <c r="K104" s="43">
        <v>20903273</v>
      </c>
      <c r="L104" s="54" t="s">
        <v>516</v>
      </c>
      <c r="M104" s="43" t="e">
        <v>#VALUE!</v>
      </c>
      <c r="N104" s="72">
        <f t="shared" si="1"/>
        <v>3.125E-2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27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516</v>
      </c>
      <c r="M105" s="43" t="e">
        <v>#VALUE!</v>
      </c>
      <c r="N105" s="72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23</v>
      </c>
      <c r="G106" s="43">
        <f>MAX(CumulativeRecovered!106:106)</f>
        <v>0</v>
      </c>
      <c r="H106" s="43">
        <f>MAX(CumulativeDead!106:106)</f>
        <v>1</v>
      </c>
      <c r="K106" s="43" t="e">
        <v>#N/A</v>
      </c>
      <c r="L106" s="54" t="s">
        <v>516</v>
      </c>
      <c r="M106" s="43" t="e">
        <v>#N/A</v>
      </c>
      <c r="N106" s="72">
        <f t="shared" si="1"/>
        <v>4.3478260869565216E-2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24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516</v>
      </c>
      <c r="M107" s="43" t="e">
        <v>#VALUE!</v>
      </c>
      <c r="N107" s="72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11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516</v>
      </c>
      <c r="M108" s="43" t="e">
        <v>#VALUE!</v>
      </c>
      <c r="N108" s="72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22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516</v>
      </c>
      <c r="M109" s="43" t="e">
        <v>#VALUE!</v>
      </c>
      <c r="N109" s="72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88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516</v>
      </c>
      <c r="M110" s="43" t="e">
        <v>#VALUE!</v>
      </c>
      <c r="N110" s="72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516</v>
      </c>
      <c r="M111" s="43" t="e">
        <v>#VALUE!</v>
      </c>
      <c r="N111" s="72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2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516</v>
      </c>
      <c r="M112" s="43" t="e">
        <v>#VALUE!</v>
      </c>
      <c r="N112" s="72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516</v>
      </c>
      <c r="M113" s="43" t="e">
        <v>#VALUE!</v>
      </c>
      <c r="N113" s="72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14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516</v>
      </c>
      <c r="M114" s="43" t="e">
        <v>#N/A</v>
      </c>
      <c r="N114" s="72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9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516</v>
      </c>
      <c r="M115" s="43" t="e">
        <v>#VALUE!</v>
      </c>
      <c r="N115" s="72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516</v>
      </c>
      <c r="M116" s="43" t="e">
        <v>#VALUE!</v>
      </c>
      <c r="N116" s="72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2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516</v>
      </c>
      <c r="M117" s="43" t="e">
        <v>#VALUE!</v>
      </c>
      <c r="N117" s="72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516</v>
      </c>
      <c r="M118" s="43" t="e">
        <v>#VALUE!</v>
      </c>
      <c r="N118" s="72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516</v>
      </c>
      <c r="M119" s="43" t="e">
        <v>#VALUE!</v>
      </c>
      <c r="N119" s="72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85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516</v>
      </c>
      <c r="M120" s="43" t="e">
        <v>#VALUE!</v>
      </c>
      <c r="N120" s="72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7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516</v>
      </c>
      <c r="M121" s="43" t="e">
        <v>#VALUE!</v>
      </c>
      <c r="N121" s="72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37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516</v>
      </c>
      <c r="M122" s="43" t="e">
        <v>#VALUE!</v>
      </c>
      <c r="N122" s="72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10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516</v>
      </c>
      <c r="M123" s="43" t="e">
        <v>#VALUE!</v>
      </c>
      <c r="N123" s="72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516</v>
      </c>
      <c r="M124" s="43" t="e">
        <v>#VALUE!</v>
      </c>
      <c r="N124" s="72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516</v>
      </c>
      <c r="M125" s="43" t="e">
        <v>#VALUE!</v>
      </c>
      <c r="N125" s="72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16</v>
      </c>
      <c r="G126" s="43">
        <f>MAX(CumulativeRecovered!126:126)</f>
        <v>1</v>
      </c>
      <c r="H126" s="43">
        <f>MAX(CumulativeDead!126:126)</f>
        <v>0</v>
      </c>
      <c r="K126" s="43" t="e">
        <v>#N/A</v>
      </c>
      <c r="L126" s="54" t="s">
        <v>516</v>
      </c>
      <c r="M126" s="43" t="e">
        <v>#N/A</v>
      </c>
      <c r="N126" s="72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516</v>
      </c>
      <c r="M127" s="43" t="e">
        <v>#VALUE!</v>
      </c>
      <c r="N127" s="72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12726</v>
      </c>
      <c r="BI8">
        <f>SUMIF(ConfirmedRaw!$B:$B,$A8,ConfirmedRaw!BL:BL)</f>
        <v>14431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712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1278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32</v>
      </c>
      <c r="BI101">
        <f>SUMIF(ConfirmedRaw!$B:$B,$A101,ConfirmedRaw!BL:BL)</f>
        <v>32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0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0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0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0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0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12264</v>
      </c>
      <c r="BI8">
        <f>CumulativeConfirmed!BI8-CumulativeRecovered!BI8-CumulativeDead!BI8</f>
        <v>13857</v>
      </c>
      <c r="BJ8">
        <f>CumulativeConfirmed!BJ8-CumulativeRecovered!BJ8-CumulativeDead!BJ8</f>
        <v>0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0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0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0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0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0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0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0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379</v>
      </c>
      <c r="BJ17">
        <f>CumulativeConfirmed!BJ17-CumulativeRecovered!BJ17-CumulativeDead!BJ17</f>
        <v>0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0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0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0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0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0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0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1249</v>
      </c>
      <c r="BJ24">
        <f>CumulativeConfirmed!BJ24-CumulativeRecovered!BJ24-CumulativeDead!BJ24</f>
        <v>0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0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0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0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0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0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0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0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0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0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0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0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0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0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0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0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0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0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0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0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0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0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0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0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0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0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0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0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0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0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0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0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0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0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0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0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0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0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0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0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0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0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0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0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0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0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0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0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0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0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0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0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0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0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0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0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0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0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0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0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0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0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0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0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0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0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0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0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0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0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0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0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31</v>
      </c>
      <c r="BI101">
        <f>CumulativeConfirmed!BI101-CumulativeRecovered!BI101-CumulativeDead!BI101</f>
        <v>31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0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0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0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0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0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0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0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0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0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0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0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0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0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0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0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0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0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0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0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450</v>
      </c>
      <c r="BI8">
        <f>SUMIF(DeadRaw!$B:$B,$A8,DeadRaw!BL:BL)</f>
        <v>562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8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1</v>
      </c>
      <c r="BI101">
        <f>SUMIF(DeadRaw!$B:$B,$A101,DeadRaw!BL:BL)</f>
        <v>1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L483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</row>
    <row r="2" spans="1:64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</row>
    <row r="3" spans="1:64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</row>
    <row r="158" spans="1:64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</row>
    <row r="192" spans="1:64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</row>
    <row r="412" spans="1:64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</row>
    <row r="413" spans="1:64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</row>
    <row r="414" spans="1:64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</row>
    <row r="460" spans="1:64" x14ac:dyDescent="0.3">
      <c r="B460" t="s">
        <v>514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</row>
    <row r="462" spans="1:64" x14ac:dyDescent="0.3">
      <c r="B462" t="s">
        <v>525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</row>
    <row r="464" spans="1:64" x14ac:dyDescent="0.3">
      <c r="A464" t="s">
        <v>526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</row>
    <row r="465" spans="1:64" x14ac:dyDescent="0.3">
      <c r="A465" t="s">
        <v>527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</row>
    <row r="466" spans="1:64" x14ac:dyDescent="0.3">
      <c r="B466" t="s">
        <v>528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</row>
    <row r="467" spans="1:64" x14ac:dyDescent="0.3">
      <c r="B467" t="s">
        <v>529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</row>
    <row r="468" spans="1:64" x14ac:dyDescent="0.3">
      <c r="B468" t="s">
        <v>530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</row>
    <row r="469" spans="1:64" x14ac:dyDescent="0.3">
      <c r="B469" t="s">
        <v>531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</row>
    <row r="470" spans="1:64" x14ac:dyDescent="0.3">
      <c r="B470" t="s">
        <v>536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</row>
    <row r="471" spans="1:64" x14ac:dyDescent="0.3">
      <c r="B471" t="s">
        <v>537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</row>
    <row r="472" spans="1:64" x14ac:dyDescent="0.3">
      <c r="B472" t="s">
        <v>538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</row>
    <row r="473" spans="1:64" x14ac:dyDescent="0.3">
      <c r="B473" t="s">
        <v>539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</row>
    <row r="474" spans="1:64" x14ac:dyDescent="0.3">
      <c r="A474" t="s">
        <v>540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</row>
    <row r="475" spans="1:64" x14ac:dyDescent="0.3">
      <c r="B475" t="s">
        <v>541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</row>
    <row r="476" spans="1:64" x14ac:dyDescent="0.3">
      <c r="B476" t="s">
        <v>542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</row>
    <row r="477" spans="1:64" x14ac:dyDescent="0.3">
      <c r="A477" t="s">
        <v>543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</row>
    <row r="478" spans="1:64" x14ac:dyDescent="0.3">
      <c r="B478" t="s">
        <v>544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</row>
    <row r="479" spans="1:64" x14ac:dyDescent="0.3">
      <c r="A479" t="s">
        <v>561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</row>
    <row r="480" spans="1:64" x14ac:dyDescent="0.3">
      <c r="B480" t="s">
        <v>562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</row>
    <row r="481" spans="2:64" x14ac:dyDescent="0.3">
      <c r="B481" t="s">
        <v>563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</row>
    <row r="482" spans="2:64" x14ac:dyDescent="0.3">
      <c r="B482" t="s">
        <v>564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</row>
    <row r="483" spans="2:64" x14ac:dyDescent="0.3">
      <c r="B483" t="s">
        <v>565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L483"/>
  <sheetViews>
    <sheetView workbookViewId="0">
      <selection sqref="A1:CA1000"/>
    </sheetView>
  </sheetViews>
  <sheetFormatPr defaultRowHeight="14.4" x14ac:dyDescent="0.3"/>
  <sheetData>
    <row r="1" spans="1:6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</row>
    <row r="2" spans="1:64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</row>
    <row r="3" spans="1:64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  <c r="BK3">
        <v>33</v>
      </c>
      <c r="BL3">
        <v>35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2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  <c r="BK6">
        <v>3</v>
      </c>
      <c r="BL6">
        <v>4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  <c r="BK7">
        <v>8</v>
      </c>
      <c r="BL7">
        <v>10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  <c r="BK8">
        <v>6</v>
      </c>
      <c r="BL8">
        <v>6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  <c r="BK13">
        <v>67</v>
      </c>
      <c r="BL13">
        <v>84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2</v>
      </c>
      <c r="BL15">
        <v>2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  <c r="BK16">
        <v>18</v>
      </c>
      <c r="BL16">
        <v>19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  <c r="BK17">
        <v>5</v>
      </c>
      <c r="BL17">
        <v>4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  <c r="BK18">
        <v>4032</v>
      </c>
      <c r="BL18">
        <v>4825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  <c r="BK19">
        <v>16</v>
      </c>
      <c r="BL19">
        <v>20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  <c r="BK20">
        <v>1043</v>
      </c>
      <c r="BL20">
        <v>1375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  <c r="BK22">
        <v>37</v>
      </c>
      <c r="BL22">
        <v>67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  <c r="BK23">
        <v>8</v>
      </c>
      <c r="BL23">
        <v>10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  <c r="BL25">
        <v>4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  <c r="BK26">
        <v>17</v>
      </c>
      <c r="BL26">
        <v>17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  <c r="BK31">
        <v>11</v>
      </c>
      <c r="BL31">
        <v>15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  <c r="BL32">
        <v>1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  <c r="BK33">
        <v>54</v>
      </c>
      <c r="BL33">
        <v>75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  <c r="BK34">
        <v>6</v>
      </c>
      <c r="BL34">
        <v>8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1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  <c r="BK36">
        <v>3</v>
      </c>
      <c r="BL36">
        <v>3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  <c r="BK37">
        <v>11</v>
      </c>
      <c r="BL37">
        <v>15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  <c r="BK39">
        <v>6</v>
      </c>
      <c r="BL39">
        <v>13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  <c r="BK41">
        <v>7</v>
      </c>
      <c r="BL41">
        <v>7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  <c r="BK44">
        <v>14</v>
      </c>
      <c r="BL44">
        <v>20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  <c r="BK46">
        <v>0</v>
      </c>
      <c r="BL46">
        <v>1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1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  <c r="BK48">
        <v>1</v>
      </c>
      <c r="BL48">
        <v>2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  <c r="BK52">
        <v>3</v>
      </c>
      <c r="BL52">
        <v>3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  <c r="BK53">
        <v>4</v>
      </c>
      <c r="BL53">
        <v>8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  <c r="BK56">
        <v>5</v>
      </c>
      <c r="BL56">
        <v>7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  <c r="BK59">
        <v>2</v>
      </c>
      <c r="BL59">
        <v>2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  <c r="BK60">
        <v>32</v>
      </c>
      <c r="BL60">
        <v>38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  <c r="BK61">
        <v>6</v>
      </c>
      <c r="BL61">
        <v>12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  <c r="BK65">
        <v>3</v>
      </c>
      <c r="BL65">
        <v>3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  <c r="BK68">
        <v>3</v>
      </c>
      <c r="BL68">
        <v>4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  <c r="BK71">
        <v>3</v>
      </c>
      <c r="BL71">
        <v>3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3</v>
      </c>
      <c r="BL72">
        <v>4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  <c r="BK75">
        <v>5</v>
      </c>
      <c r="BL75">
        <v>5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  <c r="BK76">
        <v>1</v>
      </c>
      <c r="BL76">
        <v>1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1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  <c r="BK83">
        <v>1</v>
      </c>
      <c r="BL83">
        <v>2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5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  <c r="BK86">
        <v>1</v>
      </c>
      <c r="BL86">
        <v>1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  <c r="BK90">
        <v>3</v>
      </c>
      <c r="BL90">
        <v>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  <c r="BK92">
        <v>1</v>
      </c>
      <c r="BL92">
        <v>2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1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  <c r="BK94">
        <v>2</v>
      </c>
      <c r="BL94">
        <v>3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  <c r="BK96">
        <v>1</v>
      </c>
      <c r="BL96">
        <v>5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  <c r="BK97">
        <v>2</v>
      </c>
      <c r="BL97">
        <v>2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  <c r="BK100">
        <v>83</v>
      </c>
      <c r="BL100">
        <v>94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  <c r="BK101">
        <v>42</v>
      </c>
      <c r="BL101">
        <v>60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  <c r="BK102">
        <v>23</v>
      </c>
      <c r="BL102">
        <v>24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  <c r="BK106">
        <v>13</v>
      </c>
      <c r="BL106">
        <v>14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  <c r="BK107">
        <v>4</v>
      </c>
      <c r="BL107">
        <v>4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  <c r="BK108">
        <v>10</v>
      </c>
      <c r="BL108">
        <v>13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  <c r="BK109">
        <v>11</v>
      </c>
      <c r="BL109">
        <v>16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  <c r="BK110">
        <v>3</v>
      </c>
      <c r="BL110">
        <v>5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  <c r="BK111">
        <v>5</v>
      </c>
      <c r="BL111">
        <v>5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  <c r="BK112">
        <v>5</v>
      </c>
      <c r="BL112">
        <v>6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  <c r="BK113">
        <v>1</v>
      </c>
      <c r="BL113">
        <v>2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  <c r="BK115">
        <v>1</v>
      </c>
      <c r="BL115">
        <v>2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3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1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  <c r="BK119">
        <v>2</v>
      </c>
      <c r="BL119">
        <v>2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  <c r="BK121">
        <v>2</v>
      </c>
      <c r="BL121">
        <v>4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  <c r="BK122">
        <v>2</v>
      </c>
      <c r="BL122">
        <v>3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  <c r="BK124">
        <v>1</v>
      </c>
      <c r="BL124">
        <v>2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1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3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  <c r="BL130">
        <v>4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  <c r="BK131">
        <v>3</v>
      </c>
      <c r="BL131">
        <v>4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  <c r="BK133">
        <v>1</v>
      </c>
      <c r="BL133">
        <v>1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  <c r="BK135">
        <v>1</v>
      </c>
      <c r="BL135">
        <v>2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  <c r="BL138">
        <v>1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2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  <c r="BK140">
        <v>14</v>
      </c>
      <c r="BL140">
        <v>16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  <c r="BK141">
        <v>2</v>
      </c>
      <c r="BL141">
        <v>3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2</v>
      </c>
      <c r="BL142">
        <v>2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  <c r="BK148">
        <v>3</v>
      </c>
      <c r="BL148">
        <v>5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1</v>
      </c>
      <c r="BL149">
        <v>1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  <c r="BK156">
        <v>3133</v>
      </c>
      <c r="BL156">
        <v>3139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  <c r="BK157">
        <v>1433</v>
      </c>
      <c r="BL157">
        <v>1556</v>
      </c>
    </row>
    <row r="158" spans="1:64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  <c r="BK158">
        <v>94</v>
      </c>
      <c r="BL158">
        <v>102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  <c r="BK159">
        <v>450</v>
      </c>
      <c r="BL159">
        <v>562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  <c r="BL160">
        <v>8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  <c r="BL161">
        <v>22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  <c r="BL163">
        <v>4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6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  <c r="BL166">
        <v>7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  <c r="BK167">
        <v>7</v>
      </c>
      <c r="BL167">
        <v>8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  <c r="BL169">
        <v>6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  <c r="BL170">
        <v>3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  <c r="BL171">
        <v>13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  <c r="BK172">
        <v>9</v>
      </c>
      <c r="BL172">
        <v>13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  <c r="BL173">
        <v>8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  <c r="BL174">
        <v>3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  <c r="BL175">
        <v>6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  <c r="BK178">
        <v>3</v>
      </c>
      <c r="BL178">
        <v>3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  <c r="BL180">
        <v>6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  <c r="BL182">
        <v>3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  <c r="BL185">
        <v>4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2</v>
      </c>
      <c r="BL186">
        <v>2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  <c r="BL189">
        <v>3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</row>
    <row r="192" spans="1:64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2</v>
      </c>
      <c r="BL192">
        <v>2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  <c r="BK194">
        <v>1</v>
      </c>
      <c r="BL194">
        <v>1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  <c r="BK197">
        <v>1</v>
      </c>
      <c r="BL197">
        <v>1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1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  <c r="BK208">
        <v>1</v>
      </c>
      <c r="BL208">
        <v>1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  <c r="BK209">
        <v>4</v>
      </c>
      <c r="BL209">
        <v>9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  <c r="BK402">
        <v>1</v>
      </c>
      <c r="BL402">
        <v>1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  <c r="BL403">
        <v>1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  <c r="BK405">
        <v>177</v>
      </c>
      <c r="BL405">
        <v>233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3</v>
      </c>
      <c r="BL406">
        <v>0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  <c r="BL411">
        <v>1</v>
      </c>
    </row>
    <row r="412" spans="1:64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</row>
    <row r="413" spans="1:64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</row>
    <row r="414" spans="1:64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1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1</v>
      </c>
      <c r="BL425">
        <v>1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  <c r="BK426">
        <v>1</v>
      </c>
      <c r="BL426">
        <v>1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  <c r="BK442">
        <v>106</v>
      </c>
      <c r="BL442">
        <v>136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  <c r="BK447">
        <v>1</v>
      </c>
      <c r="BL447">
        <v>1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  <c r="BK451">
        <v>1</v>
      </c>
      <c r="BL451">
        <v>1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</row>
    <row r="460" spans="1:64" x14ac:dyDescent="0.3">
      <c r="B460" t="s">
        <v>514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</row>
    <row r="462" spans="1:64" x14ac:dyDescent="0.3">
      <c r="B462" t="s">
        <v>525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</row>
    <row r="464" spans="1:64" x14ac:dyDescent="0.3">
      <c r="A464" t="s">
        <v>526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</row>
    <row r="465" spans="1:64" x14ac:dyDescent="0.3">
      <c r="A465" t="s">
        <v>527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</row>
    <row r="466" spans="1:64" x14ac:dyDescent="0.3">
      <c r="B466" t="s">
        <v>528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</row>
    <row r="467" spans="1:64" x14ac:dyDescent="0.3">
      <c r="B467" t="s">
        <v>529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</row>
    <row r="468" spans="1:64" x14ac:dyDescent="0.3">
      <c r="B468" t="s">
        <v>530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</row>
    <row r="469" spans="1:64" x14ac:dyDescent="0.3">
      <c r="B469" t="s">
        <v>531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</row>
    <row r="470" spans="1:64" x14ac:dyDescent="0.3">
      <c r="B470" t="s">
        <v>536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</row>
    <row r="471" spans="1:64" x14ac:dyDescent="0.3">
      <c r="B471" t="s">
        <v>537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</row>
    <row r="472" spans="1:64" x14ac:dyDescent="0.3">
      <c r="B472" t="s">
        <v>538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</row>
    <row r="473" spans="1:64" x14ac:dyDescent="0.3">
      <c r="B473" t="s">
        <v>539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</row>
    <row r="474" spans="1:64" x14ac:dyDescent="0.3">
      <c r="A474" t="s">
        <v>540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</row>
    <row r="475" spans="1:64" x14ac:dyDescent="0.3">
      <c r="B475" t="s">
        <v>541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</row>
    <row r="476" spans="1:64" x14ac:dyDescent="0.3">
      <c r="B476" t="s">
        <v>542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</row>
    <row r="477" spans="1:64" x14ac:dyDescent="0.3">
      <c r="A477" t="s">
        <v>543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</row>
    <row r="478" spans="1:64" x14ac:dyDescent="0.3">
      <c r="B478" t="s">
        <v>544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</row>
    <row r="479" spans="1:64" x14ac:dyDescent="0.3">
      <c r="A479" t="s">
        <v>561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</row>
    <row r="480" spans="1:64" x14ac:dyDescent="0.3">
      <c r="B480" t="s">
        <v>562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</row>
    <row r="481" spans="2:64" x14ac:dyDescent="0.3">
      <c r="B481" t="s">
        <v>563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</row>
    <row r="482" spans="2:64" x14ac:dyDescent="0.3">
      <c r="B482" t="s">
        <v>564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</row>
    <row r="483" spans="2:64" x14ac:dyDescent="0.3">
      <c r="B483" t="s">
        <v>565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483"/>
  <sheetViews>
    <sheetView topLeftCell="AT377"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</row>
    <row r="2" spans="1:64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  <c r="BL2">
        <v>411</v>
      </c>
    </row>
    <row r="3" spans="1:64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  <c r="BL3">
        <v>1007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  <c r="BL4">
        <v>432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  <c r="BL6">
        <v>1183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  <c r="BL7">
        <v>424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  <c r="BL8">
        <v>436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  <c r="BL9">
        <v>229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  <c r="BL10">
        <v>221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  <c r="BL11">
        <v>53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  <c r="BL12">
        <v>77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  <c r="BL13">
        <v>22213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  <c r="BL14">
        <v>523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  <c r="BL15">
        <v>153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  <c r="BL16">
        <v>307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  <c r="BL17">
        <v>330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  <c r="BL18">
        <v>53578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  <c r="BL19">
        <v>1763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  <c r="BL20">
        <v>25374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  <c r="BL21">
        <v>67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  <c r="BL22">
        <v>2815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  <c r="BL23">
        <v>294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  <c r="BL25">
        <v>187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  <c r="BL26">
        <v>214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  <c r="BL27">
        <v>52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  <c r="BL28">
        <v>24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  <c r="BL29">
        <v>305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  <c r="BL30">
        <v>176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  <c r="BL31">
        <v>139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  <c r="BL32">
        <v>206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  <c r="BL33">
        <v>6575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  <c r="BL34">
        <v>2814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  <c r="BL35">
        <v>883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  <c r="BL36">
        <v>730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  <c r="BL37">
        <v>1021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  <c r="BL38">
        <v>49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  <c r="BL39">
        <v>530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  <c r="BL40">
        <v>85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  <c r="BL41">
        <v>2118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  <c r="BL42">
        <v>367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  <c r="BL43">
        <v>306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  <c r="BL44">
        <v>144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  <c r="BL45">
        <v>76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  <c r="BL46">
        <v>473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  <c r="BL47">
        <v>83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  <c r="BL48">
        <v>203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  <c r="BL49">
        <v>52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  <c r="BL50">
        <v>22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  <c r="BL51">
        <v>90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  <c r="BL52">
        <v>785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  <c r="BL53">
        <v>670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  <c r="BL54">
        <v>11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  <c r="BL55">
        <v>481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  <c r="BL56">
        <v>506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  <c r="BL57">
        <v>53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  <c r="BL58">
        <v>160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  <c r="BL59">
        <v>112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  <c r="BL60">
        <v>450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  <c r="BL61">
        <v>1280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  <c r="BL62">
        <v>88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  <c r="BL63">
        <v>16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  <c r="BL64">
        <v>124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  <c r="BL65">
        <v>96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  <c r="BL66">
        <v>392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  <c r="BL67">
        <v>47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  <c r="BL68">
        <v>158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  <c r="BL69">
        <v>537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  <c r="BL70">
        <v>85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  <c r="BL71">
        <v>47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  <c r="BL72">
        <v>103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  <c r="BL73">
        <v>3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  <c r="BL74">
        <v>37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  <c r="BL75">
        <v>536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  <c r="BL76">
        <v>60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  <c r="BL77">
        <v>93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  <c r="BL78">
        <v>383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  <c r="BL79">
        <v>240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  <c r="BL80">
        <v>2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  <c r="BL81">
        <v>27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  <c r="BL82">
        <v>196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  <c r="BL83">
        <v>117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  <c r="BL84">
        <v>318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  <c r="BL85">
        <v>171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  <c r="BL86">
        <v>178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  <c r="BL87">
        <v>16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  <c r="BL88">
        <v>73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  <c r="BL89">
        <v>32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  <c r="BL90">
        <v>163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  <c r="BL91">
        <v>13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  <c r="BL92">
        <v>25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  <c r="BL93">
        <v>18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  <c r="BL94">
        <v>377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  <c r="BL95">
        <v>195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  <c r="BL96">
        <v>181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  <c r="BL97">
        <v>76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  <c r="BL98">
        <v>84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  <c r="BL99">
        <v>83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  <c r="BL100">
        <v>1793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  <c r="BL101">
        <v>11710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  <c r="BL102">
        <v>1364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  <c r="BL103">
        <v>525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  <c r="BL104">
        <v>49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  <c r="BL105">
        <v>23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  <c r="BL106">
        <v>507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  <c r="BL107">
        <v>390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  <c r="BL108">
        <v>659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  <c r="BL109">
        <v>1327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  <c r="BL110">
        <v>114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  <c r="BL111">
        <v>581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  <c r="BL112">
        <v>753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  <c r="BL113">
        <v>396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  <c r="BL114">
        <v>68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  <c r="BL115">
        <v>193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  <c r="BL116">
        <v>253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  <c r="BL117">
        <v>171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  <c r="BL118">
        <v>371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  <c r="BL119">
        <v>156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  <c r="BL120">
        <v>118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  <c r="BL121">
        <v>128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  <c r="BL122">
        <v>87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  <c r="BL123">
        <v>77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  <c r="BL124">
        <v>161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  <c r="BL125">
        <v>55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  <c r="BL126">
        <v>138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  <c r="BL127">
        <v>38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  <c r="BL128">
        <v>248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  <c r="BL129">
        <v>66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  <c r="BL130">
        <v>282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  <c r="BL131">
        <v>194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  <c r="BL132">
        <v>37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  <c r="BL133">
        <v>53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  <c r="BL134">
        <v>136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  <c r="BL135">
        <v>64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  <c r="BL137">
        <v>10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  <c r="BL138">
        <v>200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  <c r="BL139">
        <v>57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  <c r="BL140">
        <v>585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  <c r="BL141">
        <v>74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  <c r="BL142">
        <v>29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  <c r="BL143">
        <v>15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  <c r="BL144">
        <v>122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  <c r="BL145">
        <v>45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  <c r="BL146">
        <v>36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  <c r="BL147">
        <v>70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  <c r="BL148">
        <v>788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  <c r="BL149">
        <v>140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  <c r="BL150">
        <v>21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  <c r="BL151">
        <v>43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  <c r="BL152">
        <v>28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  <c r="BL153">
        <v>14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  <c r="BL154">
        <v>8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  <c r="BL155">
        <v>23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  <c r="BL156">
        <v>67800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  <c r="BL157">
        <v>20610</v>
      </c>
    </row>
    <row r="158" spans="1:64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  <c r="BL158">
        <v>8799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  <c r="BL159">
        <v>14282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  <c r="BL160">
        <v>1400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  <c r="BL161">
        <v>1273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  <c r="BL162">
        <v>1236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  <c r="BL163">
        <v>1018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  <c r="BL164">
        <v>990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  <c r="BL165">
        <v>935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  <c r="BL166">
        <v>764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  <c r="BL167">
        <v>712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  <c r="BL169">
        <v>576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  <c r="BL170">
        <v>542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  <c r="BL171">
        <v>484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  <c r="BL172">
        <v>1326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  <c r="BL173">
        <v>504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  <c r="BL174">
        <v>380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  <c r="BL175">
        <v>318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  <c r="BL176">
        <v>303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  <c r="BL177">
        <v>254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  <c r="BL178">
        <v>248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  <c r="BL179">
        <v>176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  <c r="BL180">
        <v>168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  <c r="BL181">
        <v>146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  <c r="BL182">
        <v>137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  <c r="BL184">
        <v>134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  <c r="BL185">
        <v>273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  <c r="BL186">
        <v>126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  <c r="BL187">
        <v>93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  <c r="BL188">
        <v>995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  <c r="BL189">
        <v>76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  <c r="BL190">
        <v>75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</row>
    <row r="192" spans="1:64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  <c r="BL192">
        <v>153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  <c r="BL193">
        <v>94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  <c r="BL194">
        <v>306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  <c r="BL196">
        <v>18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  <c r="BL197">
        <v>80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  <c r="BL198">
        <v>19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  <c r="BL199">
        <v>92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  <c r="BL200">
        <v>4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  <c r="BL201">
        <v>24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  <c r="BK202">
        <v>14</v>
      </c>
      <c r="BL202">
        <v>32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  <c r="BL203">
        <v>17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  <c r="BL205">
        <v>23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  <c r="BL206">
        <v>14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  <c r="BL207">
        <v>3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  <c r="BL208">
        <v>16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  <c r="BL209">
        <v>670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  <c r="BL210">
        <v>10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  <c r="BL402">
        <v>21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  <c r="BL403">
        <v>7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  <c r="BL404">
        <v>9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2689</v>
      </c>
      <c r="BK405">
        <v>3983</v>
      </c>
      <c r="BL405">
        <v>5018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  <c r="BL406">
        <v>53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  <c r="BL407">
        <v>15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  <c r="BL408">
        <v>18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  <c r="BL409">
        <v>26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  <c r="BL410">
        <v>9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  <c r="BL411">
        <v>2</v>
      </c>
    </row>
    <row r="412" spans="1:64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>
        <v>2</v>
      </c>
    </row>
    <row r="413" spans="1:64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  <c r="BL413">
        <v>10</v>
      </c>
    </row>
    <row r="414" spans="1:64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  <c r="BL414">
        <v>7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>
        <v>1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  <c r="BL416">
        <v>131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  <c r="BL417">
        <v>110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  <c r="BL418">
        <v>19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  <c r="BL419">
        <v>21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  <c r="BL420">
        <v>3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  <c r="BL421">
        <v>7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  <c r="BL422">
        <v>49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  <c r="BL423">
        <v>70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>
        <v>1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  <c r="BL425">
        <v>4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  <c r="BL426">
        <v>17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  <c r="BL427">
        <v>2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  <c r="BL428">
        <v>17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  <c r="BL429">
        <v>2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>
        <v>1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  <c r="BL431">
        <v>4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  <c r="BL432">
        <v>18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  <c r="BL433">
        <v>15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  <c r="BL434">
        <v>2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  <c r="BL435">
        <v>6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  <c r="BL436">
        <v>2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  <c r="BL437">
        <v>3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  <c r="BL438">
        <v>3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  <c r="BL439">
        <v>6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  <c r="BL440">
        <v>7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  <c r="BL441">
        <v>43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  <c r="BL442">
        <v>3631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  <c r="BL443">
        <v>21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  <c r="BL444">
        <v>53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  <c r="BL445">
        <v>2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  <c r="BL446">
        <v>3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  <c r="BL447">
        <v>3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  <c r="BL448">
        <v>1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  <c r="BL449">
        <v>6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  <c r="BL450">
        <v>3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  <c r="BL451">
        <v>3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  <c r="BL452">
        <v>45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  <c r="BL453">
        <v>6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  <c r="BK454">
        <v>14</v>
      </c>
      <c r="BL454">
        <v>14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  <c r="BL455">
        <v>14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  <c r="BL456">
        <v>14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  <c r="BL457">
        <v>5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  <c r="BL458">
        <v>2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  <c r="BL459">
        <v>1</v>
      </c>
    </row>
    <row r="460" spans="1:64" x14ac:dyDescent="0.3">
      <c r="B460" t="s">
        <v>514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  <c r="BL460">
        <v>1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  <c r="BL461">
        <v>1</v>
      </c>
    </row>
    <row r="462" spans="1:64" x14ac:dyDescent="0.3">
      <c r="B462" t="s">
        <v>525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  <c r="BL462">
        <v>4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  <c r="BK463">
        <v>2</v>
      </c>
      <c r="BL463">
        <v>2</v>
      </c>
    </row>
    <row r="464" spans="1:64" x14ac:dyDescent="0.3">
      <c r="A464" t="s">
        <v>526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  <c r="BL464">
        <v>4</v>
      </c>
    </row>
    <row r="465" spans="1:64" x14ac:dyDescent="0.3">
      <c r="A465" t="s">
        <v>527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  <c r="BL465">
        <v>2</v>
      </c>
    </row>
    <row r="466" spans="1:64" x14ac:dyDescent="0.3">
      <c r="B466" t="s">
        <v>528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  <c r="BL466">
        <v>1</v>
      </c>
    </row>
    <row r="467" spans="1:64" x14ac:dyDescent="0.3">
      <c r="B467" t="s">
        <v>529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  <c r="BL467">
        <v>3</v>
      </c>
    </row>
    <row r="468" spans="1:64" x14ac:dyDescent="0.3">
      <c r="B468" t="s">
        <v>530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  <c r="BL468">
        <v>1</v>
      </c>
    </row>
    <row r="469" spans="1:64" x14ac:dyDescent="0.3">
      <c r="B469" t="s">
        <v>531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  <c r="BL469">
        <v>2</v>
      </c>
    </row>
    <row r="470" spans="1:64" x14ac:dyDescent="0.3">
      <c r="B470" t="s">
        <v>536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  <c r="BL470">
        <v>3</v>
      </c>
    </row>
    <row r="471" spans="1:64" x14ac:dyDescent="0.3">
      <c r="B471" t="s">
        <v>537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  <c r="BL471">
        <v>2</v>
      </c>
    </row>
    <row r="472" spans="1:64" x14ac:dyDescent="0.3">
      <c r="B472" t="s">
        <v>538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  <c r="BL472">
        <v>2</v>
      </c>
    </row>
    <row r="473" spans="1:64" x14ac:dyDescent="0.3">
      <c r="B473" t="s">
        <v>539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  <c r="BL473">
        <v>3</v>
      </c>
    </row>
    <row r="474" spans="1:64" x14ac:dyDescent="0.3">
      <c r="A474" t="s">
        <v>540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  <c r="BL474">
        <v>1</v>
      </c>
    </row>
    <row r="475" spans="1:64" x14ac:dyDescent="0.3">
      <c r="B475" t="s">
        <v>541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  <c r="BL475">
        <v>1</v>
      </c>
    </row>
    <row r="476" spans="1:64" x14ac:dyDescent="0.3">
      <c r="B476" t="s">
        <v>542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  <c r="BL476">
        <v>1</v>
      </c>
    </row>
    <row r="477" spans="1:64" x14ac:dyDescent="0.3">
      <c r="A477" t="s">
        <v>543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  <c r="BL477">
        <v>1</v>
      </c>
    </row>
    <row r="478" spans="1:64" x14ac:dyDescent="0.3">
      <c r="B478" t="s">
        <v>544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  <c r="BL478">
        <v>3</v>
      </c>
    </row>
    <row r="479" spans="1:64" x14ac:dyDescent="0.3">
      <c r="A479" t="s">
        <v>561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1</v>
      </c>
    </row>
    <row r="480" spans="1:64" x14ac:dyDescent="0.3">
      <c r="B480" t="s">
        <v>562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1</v>
      </c>
    </row>
    <row r="481" spans="2:64" x14ac:dyDescent="0.3">
      <c r="B481" t="s">
        <v>563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</v>
      </c>
    </row>
    <row r="482" spans="2:64" x14ac:dyDescent="0.3">
      <c r="B482" t="s">
        <v>564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1</v>
      </c>
    </row>
    <row r="483" spans="2:64" x14ac:dyDescent="0.3">
      <c r="B483" t="s">
        <v>565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2020-03-22T14:54:36Z</dcterms:modified>
</cp:coreProperties>
</file>