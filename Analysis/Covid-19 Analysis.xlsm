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47B35E9C-09AB-4564-88BD-3D6FC49B1663}" xr6:coauthVersionLast="45" xr6:coauthVersionMax="45" xr10:uidLastSave="{00000000-0000-0000-0000-000000000000}"/>
  <bookViews>
    <workbookView xWindow="-28920" yWindow="-11415" windowWidth="29040" windowHeight="16440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Deaths_since_10" sheetId="23" r:id="rId7"/>
    <sheet name="Country_Data" sheetId="14" r:id="rId8"/>
    <sheet name="CumulativeConfirmed" sheetId="3" state="hidden" r:id="rId9"/>
    <sheet name="CumulativeActive" sheetId="22" state="hidden" r:id="rId10"/>
    <sheet name="CumulativeRecovered" sheetId="18" state="hidden" r:id="rId11"/>
    <sheet name="CumulativeDead" sheetId="19" state="hidden" r:id="rId12"/>
    <sheet name="RecoveredRaw" sheetId="17" state="hidden" r:id="rId13"/>
    <sheet name="DeadRaw" sheetId="16" state="hidden" r:id="rId14"/>
    <sheet name="ConfirmedRaw" sheetId="2" state="hidden" r:id="rId15"/>
  </sheets>
  <definedNames>
    <definedName name="_xlnm._FilterDatabase" localSheetId="1" hidden="1">Country_Rates!$C$3:$M$3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5" hidden="1">Days_Since_100_active!$A$1:$KU$1</definedName>
    <definedName name="_xlnm._FilterDatabase" localSheetId="6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image_jpg">Projections!$A$1:$U$53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3" l="1" a="1"/>
  <c r="B6" i="23" s="1"/>
  <c r="C6" i="23"/>
  <c r="D6" i="23"/>
  <c r="B7" i="23" a="1"/>
  <c r="B7" i="23" s="1"/>
  <c r="C7" i="23"/>
  <c r="D7" i="23"/>
  <c r="B8" i="23" a="1"/>
  <c r="B8" i="23" s="1"/>
  <c r="C8" i="23"/>
  <c r="D8" i="23"/>
  <c r="B9" i="23" a="1"/>
  <c r="B9" i="23" s="1"/>
  <c r="C9" i="23"/>
  <c r="D9" i="23"/>
  <c r="B10" i="23" a="1"/>
  <c r="B10" i="23" s="1"/>
  <c r="C10" i="23"/>
  <c r="D10" i="23"/>
  <c r="B11" i="23" a="1"/>
  <c r="B11" i="23" s="1"/>
  <c r="C11" i="23"/>
  <c r="D11" i="23"/>
  <c r="B12" i="23" a="1"/>
  <c r="B12" i="23" s="1"/>
  <c r="C12" i="23"/>
  <c r="D12" i="23"/>
  <c r="B13" i="23" a="1"/>
  <c r="B13" i="23" s="1"/>
  <c r="C13" i="23"/>
  <c r="D13" i="23"/>
  <c r="B14" i="23" a="1"/>
  <c r="B14" i="23" s="1"/>
  <c r="C14" i="23"/>
  <c r="D14" i="23"/>
  <c r="C15" i="23"/>
  <c r="B15" i="23" s="1" a="1"/>
  <c r="B15" i="23" s="1"/>
  <c r="D15" i="23"/>
  <c r="B16" i="23" a="1"/>
  <c r="B16" i="23" s="1"/>
  <c r="C16" i="23"/>
  <c r="D16" i="23"/>
  <c r="C17" i="23"/>
  <c r="B17" i="23" s="1" a="1"/>
  <c r="B17" i="23" s="1"/>
  <c r="D17" i="23"/>
  <c r="B18" i="23" a="1"/>
  <c r="B18" i="23" s="1"/>
  <c r="C18" i="23"/>
  <c r="D18" i="23"/>
  <c r="B19" i="23" a="1"/>
  <c r="B19" i="23" s="1"/>
  <c r="C19" i="23"/>
  <c r="D19" i="23"/>
  <c r="C20" i="23"/>
  <c r="B20" i="23" s="1" a="1"/>
  <c r="B20" i="23" s="1"/>
  <c r="D20" i="23"/>
  <c r="B21" i="23" a="1"/>
  <c r="B21" i="23" s="1"/>
  <c r="C21" i="23"/>
  <c r="D21" i="23"/>
  <c r="B22" i="23" a="1"/>
  <c r="B22" i="23" s="1"/>
  <c r="C22" i="23"/>
  <c r="D22" i="23"/>
  <c r="C23" i="23"/>
  <c r="B23" i="23" s="1" a="1"/>
  <c r="B23" i="23" s="1"/>
  <c r="D23" i="23"/>
  <c r="B24" i="23" a="1"/>
  <c r="B24" i="23" s="1"/>
  <c r="C24" i="23"/>
  <c r="D24" i="23"/>
  <c r="C25" i="23"/>
  <c r="B25" i="23" s="1" a="1"/>
  <c r="B25" i="23" s="1"/>
  <c r="D25" i="23"/>
  <c r="B26" i="23" a="1"/>
  <c r="B26" i="23" s="1"/>
  <c r="C26" i="23"/>
  <c r="D26" i="23"/>
  <c r="B27" i="23" a="1"/>
  <c r="B27" i="23" s="1"/>
  <c r="C27" i="23"/>
  <c r="D27" i="23"/>
  <c r="C28" i="23"/>
  <c r="B28" i="23" s="1" a="1"/>
  <c r="B28" i="23" s="1"/>
  <c r="D28" i="23"/>
  <c r="B29" i="23" a="1"/>
  <c r="B29" i="23" s="1"/>
  <c r="C29" i="23"/>
  <c r="D29" i="23"/>
  <c r="B30" i="23" a="1"/>
  <c r="B30" i="23" s="1"/>
  <c r="C30" i="23"/>
  <c r="D30" i="23"/>
  <c r="C31" i="23"/>
  <c r="B31" i="23" s="1" a="1"/>
  <c r="B31" i="23" s="1"/>
  <c r="D31" i="23"/>
  <c r="B32" i="23" a="1"/>
  <c r="B32" i="23" s="1"/>
  <c r="C32" i="23"/>
  <c r="D32" i="23"/>
  <c r="C33" i="23"/>
  <c r="B33" i="23" s="1" a="1"/>
  <c r="B33" i="23" s="1"/>
  <c r="D33" i="23"/>
  <c r="B34" i="23" a="1"/>
  <c r="B34" i="23" s="1"/>
  <c r="C34" i="23"/>
  <c r="D34" i="23"/>
  <c r="B35" i="23" a="1"/>
  <c r="B35" i="23" s="1"/>
  <c r="C35" i="23"/>
  <c r="D35" i="23"/>
  <c r="C36" i="23"/>
  <c r="B36" i="23" s="1" a="1"/>
  <c r="B36" i="23" s="1"/>
  <c r="D36" i="23"/>
  <c r="B37" i="23" a="1"/>
  <c r="B37" i="23" s="1"/>
  <c r="C37" i="23"/>
  <c r="D37" i="23"/>
  <c r="B38" i="23" a="1"/>
  <c r="B38" i="23" s="1"/>
  <c r="C38" i="23"/>
  <c r="D38" i="23"/>
  <c r="C39" i="23"/>
  <c r="B39" i="23" s="1" a="1"/>
  <c r="B39" i="23" s="1"/>
  <c r="D39" i="23"/>
  <c r="E39" i="23"/>
  <c r="F39" i="23"/>
  <c r="G39" i="23"/>
  <c r="B40" i="23" a="1"/>
  <c r="B40" i="23" s="1"/>
  <c r="C40" i="23"/>
  <c r="D40" i="23"/>
  <c r="E40" i="23"/>
  <c r="F40" i="23"/>
  <c r="G40" i="23"/>
  <c r="C41" i="23"/>
  <c r="B41" i="23" s="1" a="1"/>
  <c r="B41" i="23" s="1"/>
  <c r="D41" i="23"/>
  <c r="E41" i="23"/>
  <c r="F41" i="23"/>
  <c r="G41" i="23"/>
  <c r="B42" i="23" a="1"/>
  <c r="B42" i="23" s="1"/>
  <c r="C42" i="23"/>
  <c r="D42" i="23"/>
  <c r="E42" i="23"/>
  <c r="F42" i="23"/>
  <c r="G42" i="23"/>
  <c r="B43" i="23" a="1"/>
  <c r="B43" i="23" s="1"/>
  <c r="C43" i="23"/>
  <c r="D43" i="23"/>
  <c r="E43" i="23"/>
  <c r="F43" i="23"/>
  <c r="G43" i="23"/>
  <c r="C44" i="23"/>
  <c r="B44" i="23" s="1" a="1"/>
  <c r="B44" i="23" s="1"/>
  <c r="D44" i="23"/>
  <c r="E44" i="23"/>
  <c r="F44" i="23"/>
  <c r="G44" i="23"/>
  <c r="B45" i="23" a="1"/>
  <c r="B45" i="23" s="1"/>
  <c r="C45" i="23"/>
  <c r="D45" i="23"/>
  <c r="E45" i="23"/>
  <c r="F45" i="23"/>
  <c r="G45" i="23"/>
  <c r="B46" i="23" a="1"/>
  <c r="B46" i="23" s="1"/>
  <c r="C46" i="23"/>
  <c r="D46" i="23"/>
  <c r="E46" i="23"/>
  <c r="F46" i="23"/>
  <c r="G46" i="23"/>
  <c r="C47" i="23"/>
  <c r="B47" i="23" s="1" a="1"/>
  <c r="B47" i="23" s="1"/>
  <c r="D47" i="23"/>
  <c r="E47" i="23"/>
  <c r="F47" i="23"/>
  <c r="G47" i="23"/>
  <c r="B48" i="23" a="1"/>
  <c r="B48" i="23" s="1"/>
  <c r="C48" i="23"/>
  <c r="D48" i="23"/>
  <c r="E48" i="23"/>
  <c r="F48" i="23"/>
  <c r="G48" i="23"/>
  <c r="C49" i="23"/>
  <c r="B49" i="23" s="1" a="1"/>
  <c r="B49" i="23" s="1"/>
  <c r="D49" i="23"/>
  <c r="E49" i="23"/>
  <c r="F49" i="23"/>
  <c r="G49" i="23"/>
  <c r="B50" i="23" a="1"/>
  <c r="B50" i="23" s="1"/>
  <c r="C50" i="23"/>
  <c r="D50" i="23"/>
  <c r="E50" i="23"/>
  <c r="F50" i="23"/>
  <c r="G50" i="23"/>
  <c r="B51" i="23" a="1"/>
  <c r="B51" i="23" s="1"/>
  <c r="C51" i="23"/>
  <c r="D51" i="23"/>
  <c r="E51" i="23"/>
  <c r="F51" i="23"/>
  <c r="G51" i="23"/>
  <c r="C52" i="23"/>
  <c r="B52" i="23" s="1" a="1"/>
  <c r="B52" i="23" s="1"/>
  <c r="D52" i="23"/>
  <c r="E52" i="23"/>
  <c r="F52" i="23"/>
  <c r="G52" i="23"/>
  <c r="B53" i="23" a="1"/>
  <c r="B53" i="23" s="1"/>
  <c r="C53" i="23"/>
  <c r="D53" i="23"/>
  <c r="E53" i="23"/>
  <c r="F53" i="23"/>
  <c r="G53" i="23"/>
  <c r="B54" i="23" a="1"/>
  <c r="B54" i="23" s="1"/>
  <c r="C54" i="23"/>
  <c r="D54" i="23"/>
  <c r="E54" i="23"/>
  <c r="F54" i="23"/>
  <c r="G54" i="23"/>
  <c r="C55" i="23"/>
  <c r="B55" i="23" s="1" a="1"/>
  <c r="B55" i="23" s="1"/>
  <c r="D55" i="23"/>
  <c r="E55" i="23"/>
  <c r="F55" i="23"/>
  <c r="G55" i="23"/>
  <c r="B56" i="23" a="1"/>
  <c r="B56" i="23" s="1"/>
  <c r="C56" i="23"/>
  <c r="D56" i="23"/>
  <c r="E56" i="23"/>
  <c r="F56" i="23"/>
  <c r="G56" i="23"/>
  <c r="C57" i="23"/>
  <c r="B57" i="23" s="1" a="1"/>
  <c r="B57" i="23" s="1"/>
  <c r="D57" i="23"/>
  <c r="E57" i="23"/>
  <c r="F57" i="23"/>
  <c r="G57" i="23"/>
  <c r="B58" i="23" a="1"/>
  <c r="B58" i="23" s="1"/>
  <c r="C58" i="23"/>
  <c r="D58" i="23"/>
  <c r="E58" i="23"/>
  <c r="F58" i="23"/>
  <c r="G58" i="23"/>
  <c r="B59" i="23" a="1"/>
  <c r="B59" i="23" s="1"/>
  <c r="C59" i="23"/>
  <c r="D59" i="23"/>
  <c r="E59" i="23"/>
  <c r="F59" i="23"/>
  <c r="G59" i="23"/>
  <c r="C60" i="23"/>
  <c r="B60" i="23" s="1" a="1"/>
  <c r="B60" i="23" s="1"/>
  <c r="D60" i="23"/>
  <c r="E60" i="23"/>
  <c r="F60" i="23"/>
  <c r="G60" i="23"/>
  <c r="B61" i="23" a="1"/>
  <c r="B61" i="23" s="1"/>
  <c r="C61" i="23"/>
  <c r="D61" i="23"/>
  <c r="E61" i="23"/>
  <c r="F61" i="23"/>
  <c r="G61" i="23"/>
  <c r="B62" i="23" a="1"/>
  <c r="B62" i="23" s="1"/>
  <c r="C62" i="23"/>
  <c r="D62" i="23"/>
  <c r="E62" i="23"/>
  <c r="F62" i="23"/>
  <c r="G62" i="23"/>
  <c r="C63" i="23"/>
  <c r="B63" i="23" s="1" a="1"/>
  <c r="B63" i="23" s="1"/>
  <c r="D63" i="23"/>
  <c r="E63" i="23"/>
  <c r="F63" i="23"/>
  <c r="G63" i="23"/>
  <c r="B64" i="23" a="1"/>
  <c r="B64" i="23" s="1"/>
  <c r="C64" i="23"/>
  <c r="D64" i="23"/>
  <c r="E64" i="23"/>
  <c r="F64" i="23"/>
  <c r="G64" i="23"/>
  <c r="C65" i="23"/>
  <c r="B65" i="23" s="1" a="1"/>
  <c r="B65" i="23" s="1"/>
  <c r="D65" i="23"/>
  <c r="E65" i="23"/>
  <c r="F65" i="23"/>
  <c r="G65" i="23"/>
  <c r="B66" i="23" a="1"/>
  <c r="B66" i="23" s="1"/>
  <c r="C66" i="23"/>
  <c r="D66" i="23"/>
  <c r="E66" i="23"/>
  <c r="F66" i="23"/>
  <c r="G66" i="23"/>
  <c r="B67" i="23" a="1"/>
  <c r="B67" i="23" s="1"/>
  <c r="C67" i="23"/>
  <c r="D67" i="23"/>
  <c r="E67" i="23"/>
  <c r="F67" i="23"/>
  <c r="G67" i="23"/>
  <c r="C68" i="23"/>
  <c r="B68" i="23" s="1" a="1"/>
  <c r="B68" i="23" s="1"/>
  <c r="D68" i="23"/>
  <c r="E68" i="23"/>
  <c r="F68" i="23"/>
  <c r="G68" i="23"/>
  <c r="B69" i="23" a="1"/>
  <c r="B69" i="23" s="1"/>
  <c r="C69" i="23"/>
  <c r="D69" i="23"/>
  <c r="E69" i="23"/>
  <c r="F69" i="23"/>
  <c r="G69" i="23"/>
  <c r="B70" i="23" a="1"/>
  <c r="B70" i="23" s="1"/>
  <c r="C70" i="23"/>
  <c r="D70" i="23"/>
  <c r="E70" i="23"/>
  <c r="F70" i="23"/>
  <c r="G70" i="23"/>
  <c r="C71" i="23"/>
  <c r="B71" i="23" s="1" a="1"/>
  <c r="B71" i="23" s="1"/>
  <c r="D71" i="23"/>
  <c r="E71" i="23"/>
  <c r="F71" i="23"/>
  <c r="G71" i="23"/>
  <c r="B72" i="23" a="1"/>
  <c r="B72" i="23" s="1"/>
  <c r="C72" i="23"/>
  <c r="D72" i="23"/>
  <c r="E72" i="23"/>
  <c r="F72" i="23"/>
  <c r="G72" i="23"/>
  <c r="C73" i="23"/>
  <c r="B73" i="23" s="1" a="1"/>
  <c r="B73" i="23" s="1"/>
  <c r="D73" i="23"/>
  <c r="E73" i="23"/>
  <c r="F73" i="23"/>
  <c r="G73" i="23"/>
  <c r="B74" i="23" a="1"/>
  <c r="B74" i="23" s="1"/>
  <c r="C74" i="23"/>
  <c r="D74" i="23"/>
  <c r="E74" i="23"/>
  <c r="F74" i="23"/>
  <c r="G74" i="23"/>
  <c r="B75" i="23" a="1"/>
  <c r="B75" i="23" s="1"/>
  <c r="C75" i="23"/>
  <c r="D75" i="23"/>
  <c r="E75" i="23"/>
  <c r="F75" i="23"/>
  <c r="G75" i="23"/>
  <c r="C76" i="23"/>
  <c r="B76" i="23" s="1" a="1"/>
  <c r="B76" i="23" s="1"/>
  <c r="D76" i="23"/>
  <c r="E76" i="23"/>
  <c r="F76" i="23"/>
  <c r="G76" i="23"/>
  <c r="B77" i="23" a="1"/>
  <c r="B77" i="23" s="1"/>
  <c r="C77" i="23"/>
  <c r="D77" i="23"/>
  <c r="E77" i="23"/>
  <c r="F77" i="23"/>
  <c r="G77" i="23"/>
  <c r="B78" i="23" a="1"/>
  <c r="B78" i="23" s="1"/>
  <c r="C78" i="23"/>
  <c r="D78" i="23"/>
  <c r="E78" i="23"/>
  <c r="F78" i="23"/>
  <c r="G78" i="23"/>
  <c r="C79" i="23"/>
  <c r="B79" i="23" s="1" a="1"/>
  <c r="B79" i="23" s="1"/>
  <c r="D79" i="23"/>
  <c r="E79" i="23"/>
  <c r="F79" i="23"/>
  <c r="G79" i="23"/>
  <c r="B80" i="23" a="1"/>
  <c r="B80" i="23" s="1"/>
  <c r="C80" i="23"/>
  <c r="D80" i="23"/>
  <c r="E80" i="23"/>
  <c r="F80" i="23"/>
  <c r="G80" i="23"/>
  <c r="C81" i="23"/>
  <c r="B81" i="23" s="1" a="1"/>
  <c r="B81" i="23" s="1"/>
  <c r="D81" i="23"/>
  <c r="E81" i="23"/>
  <c r="F81" i="23"/>
  <c r="G81" i="23"/>
  <c r="B82" i="23" a="1"/>
  <c r="B82" i="23" s="1"/>
  <c r="C82" i="23"/>
  <c r="D82" i="23"/>
  <c r="E82" i="23"/>
  <c r="F82" i="23"/>
  <c r="G82" i="23"/>
  <c r="B83" i="23" a="1"/>
  <c r="B83" i="23" s="1"/>
  <c r="C83" i="23"/>
  <c r="D83" i="23"/>
  <c r="E83" i="23"/>
  <c r="F83" i="23"/>
  <c r="G83" i="23"/>
  <c r="C84" i="23"/>
  <c r="B84" i="23" s="1" a="1"/>
  <c r="B84" i="23" s="1"/>
  <c r="D84" i="23"/>
  <c r="E84" i="23"/>
  <c r="F84" i="23"/>
  <c r="G84" i="23"/>
  <c r="B85" i="23" a="1"/>
  <c r="B85" i="23" s="1"/>
  <c r="C85" i="23"/>
  <c r="D85" i="23"/>
  <c r="E85" i="23"/>
  <c r="F85" i="23"/>
  <c r="G85" i="23"/>
  <c r="B86" i="23" a="1"/>
  <c r="B86" i="23" s="1"/>
  <c r="C86" i="23"/>
  <c r="D86" i="23"/>
  <c r="E86" i="23"/>
  <c r="F86" i="23"/>
  <c r="G86" i="23"/>
  <c r="C87" i="23"/>
  <c r="B87" i="23" s="1" a="1"/>
  <c r="B87" i="23" s="1"/>
  <c r="D87" i="23"/>
  <c r="E87" i="23"/>
  <c r="F87" i="23"/>
  <c r="G87" i="23"/>
  <c r="B88" i="23" a="1"/>
  <c r="B88" i="23" s="1"/>
  <c r="C88" i="23"/>
  <c r="D88" i="23"/>
  <c r="E88" i="23"/>
  <c r="F88" i="23"/>
  <c r="G88" i="23"/>
  <c r="C89" i="23"/>
  <c r="B89" i="23" s="1" a="1"/>
  <c r="B89" i="23" s="1"/>
  <c r="D89" i="23"/>
  <c r="E89" i="23"/>
  <c r="F89" i="23"/>
  <c r="G89" i="23"/>
  <c r="B90" i="23" a="1"/>
  <c r="B90" i="23" s="1"/>
  <c r="C90" i="23"/>
  <c r="D90" i="23"/>
  <c r="E90" i="23"/>
  <c r="F90" i="23"/>
  <c r="G90" i="23"/>
  <c r="B91" i="23" a="1"/>
  <c r="B91" i="23" s="1"/>
  <c r="C91" i="23"/>
  <c r="D91" i="23"/>
  <c r="E91" i="23"/>
  <c r="F91" i="23"/>
  <c r="G91" i="23"/>
  <c r="B92" i="23" a="1"/>
  <c r="B92" i="23" s="1"/>
  <c r="C92" i="23"/>
  <c r="D92" i="23"/>
  <c r="E92" i="23"/>
  <c r="F92" i="23"/>
  <c r="G92" i="23"/>
  <c r="B93" i="23" a="1"/>
  <c r="B93" i="23" s="1"/>
  <c r="C93" i="23"/>
  <c r="D93" i="23"/>
  <c r="E93" i="23"/>
  <c r="F93" i="23"/>
  <c r="G93" i="23"/>
  <c r="B94" i="23" a="1"/>
  <c r="B94" i="23" s="1"/>
  <c r="C94" i="23"/>
  <c r="D94" i="23"/>
  <c r="E94" i="23"/>
  <c r="F94" i="23"/>
  <c r="G94" i="23"/>
  <c r="B95" i="23" a="1"/>
  <c r="B95" i="23" s="1"/>
  <c r="C95" i="23"/>
  <c r="D95" i="23"/>
  <c r="E95" i="23"/>
  <c r="F95" i="23"/>
  <c r="G95" i="23"/>
  <c r="B96" i="23" a="1"/>
  <c r="B96" i="23" s="1"/>
  <c r="C96" i="23"/>
  <c r="D96" i="23"/>
  <c r="E96" i="23"/>
  <c r="F96" i="23"/>
  <c r="G96" i="23"/>
  <c r="B97" i="23" a="1"/>
  <c r="B97" i="23" s="1"/>
  <c r="C97" i="23"/>
  <c r="D97" i="23"/>
  <c r="E97" i="23"/>
  <c r="F97" i="23"/>
  <c r="G97" i="23"/>
  <c r="B98" i="23" a="1"/>
  <c r="B98" i="23" s="1"/>
  <c r="C98" i="23"/>
  <c r="D98" i="23"/>
  <c r="E98" i="23"/>
  <c r="F98" i="23"/>
  <c r="G98" i="23"/>
  <c r="B99" i="23" a="1"/>
  <c r="B99" i="23" s="1"/>
  <c r="C99" i="23"/>
  <c r="D99" i="23"/>
  <c r="E99" i="23"/>
  <c r="F99" i="23"/>
  <c r="G99" i="23"/>
  <c r="B100" i="23" a="1"/>
  <c r="B100" i="23" s="1"/>
  <c r="C100" i="23"/>
  <c r="D100" i="23"/>
  <c r="E100" i="23"/>
  <c r="F100" i="23"/>
  <c r="G100" i="23"/>
  <c r="B101" i="23" a="1"/>
  <c r="B101" i="23" s="1"/>
  <c r="C101" i="23"/>
  <c r="D101" i="23"/>
  <c r="E101" i="23"/>
  <c r="F101" i="23"/>
  <c r="G101" i="23"/>
  <c r="B102" i="23" a="1"/>
  <c r="B102" i="23" s="1"/>
  <c r="C102" i="23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 s="1"/>
  <c r="C104" i="23"/>
  <c r="D104" i="23"/>
  <c r="E104" i="23"/>
  <c r="F104" i="23"/>
  <c r="G104" i="23"/>
  <c r="B105" i="23" a="1"/>
  <c r="B105" i="23" s="1"/>
  <c r="C105" i="23"/>
  <c r="D105" i="23"/>
  <c r="E105" i="23"/>
  <c r="F105" i="23"/>
  <c r="G105" i="23"/>
  <c r="B106" i="23" a="1"/>
  <c r="B106" i="23" s="1"/>
  <c r="C106" i="23"/>
  <c r="D106" i="23"/>
  <c r="E106" i="23"/>
  <c r="F106" i="23"/>
  <c r="G106" i="23"/>
  <c r="B107" i="23" a="1"/>
  <c r="B107" i="23" s="1"/>
  <c r="C107" i="23"/>
  <c r="D107" i="23"/>
  <c r="E107" i="23"/>
  <c r="F107" i="23"/>
  <c r="G107" i="23"/>
  <c r="B108" i="23" a="1"/>
  <c r="B108" i="23" s="1"/>
  <c r="C108" i="23"/>
  <c r="D108" i="23"/>
  <c r="E108" i="23"/>
  <c r="F108" i="23"/>
  <c r="G108" i="23"/>
  <c r="B109" i="23" a="1"/>
  <c r="B109" i="23" s="1"/>
  <c r="C109" i="23"/>
  <c r="D109" i="23"/>
  <c r="E109" i="23"/>
  <c r="F109" i="23"/>
  <c r="G109" i="23"/>
  <c r="B110" i="23" a="1"/>
  <c r="B110" i="23" s="1"/>
  <c r="C110" i="23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 s="1"/>
  <c r="C112" i="23"/>
  <c r="D112" i="23"/>
  <c r="E112" i="23"/>
  <c r="F112" i="23"/>
  <c r="G112" i="23"/>
  <c r="B113" i="23" a="1"/>
  <c r="B113" i="23" s="1"/>
  <c r="C113" i="23"/>
  <c r="D113" i="23"/>
  <c r="E113" i="23"/>
  <c r="F113" i="23"/>
  <c r="G113" i="23"/>
  <c r="B114" i="23" a="1"/>
  <c r="B114" i="23" s="1"/>
  <c r="C114" i="23"/>
  <c r="D114" i="23"/>
  <c r="E114" i="23"/>
  <c r="F114" i="23"/>
  <c r="G114" i="23"/>
  <c r="B115" i="23" a="1"/>
  <c r="B115" i="23" s="1"/>
  <c r="C115" i="23"/>
  <c r="D115" i="23"/>
  <c r="E115" i="23"/>
  <c r="F115" i="23"/>
  <c r="G115" i="23"/>
  <c r="B116" i="23" a="1"/>
  <c r="B116" i="23" s="1"/>
  <c r="C116" i="23"/>
  <c r="D116" i="23"/>
  <c r="E116" i="23"/>
  <c r="F116" i="23"/>
  <c r="G116" i="23"/>
  <c r="B117" i="23" a="1"/>
  <c r="B117" i="23" s="1"/>
  <c r="C117" i="23"/>
  <c r="D117" i="23"/>
  <c r="E117" i="23"/>
  <c r="F117" i="23"/>
  <c r="G117" i="23"/>
  <c r="B118" i="23" a="1"/>
  <c r="B118" i="23" s="1"/>
  <c r="C118" i="23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 s="1"/>
  <c r="C120" i="23"/>
  <c r="D120" i="23"/>
  <c r="E120" i="23"/>
  <c r="F120" i="23"/>
  <c r="G120" i="23"/>
  <c r="B121" i="23" a="1"/>
  <c r="B121" i="23" s="1"/>
  <c r="C121" i="23"/>
  <c r="D121" i="23"/>
  <c r="E121" i="23"/>
  <c r="F121" i="23"/>
  <c r="G121" i="23"/>
  <c r="B122" i="23" a="1"/>
  <c r="B122" i="23" s="1"/>
  <c r="C122" i="23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 s="1"/>
  <c r="C124" i="23"/>
  <c r="D124" i="23"/>
  <c r="E124" i="23"/>
  <c r="F124" i="23"/>
  <c r="G124" i="23"/>
  <c r="B125" i="23" a="1"/>
  <c r="B125" i="23" s="1"/>
  <c r="C125" i="23"/>
  <c r="D125" i="23"/>
  <c r="E125" i="23"/>
  <c r="F125" i="23"/>
  <c r="G125" i="23"/>
  <c r="B126" i="23" a="1"/>
  <c r="B126" i="23" s="1"/>
  <c r="C126" i="23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 s="1"/>
  <c r="C128" i="23"/>
  <c r="D128" i="23"/>
  <c r="E128" i="23"/>
  <c r="F128" i="23"/>
  <c r="G128" i="23"/>
  <c r="B129" i="23" a="1"/>
  <c r="B129" i="23" s="1"/>
  <c r="C129" i="23"/>
  <c r="D129" i="23"/>
  <c r="E129" i="23"/>
  <c r="F129" i="23"/>
  <c r="G129" i="23"/>
  <c r="B130" i="23" a="1"/>
  <c r="B130" i="23" s="1"/>
  <c r="C130" i="23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B135" i="23" a="1"/>
  <c r="B135" i="23" s="1"/>
  <c r="C135" i="23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B139" i="23" a="1"/>
  <c r="B139" i="23" s="1"/>
  <c r="C139" i="23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B151" i="23" a="1"/>
  <c r="B151" i="23" s="1"/>
  <c r="C151" i="23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C55" i="21"/>
  <c r="B55" i="21" s="1" a="1"/>
  <c r="B55" i="21" s="1"/>
  <c r="D55" i="21"/>
  <c r="C56" i="21"/>
  <c r="B56" i="21" s="1" a="1"/>
  <c r="B56" i="21" s="1"/>
  <c r="D56" i="21"/>
  <c r="C57" i="21"/>
  <c r="B57" i="21" s="1" a="1"/>
  <c r="B57" i="21" s="1"/>
  <c r="D57" i="21"/>
  <c r="C58" i="21"/>
  <c r="B58" i="21" s="1" a="1"/>
  <c r="B58" i="21" s="1"/>
  <c r="D58" i="21"/>
  <c r="C59" i="21"/>
  <c r="B59" i="21" s="1" a="1"/>
  <c r="B59" i="21" s="1"/>
  <c r="D59" i="21"/>
  <c r="C60" i="21"/>
  <c r="B60" i="21" s="1" a="1"/>
  <c r="B60" i="21" s="1"/>
  <c r="D60" i="21"/>
  <c r="C61" i="21"/>
  <c r="B61" i="21" s="1" a="1"/>
  <c r="B61" i="21" s="1"/>
  <c r="D61" i="21"/>
  <c r="C62" i="21"/>
  <c r="B62" i="21" s="1" a="1"/>
  <c r="B62" i="21" s="1"/>
  <c r="D62" i="21"/>
  <c r="C63" i="21"/>
  <c r="B63" i="21" s="1" a="1"/>
  <c r="B63" i="21" s="1"/>
  <c r="D63" i="21"/>
  <c r="C64" i="21"/>
  <c r="B64" i="21" s="1" a="1"/>
  <c r="B64" i="21" s="1"/>
  <c r="D64" i="21"/>
  <c r="C65" i="21"/>
  <c r="B65" i="21" s="1" a="1"/>
  <c r="B65" i="21" s="1"/>
  <c r="D65" i="21"/>
  <c r="C66" i="21"/>
  <c r="B66" i="21" s="1" a="1"/>
  <c r="B66" i="21" s="1"/>
  <c r="D66" i="21"/>
  <c r="C67" i="21"/>
  <c r="B67" i="21" s="1" a="1"/>
  <c r="B67" i="21" s="1"/>
  <c r="D67" i="21"/>
  <c r="C68" i="21"/>
  <c r="B68" i="21" s="1" a="1"/>
  <c r="B68" i="21" s="1"/>
  <c r="D68" i="21"/>
  <c r="C69" i="21"/>
  <c r="B69" i="21" s="1" a="1"/>
  <c r="B69" i="21" s="1"/>
  <c r="D69" i="21"/>
  <c r="C70" i="21"/>
  <c r="B70" i="21" s="1" a="1"/>
  <c r="B70" i="21" s="1"/>
  <c r="D70" i="21"/>
  <c r="C71" i="21"/>
  <c r="B71" i="21" s="1" a="1"/>
  <c r="B71" i="21" s="1"/>
  <c r="D71" i="21"/>
  <c r="C72" i="21"/>
  <c r="B72" i="21" s="1" a="1"/>
  <c r="B72" i="21" s="1"/>
  <c r="D72" i="21"/>
  <c r="C73" i="21"/>
  <c r="B73" i="21" s="1" a="1"/>
  <c r="B73" i="21" s="1"/>
  <c r="D73" i="21"/>
  <c r="C74" i="21"/>
  <c r="B74" i="21" s="1" a="1"/>
  <c r="B74" i="21" s="1"/>
  <c r="D74" i="21"/>
  <c r="C75" i="21"/>
  <c r="B75" i="21" s="1" a="1"/>
  <c r="B75" i="21" s="1"/>
  <c r="D75" i="21"/>
  <c r="C76" i="21"/>
  <c r="B76" i="21" s="1" a="1"/>
  <c r="B76" i="21" s="1"/>
  <c r="D76" i="21"/>
  <c r="C77" i="21"/>
  <c r="B77" i="21" s="1" a="1"/>
  <c r="B77" i="21" s="1"/>
  <c r="D77" i="21"/>
  <c r="C78" i="21"/>
  <c r="B78" i="21" s="1" a="1"/>
  <c r="B78" i="21" s="1"/>
  <c r="D78" i="21"/>
  <c r="C79" i="21"/>
  <c r="B79" i="21" s="1" a="1"/>
  <c r="B79" i="21" s="1"/>
  <c r="D79" i="21"/>
  <c r="C80" i="21"/>
  <c r="B80" i="21" s="1" a="1"/>
  <c r="B80" i="21" s="1"/>
  <c r="D80" i="21"/>
  <c r="B81" i="21" a="1"/>
  <c r="B81" i="21" s="1"/>
  <c r="C81" i="21"/>
  <c r="D81" i="21"/>
  <c r="B82" i="21" a="1"/>
  <c r="B82" i="21" s="1"/>
  <c r="C82" i="21"/>
  <c r="D82" i="21"/>
  <c r="B83" i="21" a="1"/>
  <c r="B83" i="21" s="1"/>
  <c r="C83" i="21"/>
  <c r="D83" i="21"/>
  <c r="C84" i="21"/>
  <c r="B84" i="21" s="1" a="1"/>
  <c r="B84" i="21" s="1"/>
  <c r="D84" i="21"/>
  <c r="B85" i="21" a="1"/>
  <c r="B85" i="21" s="1"/>
  <c r="C85" i="21"/>
  <c r="D85" i="21"/>
  <c r="B86" i="21" a="1"/>
  <c r="B86" i="21" s="1"/>
  <c r="C86" i="21"/>
  <c r="D86" i="21"/>
  <c r="B87" i="21" a="1"/>
  <c r="B87" i="21" s="1"/>
  <c r="C87" i="21"/>
  <c r="D87" i="21"/>
  <c r="E87" i="21"/>
  <c r="F87" i="21"/>
  <c r="G87" i="21"/>
  <c r="C88" i="21"/>
  <c r="B88" i="21" s="1" a="1"/>
  <c r="B88" i="21" s="1"/>
  <c r="D88" i="21"/>
  <c r="E88" i="21"/>
  <c r="F88" i="21"/>
  <c r="G88" i="21"/>
  <c r="B89" i="21" a="1"/>
  <c r="B89" i="21" s="1"/>
  <c r="C89" i="21"/>
  <c r="D89" i="21"/>
  <c r="E89" i="21"/>
  <c r="F89" i="21"/>
  <c r="G89" i="21"/>
  <c r="B90" i="21" a="1"/>
  <c r="B90" i="21" s="1"/>
  <c r="C90" i="21"/>
  <c r="D90" i="21"/>
  <c r="E90" i="21"/>
  <c r="F90" i="21"/>
  <c r="G90" i="21"/>
  <c r="B91" i="21" a="1"/>
  <c r="B91" i="21" s="1"/>
  <c r="C91" i="21"/>
  <c r="D91" i="21"/>
  <c r="E91" i="21"/>
  <c r="F91" i="21"/>
  <c r="G91" i="21"/>
  <c r="B92" i="21" a="1"/>
  <c r="B92" i="21" s="1"/>
  <c r="C92" i="21"/>
  <c r="D92" i="21"/>
  <c r="E92" i="21"/>
  <c r="F92" i="21"/>
  <c r="G92" i="21"/>
  <c r="B93" i="21" a="1"/>
  <c r="B93" i="21" s="1"/>
  <c r="C93" i="21"/>
  <c r="D93" i="21"/>
  <c r="E93" i="21"/>
  <c r="F93" i="21"/>
  <c r="G93" i="21"/>
  <c r="B94" i="21" a="1"/>
  <c r="B94" i="21" s="1"/>
  <c r="C94" i="21"/>
  <c r="D94" i="21"/>
  <c r="E94" i="21"/>
  <c r="F94" i="21"/>
  <c r="G94" i="21"/>
  <c r="B95" i="21" a="1"/>
  <c r="B95" i="21" s="1"/>
  <c r="C95" i="21"/>
  <c r="D95" i="21"/>
  <c r="E95" i="21"/>
  <c r="F95" i="21"/>
  <c r="G95" i="21"/>
  <c r="B96" i="21" a="1"/>
  <c r="B96" i="21" s="1"/>
  <c r="C96" i="21"/>
  <c r="D96" i="21"/>
  <c r="E96" i="21"/>
  <c r="F96" i="21"/>
  <c r="G96" i="21"/>
  <c r="B97" i="21" a="1"/>
  <c r="B97" i="21" s="1"/>
  <c r="C97" i="21"/>
  <c r="D97" i="21"/>
  <c r="E97" i="21"/>
  <c r="F97" i="21"/>
  <c r="G97" i="21"/>
  <c r="B98" i="21" a="1"/>
  <c r="B98" i="21" s="1"/>
  <c r="C98" i="21"/>
  <c r="D98" i="21"/>
  <c r="E98" i="21"/>
  <c r="F98" i="21"/>
  <c r="G98" i="21"/>
  <c r="B99" i="21" a="1"/>
  <c r="B99" i="21" s="1"/>
  <c r="C99" i="21"/>
  <c r="D99" i="21"/>
  <c r="E99" i="21"/>
  <c r="F99" i="21"/>
  <c r="G99" i="21"/>
  <c r="B100" i="21" a="1"/>
  <c r="B100" i="21" s="1"/>
  <c r="C100" i="21"/>
  <c r="D100" i="21"/>
  <c r="E100" i="21"/>
  <c r="F100" i="21"/>
  <c r="G100" i="21"/>
  <c r="B101" i="21" a="1"/>
  <c r="B101" i="21" s="1"/>
  <c r="C101" i="21"/>
  <c r="D101" i="21"/>
  <c r="E101" i="21"/>
  <c r="F101" i="21"/>
  <c r="G101" i="21"/>
  <c r="B102" i="21" a="1"/>
  <c r="B102" i="21" s="1"/>
  <c r="C102" i="21"/>
  <c r="D102" i="21"/>
  <c r="E102" i="21"/>
  <c r="F102" i="21"/>
  <c r="G102" i="21"/>
  <c r="B103" i="21" a="1"/>
  <c r="B103" i="21" s="1"/>
  <c r="C103" i="21"/>
  <c r="D103" i="21"/>
  <c r="E103" i="21"/>
  <c r="F103" i="21"/>
  <c r="G103" i="21"/>
  <c r="B104" i="21" a="1"/>
  <c r="B104" i="21" s="1"/>
  <c r="C104" i="21"/>
  <c r="D104" i="21"/>
  <c r="E104" i="21"/>
  <c r="F104" i="21"/>
  <c r="G104" i="21"/>
  <c r="B105" i="21" a="1"/>
  <c r="B105" i="21" s="1"/>
  <c r="C105" i="21"/>
  <c r="D105" i="21"/>
  <c r="E105" i="21"/>
  <c r="F105" i="21"/>
  <c r="G105" i="21"/>
  <c r="B106" i="21" a="1"/>
  <c r="B106" i="21" s="1"/>
  <c r="C106" i="21"/>
  <c r="D106" i="21"/>
  <c r="E106" i="21"/>
  <c r="F106" i="21"/>
  <c r="G106" i="21"/>
  <c r="B107" i="21" a="1"/>
  <c r="B107" i="21" s="1"/>
  <c r="C107" i="21"/>
  <c r="D107" i="21"/>
  <c r="E107" i="21"/>
  <c r="F107" i="21"/>
  <c r="G107" i="21"/>
  <c r="B108" i="21" a="1"/>
  <c r="B108" i="21" s="1"/>
  <c r="C108" i="21"/>
  <c r="D108" i="21"/>
  <c r="E108" i="21"/>
  <c r="F108" i="21"/>
  <c r="G108" i="21"/>
  <c r="B109" i="21" a="1"/>
  <c r="B109" i="21" s="1"/>
  <c r="C109" i="21"/>
  <c r="D109" i="21"/>
  <c r="E109" i="21"/>
  <c r="F109" i="21"/>
  <c r="G109" i="21"/>
  <c r="B110" i="21" a="1"/>
  <c r="B110" i="21" s="1"/>
  <c r="C110" i="21"/>
  <c r="D110" i="21"/>
  <c r="E110" i="21"/>
  <c r="F110" i="21"/>
  <c r="G110" i="21"/>
  <c r="B111" i="21" a="1"/>
  <c r="B111" i="21" s="1"/>
  <c r="C111" i="21"/>
  <c r="D111" i="21"/>
  <c r="E111" i="21"/>
  <c r="F111" i="21"/>
  <c r="G111" i="21"/>
  <c r="B112" i="21" a="1"/>
  <c r="B112" i="21" s="1"/>
  <c r="C112" i="21"/>
  <c r="D112" i="21"/>
  <c r="E112" i="21"/>
  <c r="F112" i="21"/>
  <c r="G112" i="21"/>
  <c r="B113" i="21" a="1"/>
  <c r="B113" i="21" s="1"/>
  <c r="C113" i="21"/>
  <c r="D113" i="21"/>
  <c r="E113" i="21"/>
  <c r="F113" i="21"/>
  <c r="G113" i="21"/>
  <c r="B114" i="21" a="1"/>
  <c r="B114" i="21" s="1"/>
  <c r="C114" i="21"/>
  <c r="D114" i="21"/>
  <c r="E114" i="21"/>
  <c r="F114" i="21"/>
  <c r="G114" i="21"/>
  <c r="B115" i="21" a="1"/>
  <c r="B115" i="21" s="1"/>
  <c r="C115" i="21"/>
  <c r="D115" i="21"/>
  <c r="E115" i="21"/>
  <c r="F115" i="21"/>
  <c r="G115" i="21"/>
  <c r="B116" i="21" a="1"/>
  <c r="B116" i="21" s="1"/>
  <c r="C116" i="21"/>
  <c r="D116" i="21"/>
  <c r="E116" i="21"/>
  <c r="F116" i="21"/>
  <c r="G116" i="21"/>
  <c r="B117" i="21" a="1"/>
  <c r="B117" i="21" s="1"/>
  <c r="C117" i="21"/>
  <c r="D117" i="21"/>
  <c r="E117" i="21"/>
  <c r="F117" i="21"/>
  <c r="G117" i="21"/>
  <c r="B118" i="21" a="1"/>
  <c r="B118" i="21" s="1"/>
  <c r="C118" i="21"/>
  <c r="D118" i="21"/>
  <c r="E118" i="21"/>
  <c r="F118" i="21"/>
  <c r="G118" i="21"/>
  <c r="B119" i="21" a="1"/>
  <c r="B119" i="21" s="1"/>
  <c r="C119" i="21"/>
  <c r="D119" i="21"/>
  <c r="E119" i="21"/>
  <c r="F119" i="21"/>
  <c r="G119" i="21"/>
  <c r="B120" i="21" a="1"/>
  <c r="B120" i="21" s="1"/>
  <c r="C120" i="21"/>
  <c r="D120" i="21"/>
  <c r="E120" i="21"/>
  <c r="F120" i="21"/>
  <c r="G120" i="21"/>
  <c r="B121" i="21" a="1"/>
  <c r="B121" i="21"/>
  <c r="C121" i="21"/>
  <c r="D121" i="21"/>
  <c r="E121" i="21"/>
  <c r="F121" i="21"/>
  <c r="G121" i="21"/>
  <c r="B122" i="21" a="1"/>
  <c r="B122" i="21" s="1"/>
  <c r="C122" i="21"/>
  <c r="D122" i="21"/>
  <c r="E122" i="21"/>
  <c r="F122" i="21"/>
  <c r="G122" i="21"/>
  <c r="B123" i="21" a="1"/>
  <c r="B123" i="21"/>
  <c r="C123" i="21"/>
  <c r="D123" i="21"/>
  <c r="E123" i="21"/>
  <c r="F123" i="21"/>
  <c r="G123" i="21"/>
  <c r="B124" i="21" a="1"/>
  <c r="B124" i="21" s="1"/>
  <c r="C124" i="21"/>
  <c r="D124" i="21"/>
  <c r="E124" i="21"/>
  <c r="F124" i="21"/>
  <c r="G124" i="21"/>
  <c r="B125" i="21" a="1"/>
  <c r="B125" i="21"/>
  <c r="C125" i="21"/>
  <c r="D125" i="21"/>
  <c r="E125" i="21"/>
  <c r="F125" i="21"/>
  <c r="G125" i="21"/>
  <c r="B126" i="21" a="1"/>
  <c r="B126" i="21" s="1"/>
  <c r="C126" i="21"/>
  <c r="D126" i="21"/>
  <c r="E126" i="21"/>
  <c r="F126" i="21"/>
  <c r="G126" i="21"/>
  <c r="B127" i="21" a="1"/>
  <c r="B127" i="21"/>
  <c r="C127" i="21"/>
  <c r="D127" i="21"/>
  <c r="E127" i="21"/>
  <c r="F127" i="21"/>
  <c r="G127" i="21"/>
  <c r="B128" i="21" a="1"/>
  <c r="B128" i="21" s="1"/>
  <c r="C128" i="21"/>
  <c r="D128" i="21"/>
  <c r="E128" i="21"/>
  <c r="F128" i="21"/>
  <c r="G128" i="21"/>
  <c r="B129" i="21" a="1"/>
  <c r="B129" i="21"/>
  <c r="C129" i="21"/>
  <c r="D129" i="21"/>
  <c r="E129" i="21"/>
  <c r="F129" i="21"/>
  <c r="G129" i="21"/>
  <c r="B130" i="21" a="1"/>
  <c r="B130" i="21" s="1"/>
  <c r="C130" i="21"/>
  <c r="D130" i="21"/>
  <c r="E130" i="21"/>
  <c r="F130" i="21"/>
  <c r="G130" i="21"/>
  <c r="B131" i="21" a="1"/>
  <c r="B131" i="21"/>
  <c r="C131" i="21"/>
  <c r="D131" i="21"/>
  <c r="E131" i="21"/>
  <c r="F131" i="21"/>
  <c r="G131" i="21"/>
  <c r="C132" i="21"/>
  <c r="B132" i="21" s="1" a="1"/>
  <c r="B132" i="21" s="1"/>
  <c r="D132" i="21"/>
  <c r="E132" i="21"/>
  <c r="F132" i="21"/>
  <c r="G132" i="21"/>
  <c r="B133" i="21" a="1"/>
  <c r="B133" i="21"/>
  <c r="C133" i="21"/>
  <c r="D133" i="21"/>
  <c r="E133" i="21"/>
  <c r="F133" i="21"/>
  <c r="G133" i="21"/>
  <c r="B134" i="21" a="1"/>
  <c r="B134" i="21" s="1"/>
  <c r="C134" i="21"/>
  <c r="D134" i="21"/>
  <c r="E134" i="21"/>
  <c r="F134" i="21"/>
  <c r="G134" i="21"/>
  <c r="B135" i="21" a="1"/>
  <c r="B135" i="21"/>
  <c r="C135" i="21"/>
  <c r="D135" i="21"/>
  <c r="E135" i="21"/>
  <c r="F135" i="21"/>
  <c r="G135" i="21"/>
  <c r="C136" i="21"/>
  <c r="B136" i="21" s="1" a="1"/>
  <c r="B136" i="21" s="1"/>
  <c r="D136" i="21"/>
  <c r="E136" i="21"/>
  <c r="F136" i="21"/>
  <c r="G136" i="21"/>
  <c r="C137" i="21"/>
  <c r="B137" i="21" s="1" a="1"/>
  <c r="B137" i="21" s="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/>
  <c r="C139" i="21"/>
  <c r="D139" i="21"/>
  <c r="E139" i="21"/>
  <c r="F139" i="21"/>
  <c r="G139" i="21"/>
  <c r="C140" i="21"/>
  <c r="B140" i="21" s="1" a="1"/>
  <c r="B140" i="21" s="1"/>
  <c r="D140" i="21"/>
  <c r="E140" i="21"/>
  <c r="F140" i="21"/>
  <c r="G140" i="21"/>
  <c r="B141" i="21" a="1"/>
  <c r="B141" i="21" s="1"/>
  <c r="C141" i="21"/>
  <c r="D141" i="21"/>
  <c r="E141" i="21"/>
  <c r="F141" i="21"/>
  <c r="G141" i="21"/>
  <c r="B142" i="21" a="1"/>
  <c r="B142" i="21" s="1"/>
  <c r="C142" i="21"/>
  <c r="D142" i="21"/>
  <c r="E142" i="21"/>
  <c r="F142" i="21"/>
  <c r="G142" i="21"/>
  <c r="B143" i="21" a="1"/>
  <c r="B143" i="21"/>
  <c r="C143" i="21"/>
  <c r="D143" i="21"/>
  <c r="E143" i="21"/>
  <c r="F143" i="21"/>
  <c r="G143" i="21"/>
  <c r="B144" i="21" a="1"/>
  <c r="B144" i="21" s="1"/>
  <c r="C144" i="21"/>
  <c r="D144" i="21"/>
  <c r="E144" i="21"/>
  <c r="F144" i="21"/>
  <c r="G144" i="21"/>
  <c r="B145" i="21" a="1"/>
  <c r="B145" i="21" s="1"/>
  <c r="C145" i="21"/>
  <c r="D145" i="21"/>
  <c r="E145" i="21"/>
  <c r="F145" i="21"/>
  <c r="G145" i="21"/>
  <c r="C146" i="21"/>
  <c r="B146" i="21" s="1" a="1"/>
  <c r="B146" i="21" s="1"/>
  <c r="D146" i="21"/>
  <c r="E146" i="21"/>
  <c r="F146" i="21"/>
  <c r="G146" i="21"/>
  <c r="C147" i="21"/>
  <c r="B147" i="21" s="1" a="1"/>
  <c r="B147" i="21" s="1"/>
  <c r="D147" i="21"/>
  <c r="E147" i="21"/>
  <c r="F147" i="21"/>
  <c r="G147" i="21"/>
  <c r="B148" i="21" a="1"/>
  <c r="B148" i="21" s="1"/>
  <c r="C148" i="21"/>
  <c r="D148" i="21"/>
  <c r="E148" i="21"/>
  <c r="F148" i="21"/>
  <c r="G148" i="21"/>
  <c r="B149" i="21" a="1"/>
  <c r="B149" i="21" s="1"/>
  <c r="C149" i="21"/>
  <c r="D149" i="21"/>
  <c r="E149" i="21"/>
  <c r="F149" i="21"/>
  <c r="G149" i="21"/>
  <c r="C150" i="21"/>
  <c r="B150" i="21" s="1" a="1"/>
  <c r="B150" i="21" s="1"/>
  <c r="D150" i="21"/>
  <c r="E150" i="21"/>
  <c r="F150" i="21"/>
  <c r="G150" i="21"/>
  <c r="C151" i="21"/>
  <c r="B151" i="21" s="1" a="1"/>
  <c r="B151" i="21" s="1"/>
  <c r="D151" i="21"/>
  <c r="E151" i="21"/>
  <c r="F151" i="21"/>
  <c r="G151" i="21"/>
  <c r="B152" i="21" a="1"/>
  <c r="B152" i="21" s="1"/>
  <c r="C152" i="21"/>
  <c r="D152" i="21"/>
  <c r="E152" i="21"/>
  <c r="F152" i="21"/>
  <c r="G152" i="21"/>
  <c r="B153" i="21" a="1"/>
  <c r="B153" i="21" s="1"/>
  <c r="C153" i="21"/>
  <c r="D153" i="21"/>
  <c r="E153" i="21"/>
  <c r="F153" i="21"/>
  <c r="G153" i="21"/>
  <c r="C154" i="21"/>
  <c r="B154" i="21" s="1" a="1"/>
  <c r="B154" i="21" s="1"/>
  <c r="D154" i="21"/>
  <c r="E154" i="21"/>
  <c r="F154" i="21"/>
  <c r="G154" i="21"/>
  <c r="C155" i="21"/>
  <c r="B155" i="21" s="1" a="1"/>
  <c r="B155" i="21" s="1"/>
  <c r="D155" i="21"/>
  <c r="E155" i="21"/>
  <c r="F155" i="21"/>
  <c r="G155" i="21"/>
  <c r="C156" i="21"/>
  <c r="B156" i="21" s="1" a="1"/>
  <c r="B156" i="21" s="1"/>
  <c r="D156" i="21"/>
  <c r="E156" i="21"/>
  <c r="F156" i="21"/>
  <c r="G156" i="21"/>
  <c r="C157" i="21"/>
  <c r="B157" i="21" s="1" a="1"/>
  <c r="B157" i="21" s="1"/>
  <c r="D157" i="21"/>
  <c r="E157" i="21"/>
  <c r="F157" i="21"/>
  <c r="G157" i="21"/>
  <c r="C158" i="21"/>
  <c r="B158" i="21" s="1" a="1"/>
  <c r="B158" i="21" s="1"/>
  <c r="D158" i="21"/>
  <c r="E158" i="21"/>
  <c r="F158" i="21"/>
  <c r="G158" i="21"/>
  <c r="C159" i="21"/>
  <c r="B159" i="21" s="1" a="1"/>
  <c r="B159" i="21" s="1"/>
  <c r="D159" i="21"/>
  <c r="E159" i="21"/>
  <c r="F159" i="21"/>
  <c r="G159" i="21"/>
  <c r="C160" i="21"/>
  <c r="B160" i="21" s="1" a="1"/>
  <c r="B160" i="21" s="1"/>
  <c r="D160" i="21"/>
  <c r="E160" i="21"/>
  <c r="F160" i="21"/>
  <c r="G160" i="21"/>
  <c r="C161" i="21"/>
  <c r="B161" i="21" s="1" a="1"/>
  <c r="B161" i="21" s="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C164" i="21"/>
  <c r="B164" i="21" s="1" a="1"/>
  <c r="B164" i="21" s="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C166" i="21"/>
  <c r="B166" i="21" s="1" a="1"/>
  <c r="B166" i="21" s="1"/>
  <c r="D166" i="21"/>
  <c r="E166" i="21"/>
  <c r="F166" i="21"/>
  <c r="G166" i="21"/>
  <c r="B167" i="21" a="1"/>
  <c r="B167" i="21" s="1"/>
  <c r="C167" i="21"/>
  <c r="D167" i="21"/>
  <c r="E167" i="21"/>
  <c r="F167" i="21"/>
  <c r="G167" i="21"/>
  <c r="C168" i="21"/>
  <c r="B168" i="21" s="1" a="1"/>
  <c r="B168" i="21" s="1"/>
  <c r="D168" i="21"/>
  <c r="E168" i="21"/>
  <c r="F168" i="21"/>
  <c r="G168" i="21"/>
  <c r="C169" i="21"/>
  <c r="B169" i="21" s="1" a="1"/>
  <c r="B169" i="21" s="1"/>
  <c r="D169" i="21"/>
  <c r="E169" i="21"/>
  <c r="F169" i="21"/>
  <c r="G169" i="21"/>
  <c r="B170" i="21" a="1"/>
  <c r="B170" i="21"/>
  <c r="C170" i="21"/>
  <c r="D170" i="21"/>
  <c r="E170" i="21"/>
  <c r="F170" i="21"/>
  <c r="G170" i="21"/>
  <c r="B171" i="21" a="1"/>
  <c r="B171" i="21" s="1"/>
  <c r="C171" i="21"/>
  <c r="D171" i="21"/>
  <c r="E171" i="21"/>
  <c r="F171" i="21"/>
  <c r="G171" i="21"/>
  <c r="B172" i="21" a="1"/>
  <c r="B172" i="21"/>
  <c r="C172" i="21"/>
  <c r="D172" i="21"/>
  <c r="E172" i="21"/>
  <c r="F172" i="21"/>
  <c r="G172" i="21"/>
  <c r="C173" i="21"/>
  <c r="B173" i="21" s="1" a="1"/>
  <c r="B173" i="21" s="1"/>
  <c r="D173" i="21"/>
  <c r="E173" i="21"/>
  <c r="F173" i="21"/>
  <c r="G173" i="21"/>
  <c r="C174" i="21"/>
  <c r="B174" i="21" s="1" a="1"/>
  <c r="B174" i="21" s="1"/>
  <c r="D174" i="21"/>
  <c r="E174" i="21"/>
  <c r="F174" i="21"/>
  <c r="G174" i="21"/>
  <c r="B175" i="21" a="1"/>
  <c r="B175" i="21" s="1"/>
  <c r="C175" i="21"/>
  <c r="D175" i="21"/>
  <c r="E175" i="21"/>
  <c r="F175" i="21"/>
  <c r="G175" i="21"/>
  <c r="C176" i="21"/>
  <c r="B176" i="21" s="1" a="1"/>
  <c r="B176" i="21" s="1"/>
  <c r="D176" i="21"/>
  <c r="E176" i="21"/>
  <c r="F176" i="21"/>
  <c r="G176" i="21"/>
  <c r="C177" i="21"/>
  <c r="B177" i="21" s="1" a="1"/>
  <c r="B177" i="21" s="1"/>
  <c r="D177" i="21"/>
  <c r="E177" i="21"/>
  <c r="F177" i="21"/>
  <c r="G177" i="21"/>
  <c r="B178" i="21" a="1"/>
  <c r="B178" i="21"/>
  <c r="C178" i="21"/>
  <c r="D178" i="21"/>
  <c r="E178" i="21"/>
  <c r="F178" i="21"/>
  <c r="G178" i="21"/>
  <c r="B179" i="21" a="1"/>
  <c r="B179" i="21" s="1"/>
  <c r="C179" i="21"/>
  <c r="D179" i="21"/>
  <c r="E179" i="21"/>
  <c r="F179" i="21"/>
  <c r="G179" i="21"/>
  <c r="B180" i="21" a="1"/>
  <c r="B180" i="21"/>
  <c r="C180" i="21"/>
  <c r="D180" i="21"/>
  <c r="E180" i="21"/>
  <c r="F180" i="21"/>
  <c r="G180" i="21"/>
  <c r="C181" i="21"/>
  <c r="B181" i="21" s="1" a="1"/>
  <c r="B181" i="21" s="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B183" i="21" a="1"/>
  <c r="B183" i="21" s="1"/>
  <c r="C183" i="21"/>
  <c r="D183" i="21"/>
  <c r="E183" i="21"/>
  <c r="F183" i="21"/>
  <c r="G183" i="21"/>
  <c r="C184" i="21"/>
  <c r="B184" i="21" s="1" a="1"/>
  <c r="B184" i="21" s="1"/>
  <c r="D184" i="21"/>
  <c r="E184" i="21"/>
  <c r="F184" i="21"/>
  <c r="G184" i="21"/>
  <c r="C185" i="21"/>
  <c r="B185" i="21" s="1" a="1"/>
  <c r="B185" i="21" s="1"/>
  <c r="D185" i="21"/>
  <c r="E185" i="21"/>
  <c r="F185" i="21"/>
  <c r="G185" i="21"/>
  <c r="B186" i="21" a="1"/>
  <c r="B186" i="21"/>
  <c r="C186" i="21"/>
  <c r="D186" i="21"/>
  <c r="E186" i="21"/>
  <c r="F186" i="21"/>
  <c r="G186" i="21"/>
  <c r="B187" i="21" a="1"/>
  <c r="B187" i="21" s="1"/>
  <c r="C187" i="21"/>
  <c r="D187" i="21"/>
  <c r="E187" i="21"/>
  <c r="F187" i="21"/>
  <c r="G187" i="21"/>
  <c r="B188" i="21" a="1"/>
  <c r="B188" i="21"/>
  <c r="C188" i="21"/>
  <c r="D188" i="21"/>
  <c r="E188" i="21"/>
  <c r="F188" i="21"/>
  <c r="G188" i="21"/>
  <c r="C189" i="21"/>
  <c r="B189" i="21" s="1" a="1"/>
  <c r="B189" i="21" s="1"/>
  <c r="D189" i="21"/>
  <c r="E189" i="21"/>
  <c r="F189" i="21"/>
  <c r="G189" i="21"/>
  <c r="C190" i="21"/>
  <c r="B190" i="21" s="1" a="1"/>
  <c r="B190" i="21" s="1"/>
  <c r="D190" i="21"/>
  <c r="E190" i="21"/>
  <c r="F190" i="21"/>
  <c r="G190" i="21"/>
  <c r="B191" i="21" a="1"/>
  <c r="B191" i="21" s="1"/>
  <c r="C191" i="21"/>
  <c r="D191" i="21"/>
  <c r="E191" i="21"/>
  <c r="F191" i="21"/>
  <c r="G191" i="21"/>
  <c r="C192" i="21"/>
  <c r="B192" i="21" s="1" a="1"/>
  <c r="B192" i="21" s="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B194" i="21" a="1"/>
  <c r="B194" i="21"/>
  <c r="C194" i="21"/>
  <c r="D194" i="21"/>
  <c r="E194" i="21"/>
  <c r="F194" i="21"/>
  <c r="G194" i="21"/>
  <c r="B195" i="21" a="1"/>
  <c r="B195" i="21" s="1"/>
  <c r="C195" i="21"/>
  <c r="D195" i="21"/>
  <c r="E195" i="21"/>
  <c r="F195" i="21"/>
  <c r="G195" i="21"/>
  <c r="B196" i="21" a="1"/>
  <c r="B196" i="21"/>
  <c r="C196" i="21"/>
  <c r="D196" i="21"/>
  <c r="E196" i="21"/>
  <c r="F196" i="21"/>
  <c r="G196" i="21"/>
  <c r="C197" i="21"/>
  <c r="B197" i="21" s="1" a="1"/>
  <c r="B197" i="21" s="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B199" i="21" a="1"/>
  <c r="B199" i="21" s="1"/>
  <c r="C199" i="21"/>
  <c r="D199" i="21"/>
  <c r="E199" i="21"/>
  <c r="F199" i="21"/>
  <c r="G199" i="21"/>
  <c r="C200" i="21"/>
  <c r="B200" i="21" s="1" a="1"/>
  <c r="B200" i="21" s="1"/>
  <c r="D200" i="21"/>
  <c r="E200" i="21"/>
  <c r="F200" i="21"/>
  <c r="G200" i="21"/>
  <c r="C6" i="8"/>
  <c r="B6" i="8" s="1" a="1"/>
  <c r="B6" i="8" s="1"/>
  <c r="D6" i="8"/>
  <c r="B7" i="8" a="1"/>
  <c r="B7" i="8"/>
  <c r="C7" i="8"/>
  <c r="D7" i="8"/>
  <c r="B8" i="8" a="1"/>
  <c r="B8" i="8" s="1"/>
  <c r="C8" i="8"/>
  <c r="D8" i="8"/>
  <c r="B9" i="8" a="1"/>
  <c r="B9" i="8" s="1"/>
  <c r="C9" i="8"/>
  <c r="D9" i="8"/>
  <c r="C10" i="8"/>
  <c r="B10" i="8" s="1" a="1"/>
  <c r="B10" i="8" s="1"/>
  <c r="D10" i="8"/>
  <c r="C11" i="8"/>
  <c r="B11" i="8" s="1" a="1"/>
  <c r="B11" i="8" s="1"/>
  <c r="D11" i="8"/>
  <c r="B12" i="8" a="1"/>
  <c r="B12" i="8" s="1"/>
  <c r="C12" i="8"/>
  <c r="D12" i="8"/>
  <c r="C13" i="8"/>
  <c r="B13" i="8" s="1" a="1"/>
  <c r="B13" i="8" s="1"/>
  <c r="D13" i="8"/>
  <c r="C14" i="8"/>
  <c r="B14" i="8" s="1" a="1"/>
  <c r="B14" i="8" s="1"/>
  <c r="D14" i="8"/>
  <c r="B15" i="8" a="1"/>
  <c r="B15" i="8" s="1"/>
  <c r="C15" i="8"/>
  <c r="D15" i="8"/>
  <c r="B16" i="8" a="1"/>
  <c r="B16" i="8" s="1"/>
  <c r="C16" i="8"/>
  <c r="D16" i="8"/>
  <c r="B17" i="8" a="1"/>
  <c r="B17" i="8"/>
  <c r="C17" i="8"/>
  <c r="D17" i="8"/>
  <c r="C18" i="8"/>
  <c r="B18" i="8" s="1" a="1"/>
  <c r="B18" i="8" s="1"/>
  <c r="D18" i="8"/>
  <c r="C19" i="8"/>
  <c r="B19" i="8" s="1" a="1"/>
  <c r="B19" i="8" s="1"/>
  <c r="D19" i="8"/>
  <c r="B20" i="8" a="1"/>
  <c r="B20" i="8" s="1"/>
  <c r="C20" i="8"/>
  <c r="D20" i="8"/>
  <c r="C21" i="8"/>
  <c r="B21" i="8" s="1" a="1"/>
  <c r="B21" i="8" s="1"/>
  <c r="D21" i="8"/>
  <c r="C22" i="8"/>
  <c r="B22" i="8" s="1" a="1"/>
  <c r="B22" i="8" s="1"/>
  <c r="D22" i="8"/>
  <c r="B23" i="8" a="1"/>
  <c r="B23" i="8" s="1"/>
  <c r="C23" i="8"/>
  <c r="D23" i="8"/>
  <c r="B24" i="8" a="1"/>
  <c r="B24" i="8" s="1"/>
  <c r="C24" i="8"/>
  <c r="D24" i="8"/>
  <c r="B25" i="8" a="1"/>
  <c r="B25" i="8"/>
  <c r="C25" i="8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B84" i="8" a="1"/>
  <c r="B84" i="8" s="1"/>
  <c r="C84" i="8"/>
  <c r="D84" i="8"/>
  <c r="C85" i="8"/>
  <c r="B85" i="8" s="1" a="1"/>
  <c r="B85" i="8" s="1"/>
  <c r="D85" i="8"/>
  <c r="B86" i="8" a="1"/>
  <c r="B86" i="8" s="1"/>
  <c r="C86" i="8"/>
  <c r="D86" i="8"/>
  <c r="C87" i="8"/>
  <c r="B87" i="8" s="1" a="1"/>
  <c r="B87" i="8" s="1"/>
  <c r="D87" i="8"/>
  <c r="E87" i="8"/>
  <c r="F87" i="8"/>
  <c r="G87" i="8"/>
  <c r="B88" i="8" a="1"/>
  <c r="B88" i="8" s="1"/>
  <c r="C88" i="8"/>
  <c r="D88" i="8"/>
  <c r="E88" i="8"/>
  <c r="F88" i="8"/>
  <c r="G88" i="8"/>
  <c r="C89" i="8"/>
  <c r="B89" i="8" s="1" a="1"/>
  <c r="B89" i="8" s="1"/>
  <c r="D89" i="8"/>
  <c r="E89" i="8"/>
  <c r="F89" i="8"/>
  <c r="G89" i="8"/>
  <c r="B90" i="8" a="1"/>
  <c r="B90" i="8" s="1"/>
  <c r="C90" i="8"/>
  <c r="D90" i="8"/>
  <c r="E90" i="8"/>
  <c r="F90" i="8"/>
  <c r="G90" i="8"/>
  <c r="C91" i="8"/>
  <c r="B91" i="8" s="1" a="1"/>
  <c r="B91" i="8" s="1"/>
  <c r="D91" i="8"/>
  <c r="E91" i="8"/>
  <c r="F91" i="8"/>
  <c r="G91" i="8"/>
  <c r="B92" i="8" a="1"/>
  <c r="B92" i="8" s="1"/>
  <c r="C92" i="8"/>
  <c r="D92" i="8"/>
  <c r="E92" i="8"/>
  <c r="F92" i="8"/>
  <c r="G92" i="8"/>
  <c r="C93" i="8"/>
  <c r="B93" i="8" s="1" a="1"/>
  <c r="B93" i="8" s="1"/>
  <c r="D93" i="8"/>
  <c r="E93" i="8"/>
  <c r="F93" i="8"/>
  <c r="G93" i="8"/>
  <c r="B94" i="8" a="1"/>
  <c r="B94" i="8" s="1"/>
  <c r="C94" i="8"/>
  <c r="D94" i="8"/>
  <c r="E94" i="8"/>
  <c r="F94" i="8"/>
  <c r="G94" i="8"/>
  <c r="C95" i="8"/>
  <c r="B95" i="8" s="1" a="1"/>
  <c r="B95" i="8" s="1"/>
  <c r="D95" i="8"/>
  <c r="E95" i="8"/>
  <c r="F95" i="8"/>
  <c r="G95" i="8"/>
  <c r="B96" i="8" a="1"/>
  <c r="B96" i="8" s="1"/>
  <c r="C96" i="8"/>
  <c r="D96" i="8"/>
  <c r="E96" i="8"/>
  <c r="F96" i="8"/>
  <c r="G96" i="8"/>
  <c r="C97" i="8"/>
  <c r="B97" i="8" s="1" a="1"/>
  <c r="B97" i="8" s="1"/>
  <c r="D97" i="8"/>
  <c r="E97" i="8"/>
  <c r="F97" i="8"/>
  <c r="G97" i="8"/>
  <c r="B98" i="8" a="1"/>
  <c r="B98" i="8" s="1"/>
  <c r="C98" i="8"/>
  <c r="D98" i="8"/>
  <c r="E98" i="8"/>
  <c r="F98" i="8"/>
  <c r="G98" i="8"/>
  <c r="C99" i="8"/>
  <c r="B99" i="8" s="1" a="1"/>
  <c r="B99" i="8" s="1"/>
  <c r="D99" i="8"/>
  <c r="E99" i="8"/>
  <c r="F99" i="8"/>
  <c r="G99" i="8"/>
  <c r="B100" i="8" a="1"/>
  <c r="B100" i="8" s="1"/>
  <c r="C100" i="8"/>
  <c r="D100" i="8"/>
  <c r="E100" i="8"/>
  <c r="F100" i="8"/>
  <c r="G100" i="8"/>
  <c r="C101" i="8"/>
  <c r="B101" i="8" s="1" a="1"/>
  <c r="B101" i="8" s="1"/>
  <c r="D101" i="8"/>
  <c r="E101" i="8"/>
  <c r="F101" i="8"/>
  <c r="G101" i="8"/>
  <c r="B102" i="8" a="1"/>
  <c r="B102" i="8" s="1"/>
  <c r="C102" i="8"/>
  <c r="D102" i="8"/>
  <c r="E102" i="8"/>
  <c r="F102" i="8"/>
  <c r="G102" i="8"/>
  <c r="C103" i="8"/>
  <c r="B103" i="8" s="1" a="1"/>
  <c r="B103" i="8" s="1"/>
  <c r="D103" i="8"/>
  <c r="E103" i="8"/>
  <c r="F103" i="8"/>
  <c r="G103" i="8"/>
  <c r="B104" i="8" a="1"/>
  <c r="B104" i="8" s="1"/>
  <c r="C104" i="8"/>
  <c r="D104" i="8"/>
  <c r="E104" i="8"/>
  <c r="F104" i="8"/>
  <c r="G104" i="8"/>
  <c r="C105" i="8"/>
  <c r="B105" i="8" s="1" a="1"/>
  <c r="B105" i="8" s="1"/>
  <c r="D105" i="8"/>
  <c r="E105" i="8"/>
  <c r="F105" i="8"/>
  <c r="G105" i="8"/>
  <c r="B106" i="8" a="1"/>
  <c r="B106" i="8" s="1"/>
  <c r="C106" i="8"/>
  <c r="D106" i="8"/>
  <c r="E106" i="8"/>
  <c r="F106" i="8"/>
  <c r="G106" i="8"/>
  <c r="C107" i="8"/>
  <c r="B107" i="8" s="1" a="1"/>
  <c r="B107" i="8" s="1"/>
  <c r="D107" i="8"/>
  <c r="E107" i="8"/>
  <c r="F107" i="8"/>
  <c r="G107" i="8"/>
  <c r="B108" i="8" a="1"/>
  <c r="B108" i="8" s="1"/>
  <c r="C108" i="8"/>
  <c r="D108" i="8"/>
  <c r="E108" i="8"/>
  <c r="F108" i="8"/>
  <c r="G108" i="8"/>
  <c r="C109" i="8"/>
  <c r="B109" i="8" s="1" a="1"/>
  <c r="B109" i="8" s="1"/>
  <c r="D109" i="8"/>
  <c r="E109" i="8"/>
  <c r="F109" i="8"/>
  <c r="G109" i="8"/>
  <c r="B110" i="8" a="1"/>
  <c r="B110" i="8" s="1"/>
  <c r="C110" i="8"/>
  <c r="D110" i="8"/>
  <c r="E110" i="8"/>
  <c r="F110" i="8"/>
  <c r="G110" i="8"/>
  <c r="C111" i="8"/>
  <c r="B111" i="8" s="1" a="1"/>
  <c r="B111" i="8" s="1"/>
  <c r="D111" i="8"/>
  <c r="E111" i="8"/>
  <c r="F111" i="8"/>
  <c r="G111" i="8"/>
  <c r="B112" i="8" a="1"/>
  <c r="B112" i="8" s="1"/>
  <c r="C112" i="8"/>
  <c r="D112" i="8"/>
  <c r="E112" i="8"/>
  <c r="F112" i="8"/>
  <c r="G112" i="8"/>
  <c r="C113" i="8"/>
  <c r="B113" i="8" s="1" a="1"/>
  <c r="B113" i="8" s="1"/>
  <c r="D113" i="8"/>
  <c r="E113" i="8"/>
  <c r="F113" i="8"/>
  <c r="G113" i="8"/>
  <c r="B114" i="8" a="1"/>
  <c r="B114" i="8" s="1"/>
  <c r="C114" i="8"/>
  <c r="D114" i="8"/>
  <c r="E114" i="8"/>
  <c r="F114" i="8"/>
  <c r="G114" i="8"/>
  <c r="C115" i="8"/>
  <c r="B115" i="8" s="1" a="1"/>
  <c r="B115" i="8" s="1"/>
  <c r="D115" i="8"/>
  <c r="E115" i="8"/>
  <c r="F115" i="8"/>
  <c r="G115" i="8"/>
  <c r="B116" i="8" a="1"/>
  <c r="B116" i="8" s="1"/>
  <c r="C116" i="8"/>
  <c r="D116" i="8"/>
  <c r="E116" i="8"/>
  <c r="F116" i="8"/>
  <c r="G116" i="8"/>
  <c r="B117" i="8" a="1"/>
  <c r="B117" i="8" s="1"/>
  <c r="C117" i="8"/>
  <c r="D117" i="8"/>
  <c r="E117" i="8"/>
  <c r="F117" i="8"/>
  <c r="G117" i="8"/>
  <c r="B118" i="8" a="1"/>
  <c r="B118" i="8" s="1"/>
  <c r="C118" i="8"/>
  <c r="D118" i="8"/>
  <c r="E118" i="8"/>
  <c r="F118" i="8"/>
  <c r="G118" i="8"/>
  <c r="B119" i="8" a="1"/>
  <c r="B119" i="8" s="1"/>
  <c r="C119" i="8"/>
  <c r="D119" i="8"/>
  <c r="E119" i="8"/>
  <c r="F119" i="8"/>
  <c r="G119" i="8"/>
  <c r="B120" i="8" a="1"/>
  <c r="B120" i="8" s="1"/>
  <c r="C120" i="8"/>
  <c r="D120" i="8"/>
  <c r="E120" i="8"/>
  <c r="F120" i="8"/>
  <c r="G120" i="8"/>
  <c r="B121" i="8" a="1"/>
  <c r="B121" i="8" s="1"/>
  <c r="C121" i="8"/>
  <c r="D121" i="8"/>
  <c r="E121" i="8"/>
  <c r="F121" i="8"/>
  <c r="G121" i="8"/>
  <c r="B122" i="8" a="1"/>
  <c r="B122" i="8" s="1"/>
  <c r="C122" i="8"/>
  <c r="D122" i="8"/>
  <c r="E122" i="8"/>
  <c r="F122" i="8"/>
  <c r="G122" i="8"/>
  <c r="B123" i="8" a="1"/>
  <c r="B123" i="8" s="1"/>
  <c r="C123" i="8"/>
  <c r="D123" i="8"/>
  <c r="E123" i="8"/>
  <c r="F123" i="8"/>
  <c r="G123" i="8"/>
  <c r="B124" i="8" a="1"/>
  <c r="B124" i="8" s="1"/>
  <c r="C124" i="8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 s="1"/>
  <c r="C126" i="8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 s="1"/>
  <c r="C128" i="8"/>
  <c r="D128" i="8"/>
  <c r="E128" i="8"/>
  <c r="F128" i="8"/>
  <c r="G128" i="8"/>
  <c r="B129" i="8" a="1"/>
  <c r="B129" i="8" s="1"/>
  <c r="C129" i="8"/>
  <c r="D129" i="8"/>
  <c r="E129" i="8"/>
  <c r="F129" i="8"/>
  <c r="G129" i="8"/>
  <c r="B130" i="8" a="1"/>
  <c r="B130" i="8" s="1"/>
  <c r="C130" i="8"/>
  <c r="D130" i="8"/>
  <c r="E130" i="8"/>
  <c r="F130" i="8"/>
  <c r="G130" i="8"/>
  <c r="B131" i="8" a="1"/>
  <c r="B131" i="8" s="1"/>
  <c r="C131" i="8"/>
  <c r="D131" i="8"/>
  <c r="E131" i="8"/>
  <c r="F131" i="8"/>
  <c r="G131" i="8"/>
  <c r="B132" i="8" a="1"/>
  <c r="B132" i="8" s="1"/>
  <c r="C132" i="8"/>
  <c r="D132" i="8"/>
  <c r="E132" i="8"/>
  <c r="F132" i="8"/>
  <c r="G132" i="8"/>
  <c r="B133" i="8" a="1"/>
  <c r="B133" i="8" s="1"/>
  <c r="C133" i="8"/>
  <c r="D133" i="8"/>
  <c r="E133" i="8"/>
  <c r="F133" i="8"/>
  <c r="G133" i="8"/>
  <c r="B134" i="8" a="1"/>
  <c r="B134" i="8" s="1"/>
  <c r="C134" i="8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 s="1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B138" i="8" a="1"/>
  <c r="B138" i="8" s="1"/>
  <c r="C138" i="8"/>
  <c r="D138" i="8"/>
  <c r="E138" i="8"/>
  <c r="F138" i="8"/>
  <c r="G138" i="8"/>
  <c r="B139" i="8" a="1"/>
  <c r="B139" i="8" s="1"/>
  <c r="C139" i="8"/>
  <c r="D139" i="8"/>
  <c r="E139" i="8"/>
  <c r="F139" i="8"/>
  <c r="G139" i="8"/>
  <c r="B140" i="8" a="1"/>
  <c r="B140" i="8" s="1"/>
  <c r="C140" i="8"/>
  <c r="D140" i="8"/>
  <c r="E140" i="8"/>
  <c r="F140" i="8"/>
  <c r="G140" i="8"/>
  <c r="B141" i="8" a="1"/>
  <c r="B141" i="8" s="1"/>
  <c r="C141" i="8"/>
  <c r="D141" i="8"/>
  <c r="E141" i="8"/>
  <c r="F141" i="8"/>
  <c r="G141" i="8"/>
  <c r="B142" i="8" a="1"/>
  <c r="B142" i="8" s="1"/>
  <c r="C142" i="8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 s="1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B146" i="8" a="1"/>
  <c r="B146" i="8" s="1"/>
  <c r="C146" i="8"/>
  <c r="D146" i="8"/>
  <c r="E146" i="8"/>
  <c r="F146" i="8"/>
  <c r="G146" i="8"/>
  <c r="B147" i="8" a="1"/>
  <c r="B147" i="8" s="1"/>
  <c r="C147" i="8"/>
  <c r="D147" i="8"/>
  <c r="E147" i="8"/>
  <c r="F147" i="8"/>
  <c r="G147" i="8"/>
  <c r="B148" i="8" a="1"/>
  <c r="B148" i="8" s="1"/>
  <c r="C148" i="8"/>
  <c r="D148" i="8"/>
  <c r="E148" i="8"/>
  <c r="F148" i="8"/>
  <c r="G148" i="8"/>
  <c r="B149" i="8" a="1"/>
  <c r="B149" i="8" s="1"/>
  <c r="C149" i="8"/>
  <c r="D149" i="8"/>
  <c r="E149" i="8"/>
  <c r="F149" i="8"/>
  <c r="G149" i="8"/>
  <c r="B150" i="8" a="1"/>
  <c r="B150" i="8" s="1"/>
  <c r="C150" i="8"/>
  <c r="D150" i="8"/>
  <c r="E150" i="8"/>
  <c r="F150" i="8"/>
  <c r="G150" i="8"/>
  <c r="B151" i="8" a="1"/>
  <c r="B151" i="8" s="1"/>
  <c r="C151" i="8"/>
  <c r="D151" i="8"/>
  <c r="E151" i="8"/>
  <c r="F151" i="8"/>
  <c r="G151" i="8"/>
  <c r="B152" i="8" a="1"/>
  <c r="B152" i="8" s="1"/>
  <c r="C152" i="8"/>
  <c r="D152" i="8"/>
  <c r="E152" i="8"/>
  <c r="F152" i="8"/>
  <c r="G152" i="8"/>
  <c r="B153" i="8" a="1"/>
  <c r="B153" i="8" s="1"/>
  <c r="C153" i="8"/>
  <c r="D153" i="8"/>
  <c r="E153" i="8"/>
  <c r="F153" i="8"/>
  <c r="G153" i="8"/>
  <c r="B154" i="8" a="1"/>
  <c r="B154" i="8" s="1"/>
  <c r="C154" i="8"/>
  <c r="D154" i="8"/>
  <c r="E154" i="8"/>
  <c r="F154" i="8"/>
  <c r="G154" i="8"/>
  <c r="B155" i="8" a="1"/>
  <c r="B155" i="8" s="1"/>
  <c r="C155" i="8"/>
  <c r="D155" i="8"/>
  <c r="E155" i="8"/>
  <c r="F155" i="8"/>
  <c r="G155" i="8"/>
  <c r="B156" i="8" a="1"/>
  <c r="B156" i="8" s="1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 s="1"/>
  <c r="C158" i="8"/>
  <c r="D158" i="8"/>
  <c r="E158" i="8"/>
  <c r="F158" i="8"/>
  <c r="G158" i="8"/>
  <c r="B159" i="8" a="1"/>
  <c r="B159" i="8" s="1"/>
  <c r="C159" i="8"/>
  <c r="D159" i="8"/>
  <c r="E159" i="8"/>
  <c r="F159" i="8"/>
  <c r="G159" i="8"/>
  <c r="B160" i="8" a="1"/>
  <c r="B160" i="8" s="1"/>
  <c r="C160" i="8"/>
  <c r="D160" i="8"/>
  <c r="E160" i="8"/>
  <c r="F160" i="8"/>
  <c r="G160" i="8"/>
  <c r="B161" i="8" a="1"/>
  <c r="B161" i="8" s="1"/>
  <c r="C161" i="8"/>
  <c r="D161" i="8"/>
  <c r="E161" i="8"/>
  <c r="F161" i="8"/>
  <c r="G161" i="8"/>
  <c r="B162" i="8" a="1"/>
  <c r="B162" i="8" s="1"/>
  <c r="C162" i="8"/>
  <c r="D162" i="8"/>
  <c r="E162" i="8"/>
  <c r="F162" i="8"/>
  <c r="G162" i="8"/>
  <c r="B163" i="8" a="1"/>
  <c r="B163" i="8" s="1"/>
  <c r="C163" i="8"/>
  <c r="D163" i="8"/>
  <c r="E163" i="8"/>
  <c r="F163" i="8"/>
  <c r="G163" i="8"/>
  <c r="B164" i="8" a="1"/>
  <c r="B164" i="8" s="1"/>
  <c r="C164" i="8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 s="1"/>
  <c r="C166" i="8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B169" i="8" a="1"/>
  <c r="B169" i="8" s="1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B171" i="8" a="1"/>
  <c r="B171" i="8" s="1"/>
  <c r="C171" i="8"/>
  <c r="D171" i="8"/>
  <c r="E171" i="8"/>
  <c r="F171" i="8"/>
  <c r="G171" i="8"/>
  <c r="B172" i="8" a="1"/>
  <c r="B172" i="8" s="1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 s="1"/>
  <c r="C174" i="8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B177" i="8" a="1"/>
  <c r="B177" i="8" s="1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B179" i="8" a="1"/>
  <c r="B179" i="8" s="1"/>
  <c r="C179" i="8"/>
  <c r="D179" i="8"/>
  <c r="E179" i="8"/>
  <c r="F179" i="8"/>
  <c r="G179" i="8"/>
  <c r="B180" i="8" a="1"/>
  <c r="B180" i="8" s="1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 s="1"/>
  <c r="C182" i="8"/>
  <c r="D182" i="8"/>
  <c r="E182" i="8"/>
  <c r="F182" i="8"/>
  <c r="G182" i="8"/>
  <c r="B183" i="8" a="1"/>
  <c r="B183" i="8" s="1"/>
  <c r="C183" i="8"/>
  <c r="D183" i="8"/>
  <c r="E183" i="8"/>
  <c r="F183" i="8"/>
  <c r="G183" i="8"/>
  <c r="B184" i="8" a="1"/>
  <c r="B184" i="8" s="1"/>
  <c r="C184" i="8"/>
  <c r="D184" i="8"/>
  <c r="E184" i="8"/>
  <c r="F184" i="8"/>
  <c r="G184" i="8"/>
  <c r="B185" i="8" a="1"/>
  <c r="B185" i="8" s="1"/>
  <c r="C185" i="8"/>
  <c r="D185" i="8"/>
  <c r="E185" i="8"/>
  <c r="F185" i="8"/>
  <c r="G185" i="8"/>
  <c r="B186" i="8" a="1"/>
  <c r="B186" i="8" s="1"/>
  <c r="C186" i="8"/>
  <c r="D186" i="8"/>
  <c r="E186" i="8"/>
  <c r="F186" i="8"/>
  <c r="G186" i="8"/>
  <c r="B187" i="8" a="1"/>
  <c r="B187" i="8" s="1"/>
  <c r="C187" i="8"/>
  <c r="D187" i="8"/>
  <c r="E187" i="8"/>
  <c r="F187" i="8"/>
  <c r="G187" i="8"/>
  <c r="B188" i="8" a="1"/>
  <c r="B188" i="8" s="1"/>
  <c r="C188" i="8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 s="1"/>
  <c r="C190" i="8"/>
  <c r="D190" i="8"/>
  <c r="E190" i="8"/>
  <c r="F190" i="8"/>
  <c r="G190" i="8"/>
  <c r="B191" i="8" a="1"/>
  <c r="B191" i="8" s="1"/>
  <c r="C191" i="8"/>
  <c r="D191" i="8"/>
  <c r="E191" i="8"/>
  <c r="F191" i="8"/>
  <c r="G191" i="8"/>
  <c r="B192" i="8" a="1"/>
  <c r="B192" i="8" s="1"/>
  <c r="C192" i="8"/>
  <c r="D192" i="8"/>
  <c r="E192" i="8"/>
  <c r="F192" i="8"/>
  <c r="G192" i="8"/>
  <c r="B193" i="8" a="1"/>
  <c r="B193" i="8" s="1"/>
  <c r="C193" i="8"/>
  <c r="D193" i="8"/>
  <c r="E193" i="8"/>
  <c r="F193" i="8"/>
  <c r="G193" i="8"/>
  <c r="B194" i="8" a="1"/>
  <c r="B194" i="8" s="1"/>
  <c r="C194" i="8"/>
  <c r="D194" i="8"/>
  <c r="E194" i="8"/>
  <c r="F194" i="8"/>
  <c r="G194" i="8"/>
  <c r="B195" i="8" a="1"/>
  <c r="B195" i="8" s="1"/>
  <c r="C195" i="8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21"/>
  <c r="D5" i="8"/>
  <c r="C5" i="23"/>
  <c r="B5" i="23" s="1" a="1"/>
  <c r="B5" i="23" s="1"/>
  <c r="L5" i="20"/>
  <c r="L17" i="20"/>
  <c r="L7" i="20"/>
  <c r="L6" i="20"/>
  <c r="L4" i="20"/>
  <c r="L14" i="20"/>
  <c r="L16" i="20"/>
  <c r="L12" i="20"/>
  <c r="L15" i="20"/>
  <c r="L9" i="20"/>
  <c r="L8" i="20"/>
  <c r="L10" i="20"/>
  <c r="L11" i="20"/>
  <c r="L21" i="20"/>
  <c r="L18" i="20"/>
  <c r="L19" i="20"/>
  <c r="L23" i="20"/>
  <c r="L22" i="20"/>
  <c r="L20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3" i="20"/>
  <c r="F5" i="20"/>
  <c r="F17" i="20"/>
  <c r="F7" i="20"/>
  <c r="F6" i="20"/>
  <c r="F4" i="20"/>
  <c r="F16" i="20"/>
  <c r="F12" i="20"/>
  <c r="F15" i="20"/>
  <c r="F9" i="20"/>
  <c r="F8" i="20"/>
  <c r="F10" i="20"/>
  <c r="F11" i="20"/>
  <c r="F21" i="20"/>
  <c r="F18" i="20"/>
  <c r="F19" i="20"/>
  <c r="F23" i="20"/>
  <c r="F22" i="20"/>
  <c r="F20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3" i="20"/>
  <c r="F64" i="20"/>
  <c r="F65" i="20"/>
  <c r="F66" i="20"/>
  <c r="F13" i="20"/>
  <c r="BK2" i="18"/>
  <c r="C7" i="15"/>
  <c r="D4" i="14" l="1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E62" i="14" s="1"/>
  <c r="D63" i="14"/>
  <c r="D64" i="14"/>
  <c r="D65" i="14"/>
  <c r="D66" i="14"/>
  <c r="D67" i="14"/>
  <c r="D68" i="14"/>
  <c r="D69" i="14"/>
  <c r="D70" i="14"/>
  <c r="E70" i="14" s="1"/>
  <c r="D71" i="14"/>
  <c r="D72" i="14"/>
  <c r="D73" i="14"/>
  <c r="E73" i="14" s="1"/>
  <c r="D74" i="14"/>
  <c r="E74" i="14" s="1"/>
  <c r="D75" i="14"/>
  <c r="E75" i="14" s="1"/>
  <c r="D76" i="14"/>
  <c r="D77" i="14"/>
  <c r="D78" i="14"/>
  <c r="D79" i="14"/>
  <c r="E79" i="14" s="1"/>
  <c r="D80" i="14"/>
  <c r="D81" i="14"/>
  <c r="E81" i="14" s="1"/>
  <c r="D82" i="14"/>
  <c r="E82" i="14" s="1"/>
  <c r="D83" i="14"/>
  <c r="D84" i="14"/>
  <c r="D85" i="14"/>
  <c r="D86" i="14"/>
  <c r="D87" i="14"/>
  <c r="D88" i="14"/>
  <c r="E88" i="14" s="1"/>
  <c r="D89" i="14"/>
  <c r="E89" i="14" s="1"/>
  <c r="D90" i="14"/>
  <c r="E90" i="14" s="1"/>
  <c r="D91" i="14"/>
  <c r="E91" i="14" s="1"/>
  <c r="D92" i="14"/>
  <c r="D93" i="14"/>
  <c r="D94" i="14"/>
  <c r="E94" i="14" s="1"/>
  <c r="D95" i="14"/>
  <c r="E95" i="14" s="1"/>
  <c r="D96" i="14"/>
  <c r="D97" i="14"/>
  <c r="E97" i="14" s="1"/>
  <c r="D98" i="14"/>
  <c r="E98" i="14" s="1"/>
  <c r="D99" i="14"/>
  <c r="E99" i="14" s="1"/>
  <c r="D100" i="14"/>
  <c r="D101" i="14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D110" i="14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D117" i="14"/>
  <c r="E117" i="14" s="1"/>
  <c r="D118" i="14"/>
  <c r="E118" i="14" s="1"/>
  <c r="D119" i="14"/>
  <c r="E119" i="14" s="1"/>
  <c r="D120" i="14"/>
  <c r="D121" i="14"/>
  <c r="E121" i="14" s="1"/>
  <c r="D122" i="14"/>
  <c r="E122" i="14" s="1"/>
  <c r="D123" i="14"/>
  <c r="E123" i="14" s="1"/>
  <c r="D124" i="14"/>
  <c r="E124" i="14" s="1"/>
  <c r="D125" i="14"/>
  <c r="E125" i="14" s="1"/>
  <c r="D3" i="14"/>
  <c r="E53" i="14"/>
  <c r="E56" i="14"/>
  <c r="E65" i="14"/>
  <c r="E84" i="14"/>
  <c r="E85" i="14"/>
  <c r="E93" i="14"/>
  <c r="E100" i="14"/>
  <c r="E101" i="14"/>
  <c r="E109" i="14"/>
  <c r="E116" i="14"/>
  <c r="N3" i="14"/>
  <c r="N4" i="14"/>
  <c r="N5" i="14"/>
  <c r="N6" i="14"/>
  <c r="N7" i="14"/>
  <c r="N8" i="14"/>
  <c r="N9" i="14"/>
  <c r="N10" i="14"/>
  <c r="N11" i="14"/>
  <c r="O11" i="14" s="1"/>
  <c r="N12" i="14"/>
  <c r="N13" i="14"/>
  <c r="N14" i="14"/>
  <c r="N15" i="14"/>
  <c r="N16" i="14"/>
  <c r="N17" i="14"/>
  <c r="N18" i="14"/>
  <c r="N19" i="14"/>
  <c r="N20" i="14"/>
  <c r="N21" i="14"/>
  <c r="O21" i="14" s="1"/>
  <c r="N22" i="14"/>
  <c r="O22" i="14" s="1"/>
  <c r="N23" i="14"/>
  <c r="N24" i="14"/>
  <c r="N25" i="14"/>
  <c r="N26" i="14"/>
  <c r="O26" i="14" s="1"/>
  <c r="N27" i="14"/>
  <c r="O27" i="14" s="1"/>
  <c r="N28" i="14"/>
  <c r="N29" i="14"/>
  <c r="N30" i="14"/>
  <c r="O30" i="14" s="1"/>
  <c r="N31" i="14"/>
  <c r="O31" i="14" s="1"/>
  <c r="N32" i="14"/>
  <c r="O32" i="14" s="1"/>
  <c r="N33" i="14"/>
  <c r="N34" i="14"/>
  <c r="N35" i="14"/>
  <c r="O35" i="14" s="1"/>
  <c r="N36" i="14"/>
  <c r="N37" i="14"/>
  <c r="O37" i="14" s="1"/>
  <c r="N38" i="14"/>
  <c r="O38" i="14" s="1"/>
  <c r="N39" i="14"/>
  <c r="N40" i="14"/>
  <c r="N41" i="14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O59" i="14" s="1"/>
  <c r="N60" i="14"/>
  <c r="N61" i="14"/>
  <c r="O61" i="14" s="1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O69" i="14" s="1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N84" i="14"/>
  <c r="O84" i="14" s="1"/>
  <c r="N85" i="14"/>
  <c r="O85" i="14" s="1"/>
  <c r="N86" i="14"/>
  <c r="O86" i="14" s="1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O95" i="14" s="1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N127" i="14"/>
  <c r="O127" i="14" s="1"/>
  <c r="P127" i="14" s="1"/>
  <c r="O44" i="14"/>
  <c r="O60" i="14"/>
  <c r="O20" i="14"/>
  <c r="O28" i="14"/>
  <c r="O36" i="14"/>
  <c r="O39" i="14"/>
  <c r="O41" i="14"/>
  <c r="O47" i="14"/>
  <c r="O63" i="14"/>
  <c r="O76" i="14"/>
  <c r="O83" i="14"/>
  <c r="O92" i="14"/>
  <c r="O116" i="14"/>
  <c r="J4" i="23" l="1"/>
  <c r="C4" i="23"/>
  <c r="H31" i="20" s="1"/>
  <c r="J3" i="23"/>
  <c r="C3" i="23"/>
  <c r="H62" i="20" s="1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55" i="20" l="1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40" i="20"/>
  <c r="H32" i="20"/>
  <c r="H58" i="20"/>
  <c r="H54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D3" i="23"/>
  <c r="F2" i="23"/>
  <c r="E2" i="23"/>
  <c r="L4" i="23"/>
  <c r="C32" i="13"/>
  <c r="G3" i="23" l="1"/>
  <c r="G2" i="23"/>
  <c r="M4" i="23"/>
  <c r="B44" i="15"/>
  <c r="N4" i="23" l="1"/>
  <c r="G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F5" i="21" l="1"/>
  <c r="A6" i="21"/>
  <c r="O4" i="23"/>
  <c r="K2" i="21"/>
  <c r="L2" i="21" s="1"/>
  <c r="M2" i="21" s="1"/>
  <c r="N2" i="21" s="1"/>
  <c r="O2" i="21" s="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K3" i="21"/>
  <c r="A7" i="21" l="1"/>
  <c r="E6" i="21"/>
  <c r="F6" i="21"/>
  <c r="F4" i="21"/>
  <c r="E4" i="21"/>
  <c r="D4" i="21"/>
  <c r="E5" i="21"/>
  <c r="G5" i="21" s="1"/>
  <c r="P4" i="23"/>
  <c r="L3" i="21"/>
  <c r="E2" i="21"/>
  <c r="D2" i="21"/>
  <c r="F2" i="2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27" i="14"/>
  <c r="M6" i="20"/>
  <c r="G4" i="21" l="1"/>
  <c r="G6" i="21"/>
  <c r="A8" i="21"/>
  <c r="E7" i="21"/>
  <c r="F7" i="21"/>
  <c r="C24" i="13"/>
  <c r="C23" i="13"/>
  <c r="C16" i="13"/>
  <c r="C19" i="13"/>
  <c r="G5" i="13"/>
  <c r="G8" i="13" s="1"/>
  <c r="Q4" i="23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G2" i="21"/>
  <c r="M3" i="2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26" i="20"/>
  <c r="M51" i="20"/>
  <c r="M50" i="20"/>
  <c r="M56" i="20"/>
  <c r="M17" i="20"/>
  <c r="M32" i="20"/>
  <c r="M22" i="20"/>
  <c r="M21" i="20"/>
  <c r="M10" i="20"/>
  <c r="M41" i="20"/>
  <c r="M20" i="20"/>
  <c r="M25" i="20"/>
  <c r="M23" i="20"/>
  <c r="M53" i="20"/>
  <c r="M16" i="20"/>
  <c r="M55" i="20"/>
  <c r="C5" i="8"/>
  <c r="B5" i="8" s="1" a="1"/>
  <c r="B5" i="8" s="1"/>
  <c r="C2" i="13"/>
  <c r="B49" i="15" s="1"/>
  <c r="AT9" i="18"/>
  <c r="C3" i="8"/>
  <c r="C4" i="8"/>
  <c r="D4" i="23" l="1"/>
  <c r="E4" i="23"/>
  <c r="F4" i="23"/>
  <c r="D3" i="8"/>
  <c r="G7" i="21"/>
  <c r="A9" i="21"/>
  <c r="E8" i="21"/>
  <c r="F8" i="21"/>
  <c r="D4" i="8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N3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BB15" i="19"/>
  <c r="BD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O2" i="14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G8" i="21" l="1"/>
  <c r="G4" i="23"/>
  <c r="A10" i="21"/>
  <c r="E9" i="21"/>
  <c r="F9" i="21"/>
  <c r="O3" i="2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D3" i="21" s="1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7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9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12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4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5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6" i="14"/>
  <c r="G2" i="14"/>
  <c r="G3" i="14"/>
  <c r="A2" i="8"/>
  <c r="A3" i="8" s="1"/>
  <c r="E3" i="21" l="1"/>
  <c r="G9" i="21"/>
  <c r="A11" i="21"/>
  <c r="E10" i="21"/>
  <c r="F10" i="21"/>
  <c r="F3" i="21"/>
  <c r="F14" i="20"/>
  <c r="C8" i="13"/>
  <c r="A4" i="8"/>
  <c r="P53" i="14"/>
  <c r="P56" i="14"/>
  <c r="P62" i="14"/>
  <c r="P65" i="14"/>
  <c r="P70" i="14"/>
  <c r="P73" i="14"/>
  <c r="P74" i="14"/>
  <c r="P75" i="14"/>
  <c r="P79" i="14"/>
  <c r="P81" i="14"/>
  <c r="P82" i="14"/>
  <c r="P84" i="14"/>
  <c r="P85" i="14"/>
  <c r="P88" i="14"/>
  <c r="P89" i="14"/>
  <c r="P90" i="14"/>
  <c r="P91" i="14"/>
  <c r="P93" i="14"/>
  <c r="P94" i="14"/>
  <c r="P95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1" i="14"/>
  <c r="P112" i="14"/>
  <c r="P113" i="14"/>
  <c r="P114" i="14"/>
  <c r="P115" i="14"/>
  <c r="P116" i="14"/>
  <c r="P117" i="14"/>
  <c r="P118" i="14"/>
  <c r="P119" i="14"/>
  <c r="P121" i="14"/>
  <c r="P122" i="14"/>
  <c r="P123" i="14"/>
  <c r="P124" i="14"/>
  <c r="P125" i="14"/>
  <c r="C126" i="14"/>
  <c r="G10" i="21" l="1"/>
  <c r="A12" i="21"/>
  <c r="E11" i="21"/>
  <c r="F11" i="21"/>
  <c r="G3" i="21"/>
  <c r="A5" i="23"/>
  <c r="D126" i="14"/>
  <c r="E126" i="14" s="1"/>
  <c r="F61" i="20"/>
  <c r="L61" i="20"/>
  <c r="F62" i="20"/>
  <c r="L62" i="20"/>
  <c r="N126" i="14"/>
  <c r="O126" i="14" s="1"/>
  <c r="A5" i="8"/>
  <c r="H4" i="13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G11" i="21" l="1"/>
  <c r="A6" i="23"/>
  <c r="E5" i="23"/>
  <c r="F5" i="23"/>
  <c r="A6" i="8"/>
  <c r="C4" i="13"/>
  <c r="A13" i="21"/>
  <c r="E12" i="21"/>
  <c r="F12" i="21"/>
  <c r="H5" i="13"/>
  <c r="P126" i="14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G5" i="23" l="1"/>
  <c r="H18" i="20" s="1"/>
  <c r="A7" i="23"/>
  <c r="E6" i="23"/>
  <c r="F6" i="23"/>
  <c r="G12" i="21"/>
  <c r="A14" i="21"/>
  <c r="E13" i="21"/>
  <c r="F13" i="21"/>
  <c r="A7" i="8"/>
  <c r="H14" i="13"/>
  <c r="H13" i="13"/>
  <c r="G13" i="13" s="1"/>
  <c r="G16" i="13" s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G6" i="23" l="1"/>
  <c r="H60" i="20" s="1"/>
  <c r="A8" i="23"/>
  <c r="E7" i="23"/>
  <c r="G7" i="23" s="1"/>
  <c r="F7" i="23"/>
  <c r="A8" i="8"/>
  <c r="G13" i="21"/>
  <c r="A15" i="21"/>
  <c r="E14" i="21"/>
  <c r="F14" i="21"/>
  <c r="I14" i="13"/>
  <c r="H16" i="13"/>
  <c r="I13" i="13"/>
  <c r="I16" i="13" s="1"/>
  <c r="J5" i="13"/>
  <c r="J14" i="13" s="1"/>
  <c r="E45" i="14"/>
  <c r="P45" i="14" s="1"/>
  <c r="E47" i="14"/>
  <c r="P47" i="14" s="1"/>
  <c r="E76" i="14"/>
  <c r="P76" i="14" s="1"/>
  <c r="E16" i="14"/>
  <c r="P16" i="14" s="1"/>
  <c r="E39" i="14"/>
  <c r="P39" i="14" s="1"/>
  <c r="E25" i="14"/>
  <c r="P25" i="14" s="1"/>
  <c r="E40" i="14"/>
  <c r="P40" i="14" s="1"/>
  <c r="E57" i="14"/>
  <c r="P57" i="14" s="1"/>
  <c r="E24" i="14"/>
  <c r="P24" i="14" s="1"/>
  <c r="E21" i="14"/>
  <c r="P21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9" i="14"/>
  <c r="P9" i="14" s="1"/>
  <c r="E6" i="14"/>
  <c r="P6" i="14" s="1"/>
  <c r="E42" i="14"/>
  <c r="P42" i="14" s="1"/>
  <c r="E61" i="14"/>
  <c r="P61" i="14" s="1"/>
  <c r="E3" i="14"/>
  <c r="P3" i="14" s="1"/>
  <c r="E18" i="14"/>
  <c r="P18" i="14" s="1"/>
  <c r="E83" i="14"/>
  <c r="P83" i="14" s="1"/>
  <c r="E66" i="14"/>
  <c r="P66" i="14" s="1"/>
  <c r="E51" i="14"/>
  <c r="P51" i="14" s="1"/>
  <c r="E14" i="14"/>
  <c r="P14" i="14" s="1"/>
  <c r="E41" i="14"/>
  <c r="P41" i="14" s="1"/>
  <c r="E27" i="14"/>
  <c r="P27" i="14" s="1"/>
  <c r="E13" i="14"/>
  <c r="P13" i="14" s="1"/>
  <c r="E15" i="14"/>
  <c r="P15" i="14" s="1"/>
  <c r="E49" i="14"/>
  <c r="P49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26" i="14"/>
  <c r="P26" i="14" s="1"/>
  <c r="E110" i="14"/>
  <c r="P110" i="14" s="1"/>
  <c r="E50" i="14"/>
  <c r="P50" i="14" s="1"/>
  <c r="E22" i="14"/>
  <c r="P22" i="14" s="1"/>
  <c r="E20" i="14"/>
  <c r="P20" i="14" s="1"/>
  <c r="E55" i="14"/>
  <c r="P55" i="14" s="1"/>
  <c r="E4" i="14"/>
  <c r="P4" i="14" s="1"/>
  <c r="E52" i="14"/>
  <c r="P52" i="14" s="1"/>
  <c r="E29" i="14"/>
  <c r="P29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17" i="14"/>
  <c r="P17" i="14" s="1"/>
  <c r="E77" i="14"/>
  <c r="P77" i="14" s="1"/>
  <c r="E19" i="14"/>
  <c r="P19" i="14" s="1"/>
  <c r="E38" i="14"/>
  <c r="P38" i="14" s="1"/>
  <c r="E96" i="14"/>
  <c r="P96" i="14" s="1"/>
  <c r="E10" i="14"/>
  <c r="P10" i="14" s="1"/>
  <c r="B69" i="22"/>
  <c r="E69" i="14" s="1"/>
  <c r="P69" i="14" s="1"/>
  <c r="B92" i="22"/>
  <c r="E92" i="14" s="1"/>
  <c r="P92" i="14" s="1"/>
  <c r="B68" i="22"/>
  <c r="E68" i="14" s="1"/>
  <c r="P68" i="14" s="1"/>
  <c r="B64" i="22"/>
  <c r="E64" i="14" s="1"/>
  <c r="P64" i="14" s="1"/>
  <c r="B72" i="22"/>
  <c r="E72" i="14" s="1"/>
  <c r="P72" i="14" s="1"/>
  <c r="B59" i="22"/>
  <c r="E59" i="14" s="1"/>
  <c r="P59" i="14" s="1"/>
  <c r="B67" i="22"/>
  <c r="E67" i="14" s="1"/>
  <c r="P67" i="14" s="1"/>
  <c r="B2" i="22"/>
  <c r="E2" i="14" s="1"/>
  <c r="P2" i="14" s="1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C15" i="13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D2" i="8"/>
  <c r="G14" i="21" l="1"/>
  <c r="A9" i="23"/>
  <c r="E8" i="23"/>
  <c r="F8" i="23"/>
  <c r="A16" i="21"/>
  <c r="E15" i="21"/>
  <c r="F15" i="21"/>
  <c r="A9" i="8"/>
  <c r="J13" i="13"/>
  <c r="C9" i="13"/>
  <c r="K5" i="13"/>
  <c r="G3" i="13"/>
  <c r="C36" i="15"/>
  <c r="D26" i="20"/>
  <c r="M66" i="14"/>
  <c r="D25" i="20"/>
  <c r="M45" i="14"/>
  <c r="D63" i="20"/>
  <c r="M75" i="14"/>
  <c r="D4" i="20"/>
  <c r="M67" i="14"/>
  <c r="D56" i="20"/>
  <c r="M41" i="14"/>
  <c r="D13" i="20"/>
  <c r="M71" i="14"/>
  <c r="D44" i="20"/>
  <c r="M52" i="14"/>
  <c r="D20" i="20"/>
  <c r="M55" i="14"/>
  <c r="D16" i="20"/>
  <c r="M47" i="14"/>
  <c r="D42" i="20"/>
  <c r="M49" i="14"/>
  <c r="D37" i="20"/>
  <c r="M72" i="14"/>
  <c r="D41" i="20"/>
  <c r="M48" i="14"/>
  <c r="D6" i="20"/>
  <c r="M39" i="14"/>
  <c r="D23" i="20"/>
  <c r="M46" i="14"/>
  <c r="D55" i="20"/>
  <c r="M26" i="14"/>
  <c r="D22" i="20"/>
  <c r="M34" i="14"/>
  <c r="D21" i="20"/>
  <c r="M37" i="14"/>
  <c r="D28" i="20"/>
  <c r="M58" i="14"/>
  <c r="D17" i="20"/>
  <c r="M61" i="14"/>
  <c r="D47" i="20"/>
  <c r="M38" i="14"/>
  <c r="D32" i="20"/>
  <c r="M51" i="14"/>
  <c r="D51" i="20"/>
  <c r="M42" i="14"/>
  <c r="D50" i="20"/>
  <c r="M44" i="14"/>
  <c r="D10" i="20"/>
  <c r="M40" i="14"/>
  <c r="D53" i="20"/>
  <c r="D36" i="20"/>
  <c r="L1" i="8"/>
  <c r="L4" i="13"/>
  <c r="G15" i="21" l="1"/>
  <c r="G8" i="23"/>
  <c r="A10" i="23"/>
  <c r="E9" i="23"/>
  <c r="F9" i="23"/>
  <c r="A17" i="21"/>
  <c r="E16" i="21"/>
  <c r="F16" i="21"/>
  <c r="A10" i="8"/>
  <c r="K14" i="13"/>
  <c r="K13" i="13"/>
  <c r="G6" i="13"/>
  <c r="G7" i="13" s="1"/>
  <c r="G25" i="13"/>
  <c r="L5" i="13"/>
  <c r="H6" i="13"/>
  <c r="I6" i="13"/>
  <c r="J6" i="13"/>
  <c r="K6" i="13"/>
  <c r="L6" i="13"/>
  <c r="E10" i="20"/>
  <c r="E47" i="20"/>
  <c r="E22" i="20"/>
  <c r="E53" i="20"/>
  <c r="E21" i="20"/>
  <c r="E16" i="20"/>
  <c r="E32" i="20"/>
  <c r="E6" i="20"/>
  <c r="E56" i="20"/>
  <c r="E26" i="20"/>
  <c r="E4" i="20"/>
  <c r="E20" i="20"/>
  <c r="E41" i="20"/>
  <c r="E17" i="20"/>
  <c r="E55" i="20"/>
  <c r="E37" i="20"/>
  <c r="E44" i="20"/>
  <c r="E63" i="20"/>
  <c r="E50" i="20"/>
  <c r="E36" i="20"/>
  <c r="E51" i="20"/>
  <c r="E28" i="20"/>
  <c r="E23" i="20"/>
  <c r="E42" i="20"/>
  <c r="E13" i="20"/>
  <c r="E25" i="20"/>
  <c r="M1" i="8"/>
  <c r="M4" i="13"/>
  <c r="G16" i="21" l="1"/>
  <c r="G9" i="23"/>
  <c r="A11" i="23"/>
  <c r="E10" i="23"/>
  <c r="G10" i="23" s="1"/>
  <c r="F10" i="23"/>
  <c r="A11" i="8"/>
  <c r="A18" i="21"/>
  <c r="E17" i="21"/>
  <c r="F17" i="21"/>
  <c r="K7" i="13"/>
  <c r="I7" i="13"/>
  <c r="J7" i="13"/>
  <c r="L7" i="13"/>
  <c r="H7" i="13"/>
  <c r="G14" i="13"/>
  <c r="L14" i="13"/>
  <c r="L13" i="13"/>
  <c r="C13" i="13"/>
  <c r="M5" i="13"/>
  <c r="I15" i="13"/>
  <c r="L15" i="13"/>
  <c r="K15" i="13"/>
  <c r="J15" i="13"/>
  <c r="M6" i="13"/>
  <c r="N1" i="8"/>
  <c r="N4" i="13"/>
  <c r="A12" i="23" l="1"/>
  <c r="E11" i="23"/>
  <c r="F11" i="23"/>
  <c r="G17" i="21"/>
  <c r="A19" i="21"/>
  <c r="E18" i="21"/>
  <c r="F18" i="21"/>
  <c r="A12" i="8"/>
  <c r="M7" i="13"/>
  <c r="M8" i="13" s="1"/>
  <c r="K8" i="13"/>
  <c r="J8" i="13"/>
  <c r="H8" i="13"/>
  <c r="I8" i="13"/>
  <c r="L8" i="13"/>
  <c r="M14" i="13"/>
  <c r="M13" i="13"/>
  <c r="M15" i="13"/>
  <c r="N5" i="13"/>
  <c r="N14" i="13" s="1"/>
  <c r="N6" i="13"/>
  <c r="O1" i="8"/>
  <c r="O4" i="13"/>
  <c r="G18" i="21" l="1"/>
  <c r="G11" i="23"/>
  <c r="A13" i="23"/>
  <c r="E12" i="23"/>
  <c r="F12" i="23"/>
  <c r="A13" i="8"/>
  <c r="A20" i="21"/>
  <c r="E19" i="21"/>
  <c r="F19" i="21"/>
  <c r="N7" i="13"/>
  <c r="N8" i="13" s="1"/>
  <c r="N13" i="13"/>
  <c r="M17" i="13"/>
  <c r="N15" i="13"/>
  <c r="O5" i="13"/>
  <c r="O6" i="13"/>
  <c r="P1" i="8"/>
  <c r="P4" i="13"/>
  <c r="G19" i="21" l="1"/>
  <c r="G12" i="23"/>
  <c r="A14" i="23"/>
  <c r="E13" i="23"/>
  <c r="F13" i="23"/>
  <c r="A14" i="8"/>
  <c r="A21" i="21"/>
  <c r="E20" i="21"/>
  <c r="F20" i="21"/>
  <c r="O7" i="13"/>
  <c r="O8" i="13" s="1"/>
  <c r="O14" i="13"/>
  <c r="O13" i="13"/>
  <c r="N17" i="13"/>
  <c r="O15" i="13"/>
  <c r="P5" i="13"/>
  <c r="P14" i="13" s="1"/>
  <c r="P6" i="13"/>
  <c r="Q1" i="8"/>
  <c r="Q4" i="13"/>
  <c r="G20" i="21" l="1"/>
  <c r="G13" i="23"/>
  <c r="E14" i="23"/>
  <c r="A15" i="23"/>
  <c r="F14" i="23"/>
  <c r="A15" i="8"/>
  <c r="A22" i="21"/>
  <c r="E21" i="21"/>
  <c r="F21" i="21"/>
  <c r="P7" i="13"/>
  <c r="P13" i="13"/>
  <c r="O17" i="13"/>
  <c r="P15" i="13"/>
  <c r="Q5" i="13"/>
  <c r="Q6" i="13"/>
  <c r="R1" i="8"/>
  <c r="R4" i="13"/>
  <c r="G14" i="23" l="1"/>
  <c r="E15" i="23"/>
  <c r="A16" i="23"/>
  <c r="F15" i="23"/>
  <c r="G21" i="21"/>
  <c r="A23" i="21"/>
  <c r="E22" i="21"/>
  <c r="F22" i="21"/>
  <c r="A16" i="8"/>
  <c r="P8" i="13"/>
  <c r="Q7" i="13"/>
  <c r="Q14" i="13"/>
  <c r="Q13" i="13"/>
  <c r="P17" i="13"/>
  <c r="Q15" i="13"/>
  <c r="R5" i="13"/>
  <c r="R14" i="13" s="1"/>
  <c r="R6" i="13"/>
  <c r="S1" i="8"/>
  <c r="S4" i="13"/>
  <c r="E16" i="23" l="1"/>
  <c r="A17" i="23"/>
  <c r="F16" i="23"/>
  <c r="G15" i="23"/>
  <c r="G22" i="21"/>
  <c r="A17" i="8"/>
  <c r="F16" i="8"/>
  <c r="A24" i="21"/>
  <c r="E23" i="21"/>
  <c r="F23" i="21"/>
  <c r="R7" i="13"/>
  <c r="R8" i="13" s="1"/>
  <c r="Q8" i="13"/>
  <c r="R13" i="13"/>
  <c r="R15" i="13"/>
  <c r="R17" i="13" s="1"/>
  <c r="Q17" i="13"/>
  <c r="S5" i="13"/>
  <c r="S14" i="13" s="1"/>
  <c r="S6" i="13"/>
  <c r="T1" i="8"/>
  <c r="T4" i="13"/>
  <c r="G23" i="21" l="1"/>
  <c r="E17" i="23"/>
  <c r="A18" i="23"/>
  <c r="F17" i="23"/>
  <c r="G16" i="23"/>
  <c r="A25" i="21"/>
  <c r="E24" i="21"/>
  <c r="F24" i="21"/>
  <c r="A18" i="8"/>
  <c r="F17" i="8"/>
  <c r="S7" i="13"/>
  <c r="S8" i="13" s="1"/>
  <c r="S13" i="13"/>
  <c r="S15" i="13"/>
  <c r="S17" i="13" s="1"/>
  <c r="T5" i="13"/>
  <c r="T6" i="13"/>
  <c r="U1" i="8"/>
  <c r="U4" i="13"/>
  <c r="G24" i="21" l="1"/>
  <c r="E18" i="23"/>
  <c r="A19" i="23"/>
  <c r="F18" i="23"/>
  <c r="G17" i="23"/>
  <c r="A19" i="8"/>
  <c r="F18" i="8"/>
  <c r="A26" i="21"/>
  <c r="E25" i="21"/>
  <c r="F25" i="21"/>
  <c r="F15" i="8"/>
  <c r="T7" i="13"/>
  <c r="T8" i="13" s="1"/>
  <c r="T13" i="13"/>
  <c r="T14" i="13"/>
  <c r="T15" i="13"/>
  <c r="T17" i="13" s="1"/>
  <c r="U5" i="13"/>
  <c r="U6" i="13"/>
  <c r="V1" i="8"/>
  <c r="V4" i="13"/>
  <c r="G18" i="23" l="1"/>
  <c r="G25" i="21"/>
  <c r="A20" i="23"/>
  <c r="E19" i="23"/>
  <c r="F19" i="23"/>
  <c r="A27" i="21"/>
  <c r="E26" i="21"/>
  <c r="F26" i="21"/>
  <c r="A20" i="8"/>
  <c r="E19" i="8"/>
  <c r="F19" i="8"/>
  <c r="U7" i="13"/>
  <c r="U8" i="13" s="1"/>
  <c r="U13" i="13"/>
  <c r="U14" i="13"/>
  <c r="U15" i="13"/>
  <c r="U17" i="13" s="1"/>
  <c r="V5" i="13"/>
  <c r="V6" i="13"/>
  <c r="W1" i="8"/>
  <c r="W4" i="13"/>
  <c r="G19" i="23" l="1"/>
  <c r="A21" i="23"/>
  <c r="E20" i="23"/>
  <c r="F20" i="23"/>
  <c r="G19" i="8"/>
  <c r="A21" i="8"/>
  <c r="E20" i="8"/>
  <c r="F20" i="8"/>
  <c r="G26" i="21"/>
  <c r="A28" i="21"/>
  <c r="E27" i="21"/>
  <c r="F27" i="21"/>
  <c r="V7" i="13"/>
  <c r="V13" i="13"/>
  <c r="V14" i="13"/>
  <c r="V15" i="13"/>
  <c r="W5" i="13"/>
  <c r="W14" i="13" s="1"/>
  <c r="W6" i="13"/>
  <c r="X1" i="8"/>
  <c r="X4" i="13"/>
  <c r="G20" i="8" l="1"/>
  <c r="G27" i="21"/>
  <c r="G20" i="23"/>
  <c r="A22" i="23"/>
  <c r="E21" i="23"/>
  <c r="F21" i="23"/>
  <c r="A29" i="21"/>
  <c r="E28" i="21"/>
  <c r="F28" i="21"/>
  <c r="A22" i="8"/>
  <c r="F21" i="8"/>
  <c r="V8" i="13"/>
  <c r="W7" i="13"/>
  <c r="W13" i="13"/>
  <c r="W15" i="13"/>
  <c r="W17" i="13" s="1"/>
  <c r="V17" i="13"/>
  <c r="X5" i="13"/>
  <c r="X14" i="13" s="1"/>
  <c r="X6" i="13"/>
  <c r="Y1" i="8"/>
  <c r="Y4" i="13"/>
  <c r="G21" i="23" l="1"/>
  <c r="E22" i="23"/>
  <c r="A23" i="23"/>
  <c r="F22" i="23"/>
  <c r="A23" i="8"/>
  <c r="E22" i="8"/>
  <c r="F22" i="8"/>
  <c r="G28" i="21"/>
  <c r="A30" i="21"/>
  <c r="E29" i="21"/>
  <c r="F29" i="21"/>
  <c r="X7" i="13"/>
  <c r="X8" i="13" s="1"/>
  <c r="W8" i="13"/>
  <c r="X13" i="13"/>
  <c r="X15" i="13"/>
  <c r="X17" i="13" s="1"/>
  <c r="Y5" i="13"/>
  <c r="Y6" i="13"/>
  <c r="Z1" i="8"/>
  <c r="E21" i="8" s="1"/>
  <c r="G21" i="8" s="1"/>
  <c r="Z4" i="13"/>
  <c r="G22" i="8" l="1"/>
  <c r="G29" i="21"/>
  <c r="G22" i="23"/>
  <c r="E23" i="23"/>
  <c r="A24" i="23"/>
  <c r="F23" i="23"/>
  <c r="A31" i="21"/>
  <c r="E30" i="21"/>
  <c r="F30" i="21"/>
  <c r="A24" i="8"/>
  <c r="E23" i="8"/>
  <c r="F23" i="8"/>
  <c r="Y7" i="13"/>
  <c r="Y8" i="13" s="1"/>
  <c r="Y14" i="13"/>
  <c r="Y13" i="13"/>
  <c r="Y15" i="13"/>
  <c r="Z5" i="13"/>
  <c r="Z14" i="13" s="1"/>
  <c r="Z6" i="13"/>
  <c r="AA1" i="8"/>
  <c r="AA4" i="13"/>
  <c r="G30" i="21" l="1"/>
  <c r="E24" i="23"/>
  <c r="A25" i="23"/>
  <c r="F24" i="23"/>
  <c r="G23" i="23"/>
  <c r="A32" i="21"/>
  <c r="E31" i="21"/>
  <c r="F31" i="21"/>
  <c r="G23" i="8"/>
  <c r="A25" i="8"/>
  <c r="E24" i="8"/>
  <c r="F24" i="8"/>
  <c r="Z7" i="13"/>
  <c r="Z8" i="13" s="1"/>
  <c r="Z13" i="13"/>
  <c r="Z15" i="13"/>
  <c r="Y17" i="13"/>
  <c r="AA5" i="13"/>
  <c r="AA6" i="13"/>
  <c r="AB1" i="8"/>
  <c r="AB4" i="13"/>
  <c r="G24" i="23" l="1"/>
  <c r="E25" i="23"/>
  <c r="A26" i="23"/>
  <c r="F25" i="23"/>
  <c r="G24" i="8"/>
  <c r="A26" i="8"/>
  <c r="E25" i="8"/>
  <c r="F25" i="8"/>
  <c r="G31" i="21"/>
  <c r="A33" i="21"/>
  <c r="E32" i="21"/>
  <c r="F32" i="21"/>
  <c r="AA7" i="13"/>
  <c r="AA8" i="13" s="1"/>
  <c r="AA13" i="13"/>
  <c r="AA14" i="13"/>
  <c r="AA15" i="13"/>
  <c r="AA17" i="13" s="1"/>
  <c r="Z17" i="13"/>
  <c r="AB5" i="13"/>
  <c r="AB13" i="13" s="1"/>
  <c r="AB6" i="13"/>
  <c r="AC1" i="8"/>
  <c r="AC4" i="13"/>
  <c r="G32" i="21" l="1"/>
  <c r="G25" i="23"/>
  <c r="E26" i="23"/>
  <c r="A27" i="23"/>
  <c r="F26" i="23"/>
  <c r="A34" i="21"/>
  <c r="E33" i="21"/>
  <c r="F33" i="21"/>
  <c r="G25" i="8"/>
  <c r="A27" i="8"/>
  <c r="E26" i="8"/>
  <c r="F26" i="8"/>
  <c r="AB7" i="13"/>
  <c r="AB8" i="13" s="1"/>
  <c r="AB14" i="13"/>
  <c r="AB15" i="13"/>
  <c r="AB17" i="13" s="1"/>
  <c r="AC5" i="13"/>
  <c r="AC13" i="13" s="1"/>
  <c r="AC6" i="13"/>
  <c r="AD1" i="8"/>
  <c r="AD4" i="13"/>
  <c r="G33" i="21" l="1"/>
  <c r="G26" i="8"/>
  <c r="G26" i="23"/>
  <c r="A28" i="23"/>
  <c r="E27" i="23"/>
  <c r="F27" i="23"/>
  <c r="A35" i="21"/>
  <c r="E34" i="21"/>
  <c r="F34" i="21"/>
  <c r="E27" i="8"/>
  <c r="A28" i="8"/>
  <c r="F27" i="8"/>
  <c r="AC7" i="13"/>
  <c r="AC8" i="13" s="1"/>
  <c r="AC14" i="13"/>
  <c r="AC15" i="13"/>
  <c r="AC17" i="13" s="1"/>
  <c r="AD5" i="13"/>
  <c r="AD13" i="13" s="1"/>
  <c r="AD6" i="13"/>
  <c r="AE1" i="8"/>
  <c r="AE4" i="13"/>
  <c r="A29" i="23" l="1"/>
  <c r="E28" i="23"/>
  <c r="F28" i="23"/>
  <c r="G27" i="23"/>
  <c r="E28" i="8"/>
  <c r="A29" i="8"/>
  <c r="F28" i="8"/>
  <c r="G27" i="8"/>
  <c r="G34" i="21"/>
  <c r="A36" i="21"/>
  <c r="E35" i="21"/>
  <c r="F35" i="21"/>
  <c r="AD7" i="13"/>
  <c r="AD8" i="13" s="1"/>
  <c r="AD14" i="13"/>
  <c r="AD15" i="13"/>
  <c r="AE5" i="13"/>
  <c r="AE13" i="13" s="1"/>
  <c r="AE6" i="13"/>
  <c r="AF1" i="8"/>
  <c r="AF4" i="13"/>
  <c r="A30" i="23" l="1"/>
  <c r="E29" i="23"/>
  <c r="F29" i="23"/>
  <c r="G28" i="23"/>
  <c r="G35" i="21"/>
  <c r="A37" i="21"/>
  <c r="E36" i="21"/>
  <c r="F36" i="21"/>
  <c r="A30" i="8"/>
  <c r="G28" i="8"/>
  <c r="AE7" i="13"/>
  <c r="AE14" i="13"/>
  <c r="AE15" i="13"/>
  <c r="AE17" i="13" s="1"/>
  <c r="AD17" i="13"/>
  <c r="AF5" i="13"/>
  <c r="AF13" i="13" s="1"/>
  <c r="AF6" i="13"/>
  <c r="AG1" i="8"/>
  <c r="AG4" i="13"/>
  <c r="G36" i="21" l="1"/>
  <c r="E30" i="23"/>
  <c r="A31" i="23"/>
  <c r="F30" i="23"/>
  <c r="G29" i="23"/>
  <c r="E30" i="8"/>
  <c r="A31" i="8"/>
  <c r="F30" i="8"/>
  <c r="A38" i="21"/>
  <c r="E37" i="21"/>
  <c r="F37" i="21"/>
  <c r="AF7" i="13"/>
  <c r="AF8" i="13" s="1"/>
  <c r="AE8" i="13"/>
  <c r="AF14" i="13"/>
  <c r="AF15" i="13"/>
  <c r="AG5" i="13"/>
  <c r="AG6" i="13"/>
  <c r="AH1" i="8"/>
  <c r="AH4" i="13"/>
  <c r="G30" i="23" l="1"/>
  <c r="E31" i="23"/>
  <c r="A32" i="23"/>
  <c r="F31" i="23"/>
  <c r="G37" i="21"/>
  <c r="A39" i="21"/>
  <c r="E38" i="21"/>
  <c r="F38" i="21"/>
  <c r="E31" i="8"/>
  <c r="A32" i="8"/>
  <c r="F31" i="8"/>
  <c r="G30" i="8"/>
  <c r="F29" i="8"/>
  <c r="AG7" i="13"/>
  <c r="AG13" i="13"/>
  <c r="AG14" i="13"/>
  <c r="AG15" i="13"/>
  <c r="AG17" i="13" s="1"/>
  <c r="AF17" i="13"/>
  <c r="AH5" i="13"/>
  <c r="AH13" i="13" s="1"/>
  <c r="AH6" i="13"/>
  <c r="AI1" i="8"/>
  <c r="AI4" i="13"/>
  <c r="G31" i="8" l="1"/>
  <c r="G31" i="23"/>
  <c r="E32" i="23"/>
  <c r="A33" i="23"/>
  <c r="F32" i="23"/>
  <c r="A33" i="8"/>
  <c r="E32" i="8"/>
  <c r="F32" i="8"/>
  <c r="G38" i="21"/>
  <c r="A40" i="21"/>
  <c r="E39" i="21"/>
  <c r="F39" i="21"/>
  <c r="AH7" i="13"/>
  <c r="AH8" i="13" s="1"/>
  <c r="AG8" i="13"/>
  <c r="AH14" i="13"/>
  <c r="AH15" i="13"/>
  <c r="AH17" i="13" s="1"/>
  <c r="AI5" i="13"/>
  <c r="AI13" i="13" s="1"/>
  <c r="AI6" i="13"/>
  <c r="AJ1" i="8"/>
  <c r="AJ4" i="13"/>
  <c r="G32" i="23" l="1"/>
  <c r="E33" i="23"/>
  <c r="A34" i="23"/>
  <c r="F33" i="23"/>
  <c r="G39" i="21"/>
  <c r="A41" i="21"/>
  <c r="E40" i="21"/>
  <c r="F40" i="21"/>
  <c r="G32" i="8"/>
  <c r="G20" i="20" s="1"/>
  <c r="E33" i="8"/>
  <c r="A34" i="8"/>
  <c r="F33" i="8"/>
  <c r="AI7" i="13"/>
  <c r="AI14" i="13"/>
  <c r="AI15" i="13"/>
  <c r="AI17" i="13" s="1"/>
  <c r="AJ5" i="13"/>
  <c r="AJ13" i="13" s="1"/>
  <c r="AJ6" i="13"/>
  <c r="AK1" i="8"/>
  <c r="AK4" i="13"/>
  <c r="G33" i="23" l="1"/>
  <c r="E34" i="23"/>
  <c r="A35" i="23"/>
  <c r="F34" i="23"/>
  <c r="E34" i="8"/>
  <c r="A35" i="8"/>
  <c r="F34" i="8"/>
  <c r="G33" i="8"/>
  <c r="G40" i="21"/>
  <c r="A42" i="21"/>
  <c r="E41" i="21"/>
  <c r="F41" i="21"/>
  <c r="AI8" i="13"/>
  <c r="AJ7" i="13"/>
  <c r="AJ14" i="13"/>
  <c r="AJ15" i="13"/>
  <c r="AK5" i="13"/>
  <c r="AK13" i="13" s="1"/>
  <c r="AK6" i="13"/>
  <c r="AL1" i="8"/>
  <c r="AL4" i="13"/>
  <c r="G34" i="8" l="1"/>
  <c r="G34" i="23"/>
  <c r="A36" i="23"/>
  <c r="E35" i="23"/>
  <c r="F35" i="23"/>
  <c r="G41" i="21"/>
  <c r="A43" i="21"/>
  <c r="E42" i="21"/>
  <c r="F42" i="21"/>
  <c r="A36" i="8"/>
  <c r="E35" i="8"/>
  <c r="F35" i="8"/>
  <c r="AJ8" i="13"/>
  <c r="AK7" i="13"/>
  <c r="AK8" i="13" s="1"/>
  <c r="AM8" i="13"/>
  <c r="AR8" i="13"/>
  <c r="AP8" i="13"/>
  <c r="AQ8" i="13"/>
  <c r="AK14" i="13"/>
  <c r="AL6" i="13"/>
  <c r="AK15" i="13"/>
  <c r="AK17" i="13" s="1"/>
  <c r="AJ17" i="13"/>
  <c r="AL5" i="13"/>
  <c r="AM1" i="8"/>
  <c r="AM4" i="13"/>
  <c r="A37" i="23" l="1"/>
  <c r="E36" i="23"/>
  <c r="F36" i="23"/>
  <c r="G35" i="23"/>
  <c r="G35" i="8"/>
  <c r="E36" i="8"/>
  <c r="A37" i="8"/>
  <c r="F36" i="8"/>
  <c r="G42" i="21"/>
  <c r="A44" i="21"/>
  <c r="E43" i="21"/>
  <c r="F43" i="21"/>
  <c r="AN8" i="13"/>
  <c r="AT8" i="13"/>
  <c r="AO8" i="13"/>
  <c r="AU8" i="13"/>
  <c r="AS8" i="13"/>
  <c r="AL7" i="13"/>
  <c r="AL8" i="13" s="1"/>
  <c r="AL13" i="13"/>
  <c r="AL14" i="13"/>
  <c r="AL15" i="13"/>
  <c r="AL17" i="13" s="1"/>
  <c r="AM5" i="13"/>
  <c r="AM13" i="13" s="1"/>
  <c r="AM6" i="13"/>
  <c r="AN1" i="8"/>
  <c r="AN4" i="13"/>
  <c r="G36" i="8" l="1"/>
  <c r="G43" i="21"/>
  <c r="A38" i="23"/>
  <c r="E37" i="23"/>
  <c r="F37" i="23"/>
  <c r="G36" i="23"/>
  <c r="A45" i="21"/>
  <c r="E44" i="21"/>
  <c r="F44" i="21"/>
  <c r="A38" i="8"/>
  <c r="AM7" i="13"/>
  <c r="AW8" i="13" s="1"/>
  <c r="AV8" i="13"/>
  <c r="AM14" i="13"/>
  <c r="AM15" i="13"/>
  <c r="AM17" i="13" s="1"/>
  <c r="AN5" i="13"/>
  <c r="AN6" i="13"/>
  <c r="G24" i="20"/>
  <c r="AO1" i="8"/>
  <c r="AO4" i="13"/>
  <c r="G37" i="23" l="1"/>
  <c r="E38" i="23"/>
  <c r="A39" i="23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38" i="23"/>
  <c r="A46" i="21"/>
  <c r="E45" i="21"/>
  <c r="F45" i="21"/>
  <c r="A39" i="8"/>
  <c r="E38" i="8"/>
  <c r="F38" i="8"/>
  <c r="G44" i="21"/>
  <c r="AN7" i="13"/>
  <c r="AN13" i="13"/>
  <c r="AN14" i="13"/>
  <c r="AN15" i="13"/>
  <c r="AN17" i="13" s="1"/>
  <c r="AO5" i="13"/>
  <c r="AO13" i="13" s="1"/>
  <c r="AO6" i="13"/>
  <c r="AP1" i="8"/>
  <c r="AP4" i="13"/>
  <c r="G38" i="23" l="1"/>
  <c r="G38" i="8"/>
  <c r="A40" i="8"/>
  <c r="E39" i="8"/>
  <c r="F39" i="8"/>
  <c r="G45" i="21"/>
  <c r="A47" i="21"/>
  <c r="E46" i="21"/>
  <c r="F46" i="21"/>
  <c r="AX8" i="13"/>
  <c r="AO7" i="13"/>
  <c r="AO14" i="13"/>
  <c r="AO15" i="13"/>
  <c r="AO17" i="13" s="1"/>
  <c r="AP5" i="13"/>
  <c r="AP6" i="13"/>
  <c r="G5" i="20"/>
  <c r="AQ1" i="8"/>
  <c r="AQ4" i="13"/>
  <c r="G46" i="21" l="1"/>
  <c r="A48" i="21"/>
  <c r="E47" i="21"/>
  <c r="F47" i="21"/>
  <c r="G39" i="8"/>
  <c r="E40" i="8"/>
  <c r="A41" i="8"/>
  <c r="F40" i="8"/>
  <c r="AY8" i="13"/>
  <c r="AP7" i="13"/>
  <c r="AP13" i="13"/>
  <c r="AP14" i="13"/>
  <c r="AP15" i="13"/>
  <c r="AP17" i="13" s="1"/>
  <c r="AQ5" i="13"/>
  <c r="AQ13" i="13" s="1"/>
  <c r="AQ6" i="13"/>
  <c r="AR1" i="8"/>
  <c r="AR4" i="13"/>
  <c r="G40" i="8" l="1"/>
  <c r="E41" i="8"/>
  <c r="A42" i="8"/>
  <c r="F41" i="8"/>
  <c r="G47" i="21"/>
  <c r="A49" i="21"/>
  <c r="E48" i="21"/>
  <c r="F48" i="21"/>
  <c r="AZ8" i="13"/>
  <c r="AQ7" i="13"/>
  <c r="AQ14" i="13"/>
  <c r="AQ15" i="13"/>
  <c r="AQ17" i="13" s="1"/>
  <c r="AR5" i="13"/>
  <c r="AR6" i="13"/>
  <c r="AS1" i="8"/>
  <c r="AS4" i="13"/>
  <c r="G48" i="21" l="1"/>
  <c r="A50" i="21"/>
  <c r="E49" i="21"/>
  <c r="F49" i="21"/>
  <c r="A43" i="8"/>
  <c r="E42" i="8"/>
  <c r="F42" i="8"/>
  <c r="G41" i="8"/>
  <c r="BA8" i="13"/>
  <c r="AR7" i="13"/>
  <c r="AR13" i="13"/>
  <c r="AR14" i="13"/>
  <c r="AR15" i="13"/>
  <c r="AR17" i="13" s="1"/>
  <c r="AS5" i="13"/>
  <c r="AS13" i="13" s="1"/>
  <c r="AS6" i="13"/>
  <c r="AT1" i="8"/>
  <c r="G29" i="20"/>
  <c r="G43" i="20"/>
  <c r="AT4" i="13"/>
  <c r="G42" i="8" l="1"/>
  <c r="A44" i="8"/>
  <c r="E43" i="8"/>
  <c r="F43" i="8"/>
  <c r="G49" i="21"/>
  <c r="A51" i="21"/>
  <c r="E50" i="21"/>
  <c r="F50" i="21"/>
  <c r="AS7" i="13"/>
  <c r="BC8" i="13" s="1"/>
  <c r="BB8" i="13"/>
  <c r="AS14" i="13"/>
  <c r="AS15" i="13"/>
  <c r="AS17" i="13" s="1"/>
  <c r="AT5" i="13"/>
  <c r="AT6" i="13"/>
  <c r="AU1" i="8"/>
  <c r="AU4" i="13"/>
  <c r="G50" i="21" l="1"/>
  <c r="G43" i="8"/>
  <c r="A52" i="21"/>
  <c r="E51" i="21"/>
  <c r="F51" i="21"/>
  <c r="E44" i="8"/>
  <c r="A45" i="8"/>
  <c r="F44" i="8"/>
  <c r="AT7" i="13"/>
  <c r="AT13" i="13"/>
  <c r="AT14" i="13"/>
  <c r="AT15" i="13"/>
  <c r="AT17" i="13" s="1"/>
  <c r="AU5" i="13"/>
  <c r="AU6" i="13"/>
  <c r="AV1" i="8"/>
  <c r="AV4" i="13"/>
  <c r="E45" i="8" l="1"/>
  <c r="A46" i="8"/>
  <c r="F45" i="8"/>
  <c r="G44" i="8"/>
  <c r="G51" i="21"/>
  <c r="A53" i="21"/>
  <c r="E52" i="21"/>
  <c r="F52" i="21"/>
  <c r="BD8" i="13"/>
  <c r="AU7" i="13"/>
  <c r="AU13" i="13"/>
  <c r="AU14" i="13"/>
  <c r="AU15" i="13"/>
  <c r="AU17" i="13" s="1"/>
  <c r="AV5" i="13"/>
  <c r="AV13" i="13" s="1"/>
  <c r="AV6" i="13"/>
  <c r="AW1" i="8"/>
  <c r="G31" i="20"/>
  <c r="AW4" i="13"/>
  <c r="G45" i="8" l="1"/>
  <c r="G58" i="20" s="1"/>
  <c r="G52" i="21"/>
  <c r="A54" i="21"/>
  <c r="E53" i="21"/>
  <c r="F53" i="21"/>
  <c r="A47" i="8"/>
  <c r="E46" i="8"/>
  <c r="F46" i="8"/>
  <c r="AV7" i="13"/>
  <c r="BF8" i="13" s="1"/>
  <c r="BE8" i="13"/>
  <c r="AV14" i="13"/>
  <c r="AV15" i="13"/>
  <c r="AV17" i="13" s="1"/>
  <c r="AW5" i="13"/>
  <c r="AW6" i="13"/>
  <c r="AX1" i="8"/>
  <c r="G34" i="20"/>
  <c r="AX4" i="13"/>
  <c r="G46" i="8" l="1"/>
  <c r="A48" i="8"/>
  <c r="E47" i="8"/>
  <c r="F47" i="8"/>
  <c r="G53" i="21"/>
  <c r="A55" i="21"/>
  <c r="E54" i="21"/>
  <c r="F54" i="21"/>
  <c r="AW7" i="13"/>
  <c r="AW14" i="13"/>
  <c r="AW13" i="13"/>
  <c r="AW15" i="13"/>
  <c r="AW17" i="13" s="1"/>
  <c r="AX5" i="13"/>
  <c r="AX6" i="13"/>
  <c r="AY1" i="8"/>
  <c r="AY4" i="13"/>
  <c r="G54" i="21" l="1"/>
  <c r="A56" i="21"/>
  <c r="E55" i="21"/>
  <c r="F55" i="21"/>
  <c r="G47" i="8"/>
  <c r="E48" i="8"/>
  <c r="A49" i="8"/>
  <c r="F48" i="8"/>
  <c r="BG8" i="13"/>
  <c r="AX7" i="13"/>
  <c r="AX13" i="13"/>
  <c r="AX14" i="13"/>
  <c r="AX15" i="13"/>
  <c r="AY5" i="13"/>
  <c r="AY13" i="13" s="1"/>
  <c r="AY6" i="13"/>
  <c r="AZ1" i="8"/>
  <c r="AZ4" i="13"/>
  <c r="G55" i="21" l="1"/>
  <c r="E49" i="8"/>
  <c r="A50" i="8"/>
  <c r="F49" i="8"/>
  <c r="G48" i="8"/>
  <c r="A57" i="21"/>
  <c r="E56" i="21"/>
  <c r="F56" i="21"/>
  <c r="AY7" i="13"/>
  <c r="BI8" i="13" s="1"/>
  <c r="BH8" i="13"/>
  <c r="AY14" i="13"/>
  <c r="AX17" i="13"/>
  <c r="AY15" i="13"/>
  <c r="AZ5" i="13"/>
  <c r="AZ13" i="13" s="1"/>
  <c r="AZ6" i="13"/>
  <c r="BA1" i="8"/>
  <c r="G7" i="20"/>
  <c r="BA4" i="13"/>
  <c r="G56" i="21" l="1"/>
  <c r="A58" i="21"/>
  <c r="E57" i="21"/>
  <c r="F57" i="21"/>
  <c r="A51" i="8"/>
  <c r="E50" i="8"/>
  <c r="F50" i="8"/>
  <c r="G49" i="8"/>
  <c r="AZ7" i="13"/>
  <c r="AZ14" i="13"/>
  <c r="AZ15" i="13"/>
  <c r="AZ17" i="13" s="1"/>
  <c r="AY17" i="13"/>
  <c r="BA5" i="13"/>
  <c r="BA6" i="13"/>
  <c r="BB1" i="8"/>
  <c r="G23" i="20"/>
  <c r="J23" i="20" s="1"/>
  <c r="G25" i="20"/>
  <c r="J25" i="20" s="1"/>
  <c r="BB4" i="13"/>
  <c r="G50" i="8" l="1"/>
  <c r="A52" i="8"/>
  <c r="E51" i="8"/>
  <c r="F51" i="8"/>
  <c r="G57" i="21"/>
  <c r="A59" i="21"/>
  <c r="E58" i="21"/>
  <c r="F58" i="21"/>
  <c r="BA7" i="13"/>
  <c r="BA13" i="13"/>
  <c r="BA14" i="13"/>
  <c r="BA15" i="13"/>
  <c r="BA17" i="13" s="1"/>
  <c r="BB5" i="13"/>
  <c r="BB13" i="13" s="1"/>
  <c r="BB6" i="13"/>
  <c r="BC1" i="8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G21" i="20"/>
  <c r="J21" i="20" s="1"/>
  <c r="BC4" i="13"/>
  <c r="G51" i="8" l="1"/>
  <c r="G58" i="21"/>
  <c r="A60" i="21"/>
  <c r="E59" i="21"/>
  <c r="F59" i="21"/>
  <c r="E3" i="8"/>
  <c r="E4" i="8"/>
  <c r="F3" i="8"/>
  <c r="F4" i="8"/>
  <c r="G4" i="8" s="1"/>
  <c r="E7" i="8"/>
  <c r="F8" i="8"/>
  <c r="E6" i="8"/>
  <c r="F7" i="8"/>
  <c r="E5" i="8"/>
  <c r="F5" i="8"/>
  <c r="F6" i="8"/>
  <c r="F10" i="8"/>
  <c r="E10" i="8"/>
  <c r="F9" i="8"/>
  <c r="E8" i="8"/>
  <c r="G8" i="8" s="1"/>
  <c r="F12" i="8"/>
  <c r="F11" i="8"/>
  <c r="E12" i="8"/>
  <c r="E9" i="8"/>
  <c r="G9" i="8" s="1"/>
  <c r="E11" i="8"/>
  <c r="G11" i="8" s="1"/>
  <c r="E13" i="8"/>
  <c r="F13" i="8"/>
  <c r="F14" i="8"/>
  <c r="E17" i="8"/>
  <c r="G17" i="8" s="1"/>
  <c r="E15" i="8"/>
  <c r="G15" i="8" s="1"/>
  <c r="G12" i="20" s="1"/>
  <c r="E14" i="8"/>
  <c r="E16" i="8"/>
  <c r="G16" i="8" s="1"/>
  <c r="E18" i="8"/>
  <c r="G18" i="8" s="1"/>
  <c r="G45" i="20" s="1"/>
  <c r="E29" i="8"/>
  <c r="G29" i="8" s="1"/>
  <c r="G57" i="20" s="1"/>
  <c r="F37" i="8"/>
  <c r="E37" i="8"/>
  <c r="E52" i="8"/>
  <c r="A53" i="8"/>
  <c r="F52" i="8"/>
  <c r="BB7" i="13"/>
  <c r="BB14" i="13"/>
  <c r="BB15" i="13"/>
  <c r="BB17" i="13" s="1"/>
  <c r="BC5" i="13"/>
  <c r="BC13" i="13" s="1"/>
  <c r="BC6" i="13"/>
  <c r="E2" i="8"/>
  <c r="G2" i="8" s="1"/>
  <c r="BD4" i="13"/>
  <c r="G12" i="8" l="1"/>
  <c r="G5" i="8"/>
  <c r="G3" i="8"/>
  <c r="G37" i="8"/>
  <c r="G59" i="20" s="1"/>
  <c r="G6" i="8"/>
  <c r="G59" i="21"/>
  <c r="G13" i="8"/>
  <c r="G7" i="8"/>
  <c r="G14" i="8"/>
  <c r="G10" i="20" s="1"/>
  <c r="J10" i="20" s="1"/>
  <c r="G52" i="8"/>
  <c r="E53" i="8"/>
  <c r="A54" i="8"/>
  <c r="F53" i="8"/>
  <c r="A61" i="21"/>
  <c r="E60" i="21"/>
  <c r="F60" i="21"/>
  <c r="G10" i="8"/>
  <c r="C12" i="13" s="1"/>
  <c r="BC7" i="13"/>
  <c r="BC14" i="13"/>
  <c r="G15" i="20"/>
  <c r="G11" i="20"/>
  <c r="BC15" i="13"/>
  <c r="BC17" i="13" s="1"/>
  <c r="BD5" i="13"/>
  <c r="BD6" i="13"/>
  <c r="G9" i="20"/>
  <c r="G6" i="20"/>
  <c r="J6" i="20" s="1"/>
  <c r="C29" i="13"/>
  <c r="BE4" i="13"/>
  <c r="G60" i="21" l="1"/>
  <c r="A62" i="21"/>
  <c r="E61" i="21"/>
  <c r="F61" i="21"/>
  <c r="A55" i="8"/>
  <c r="E54" i="8"/>
  <c r="F54" i="8"/>
  <c r="G53" i="8"/>
  <c r="BD7" i="13"/>
  <c r="BD13" i="13"/>
  <c r="BD14" i="13"/>
  <c r="G60" i="20"/>
  <c r="BD15" i="13"/>
  <c r="BD17" i="13" s="1"/>
  <c r="BE5" i="13"/>
  <c r="BE13" i="13" s="1"/>
  <c r="BE6" i="13"/>
  <c r="G53" i="20"/>
  <c r="J53" i="20" s="1"/>
  <c r="C21" i="13"/>
  <c r="C22" i="15"/>
  <c r="D29" i="13"/>
  <c r="H3" i="13"/>
  <c r="B29" i="15"/>
  <c r="B34" i="13"/>
  <c r="BF4" i="13"/>
  <c r="G54" i="8" l="1"/>
  <c r="A56" i="8"/>
  <c r="E55" i="8"/>
  <c r="F55" i="8"/>
  <c r="G61" i="21"/>
  <c r="A63" i="21"/>
  <c r="E62" i="21"/>
  <c r="F62" i="21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14" i="13"/>
  <c r="BE15" i="13"/>
  <c r="BE17" i="13" s="1"/>
  <c r="C24" i="15"/>
  <c r="G27" i="13"/>
  <c r="G28" i="13" s="1"/>
  <c r="H27" i="13"/>
  <c r="H28" i="13" s="1"/>
  <c r="H25" i="13"/>
  <c r="BF5" i="13"/>
  <c r="BF13" i="13" s="1"/>
  <c r="BF6" i="13"/>
  <c r="C14" i="13"/>
  <c r="C18" i="15" s="1"/>
  <c r="G22" i="20"/>
  <c r="J22" i="20" s="1"/>
  <c r="G41" i="20"/>
  <c r="J41" i="20" s="1"/>
  <c r="G19" i="20"/>
  <c r="C16" i="15"/>
  <c r="C34" i="15"/>
  <c r="I3" i="13"/>
  <c r="C10" i="15"/>
  <c r="BG4" i="13"/>
  <c r="G62" i="21" l="1"/>
  <c r="A64" i="21"/>
  <c r="E63" i="21"/>
  <c r="F63" i="21"/>
  <c r="G55" i="8"/>
  <c r="E56" i="8"/>
  <c r="A57" i="8"/>
  <c r="F56" i="8"/>
  <c r="BF7" i="13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BF14" i="13"/>
  <c r="Y21" i="13"/>
  <c r="BF15" i="13"/>
  <c r="BF17" i="13" s="1"/>
  <c r="I27" i="13"/>
  <c r="I28" i="13" s="1"/>
  <c r="I25" i="13"/>
  <c r="BG5" i="13"/>
  <c r="BG6" i="13"/>
  <c r="J3" i="13"/>
  <c r="BH4" i="13"/>
  <c r="G56" i="8" l="1"/>
  <c r="E57" i="8"/>
  <c r="A58" i="8"/>
  <c r="F57" i="8"/>
  <c r="G63" i="21"/>
  <c r="A65" i="21"/>
  <c r="E64" i="21"/>
  <c r="F64" i="21"/>
  <c r="BG7" i="13"/>
  <c r="BF12" i="13"/>
  <c r="BF11" i="13"/>
  <c r="BF10" i="13"/>
  <c r="BG13" i="13"/>
  <c r="BG14" i="13"/>
  <c r="BG15" i="13"/>
  <c r="BG17" i="13" s="1"/>
  <c r="Z23" i="13"/>
  <c r="Z22" i="13"/>
  <c r="J25" i="13"/>
  <c r="J27" i="13"/>
  <c r="J28" i="13" s="1"/>
  <c r="BH5" i="13"/>
  <c r="BH6" i="13"/>
  <c r="G32" i="20"/>
  <c r="J32" i="20" s="1"/>
  <c r="K3" i="13"/>
  <c r="BI4" i="13"/>
  <c r="A66" i="21" l="1"/>
  <c r="E65" i="21"/>
  <c r="F65" i="21"/>
  <c r="G64" i="21"/>
  <c r="A59" i="8"/>
  <c r="E58" i="8"/>
  <c r="F58" i="8"/>
  <c r="G57" i="8"/>
  <c r="BH7" i="13"/>
  <c r="BG12" i="13"/>
  <c r="BG11" i="13"/>
  <c r="BG10" i="13"/>
  <c r="BH13" i="13"/>
  <c r="BH14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65" i="21" l="1"/>
  <c r="G58" i="8"/>
  <c r="A60" i="8"/>
  <c r="E59" i="8"/>
  <c r="F59" i="8"/>
  <c r="A67" i="21"/>
  <c r="E66" i="21"/>
  <c r="F66" i="21"/>
  <c r="BH12" i="13"/>
  <c r="BH11" i="13"/>
  <c r="BH10" i="13"/>
  <c r="BI7" i="13"/>
  <c r="BI14" i="13"/>
  <c r="BI15" i="13"/>
  <c r="BI17" i="13" s="1"/>
  <c r="AB21" i="13"/>
  <c r="AB22" i="13"/>
  <c r="AB23" i="13"/>
  <c r="L27" i="13"/>
  <c r="L28" i="13" s="1"/>
  <c r="L25" i="13"/>
  <c r="BJ5" i="13"/>
  <c r="BJ6" i="13"/>
  <c r="G50" i="20"/>
  <c r="J50" i="20" s="1"/>
  <c r="G44" i="20"/>
  <c r="J44" i="20" s="1"/>
  <c r="M3" i="13"/>
  <c r="BK4" i="13"/>
  <c r="G66" i="21" l="1"/>
  <c r="A68" i="21"/>
  <c r="E67" i="21"/>
  <c r="F67" i="21"/>
  <c r="G59" i="8"/>
  <c r="E60" i="8"/>
  <c r="A61" i="8"/>
  <c r="F60" i="8"/>
  <c r="BJ7" i="13"/>
  <c r="BI12" i="13"/>
  <c r="BI11" i="13"/>
  <c r="BI10" i="13"/>
  <c r="BJ13" i="13"/>
  <c r="BJ14" i="13"/>
  <c r="BJ15" i="13"/>
  <c r="BJ17" i="13" s="1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G35" i="20" s="1"/>
  <c r="G67" i="21"/>
  <c r="E61" i="8"/>
  <c r="A62" i="8"/>
  <c r="F61" i="8"/>
  <c r="A69" i="21"/>
  <c r="E68" i="21"/>
  <c r="F68" i="21"/>
  <c r="BJ8" i="13"/>
  <c r="BJ12" i="13" s="1"/>
  <c r="BK7" i="13"/>
  <c r="BK8" i="13" s="1"/>
  <c r="BK14" i="13"/>
  <c r="BK15" i="13"/>
  <c r="BK17" i="13" s="1"/>
  <c r="AD21" i="13"/>
  <c r="AD22" i="13"/>
  <c r="AD23" i="13"/>
  <c r="N27" i="13"/>
  <c r="N28" i="13" s="1"/>
  <c r="N25" i="13"/>
  <c r="BL5" i="13"/>
  <c r="BL6" i="13"/>
  <c r="G46" i="20"/>
  <c r="G14" i="20"/>
  <c r="G47" i="20"/>
  <c r="J47" i="20" s="1"/>
  <c r="O3" i="13"/>
  <c r="BM4" i="13"/>
  <c r="G61" i="8" l="1"/>
  <c r="G48" i="20" s="1"/>
  <c r="BJ11" i="13"/>
  <c r="BK11" i="13" s="1"/>
  <c r="G68" i="21"/>
  <c r="A70" i="21"/>
  <c r="E69" i="21"/>
  <c r="F69" i="21"/>
  <c r="BJ10" i="13"/>
  <c r="BK10" i="13" s="1"/>
  <c r="A63" i="8"/>
  <c r="E62" i="8"/>
  <c r="F62" i="8"/>
  <c r="BK12" i="13"/>
  <c r="BL14" i="13"/>
  <c r="BL7" i="13"/>
  <c r="BL13" i="13"/>
  <c r="BL15" i="13"/>
  <c r="AE21" i="13"/>
  <c r="AE23" i="13"/>
  <c r="AE22" i="13"/>
  <c r="O27" i="13"/>
  <c r="O28" i="13" s="1"/>
  <c r="O25" i="13"/>
  <c r="BM5" i="13"/>
  <c r="BM14" i="13" s="1"/>
  <c r="BM6" i="13"/>
  <c r="P3" i="13"/>
  <c r="BN4" i="13"/>
  <c r="A64" i="8" l="1"/>
  <c r="E63" i="8"/>
  <c r="F63" i="8"/>
  <c r="G62" i="8"/>
  <c r="G69" i="21"/>
  <c r="A71" i="21"/>
  <c r="E70" i="21"/>
  <c r="F70" i="21"/>
  <c r="BL8" i="13"/>
  <c r="BL12" i="13" s="1"/>
  <c r="BM13" i="13"/>
  <c r="BM7" i="13"/>
  <c r="BM8" i="13" s="1"/>
  <c r="BL17" i="13"/>
  <c r="BM15" i="13"/>
  <c r="AF21" i="13"/>
  <c r="AF22" i="13"/>
  <c r="AF23" i="13"/>
  <c r="P27" i="13"/>
  <c r="P28" i="13" s="1"/>
  <c r="P25" i="13"/>
  <c r="BN5" i="13"/>
  <c r="BN6" i="13"/>
  <c r="J20" i="20"/>
  <c r="Q3" i="13"/>
  <c r="BO4" i="13"/>
  <c r="G63" i="8" l="1"/>
  <c r="BL10" i="13"/>
  <c r="BM10" i="13" s="1"/>
  <c r="BL11" i="13"/>
  <c r="BM11" i="13" s="1"/>
  <c r="G70" i="21"/>
  <c r="A72" i="21"/>
  <c r="E71" i="21"/>
  <c r="F71" i="21"/>
  <c r="E64" i="8"/>
  <c r="A65" i="8"/>
  <c r="F64" i="8"/>
  <c r="BN7" i="13"/>
  <c r="BM12" i="13"/>
  <c r="BN13" i="13"/>
  <c r="BN14" i="13"/>
  <c r="BN15" i="13"/>
  <c r="BN17" i="13" s="1"/>
  <c r="BM17" i="13"/>
  <c r="AG21" i="13"/>
  <c r="AG23" i="13"/>
  <c r="AG22" i="13"/>
  <c r="Q27" i="13"/>
  <c r="Q28" i="13" s="1"/>
  <c r="Q25" i="13"/>
  <c r="BO5" i="13"/>
  <c r="BO6" i="13"/>
  <c r="G27" i="20"/>
  <c r="G30" i="20"/>
  <c r="R3" i="13"/>
  <c r="BP4" i="13"/>
  <c r="G64" i="8" l="1"/>
  <c r="G71" i="21"/>
  <c r="E65" i="8"/>
  <c r="A66" i="8"/>
  <c r="F65" i="8"/>
  <c r="A73" i="21"/>
  <c r="E72" i="21"/>
  <c r="F72" i="21"/>
  <c r="BN8" i="13"/>
  <c r="BN11" i="13" s="1"/>
  <c r="BO7" i="13"/>
  <c r="BO13" i="13"/>
  <c r="BO14" i="13"/>
  <c r="BO15" i="13"/>
  <c r="BO17" i="13" s="1"/>
  <c r="AH21" i="13"/>
  <c r="AH22" i="13"/>
  <c r="AH23" i="13"/>
  <c r="R27" i="13"/>
  <c r="R28" i="13" s="1"/>
  <c r="R25" i="13"/>
  <c r="BP5" i="13"/>
  <c r="BP13" i="13" s="1"/>
  <c r="BP6" i="13"/>
  <c r="S3" i="13"/>
  <c r="BQ4" i="13"/>
  <c r="G72" i="21" l="1"/>
  <c r="G65" i="8"/>
  <c r="BN12" i="13"/>
  <c r="BN10" i="13"/>
  <c r="A74" i="21"/>
  <c r="E73" i="21"/>
  <c r="F73" i="21"/>
  <c r="A67" i="8"/>
  <c r="E66" i="8"/>
  <c r="F66" i="8"/>
  <c r="BO8" i="13"/>
  <c r="BP7" i="13"/>
  <c r="BP14" i="13"/>
  <c r="BP15" i="13"/>
  <c r="BP17" i="13" s="1"/>
  <c r="AI21" i="13"/>
  <c r="AI23" i="13"/>
  <c r="AI22" i="13"/>
  <c r="S27" i="13"/>
  <c r="S28" i="13" s="1"/>
  <c r="S25" i="13"/>
  <c r="BQ5" i="13"/>
  <c r="BR14" i="13" s="1"/>
  <c r="BQ6" i="13"/>
  <c r="G42" i="20"/>
  <c r="J42" i="20" s="1"/>
  <c r="T3" i="13"/>
  <c r="BR4" i="13"/>
  <c r="G73" i="21" l="1"/>
  <c r="BO10" i="13"/>
  <c r="G66" i="8"/>
  <c r="BO12" i="13"/>
  <c r="A68" i="8"/>
  <c r="E67" i="8"/>
  <c r="F67" i="8"/>
  <c r="BO11" i="13"/>
  <c r="A75" i="21"/>
  <c r="E74" i="21"/>
  <c r="F74" i="21"/>
  <c r="BP8" i="13"/>
  <c r="BP12" i="13" s="1"/>
  <c r="BQ7" i="13"/>
  <c r="BR8" i="13" s="1"/>
  <c r="BZ8" i="13"/>
  <c r="BP10" i="13"/>
  <c r="BQ13" i="13"/>
  <c r="BQ14" i="13"/>
  <c r="BR13" i="13"/>
  <c r="BQ15" i="13"/>
  <c r="BU17" i="13" s="1"/>
  <c r="AJ21" i="13"/>
  <c r="AJ22" i="13"/>
  <c r="AJ23" i="13"/>
  <c r="T27" i="13"/>
  <c r="T28" i="13" s="1"/>
  <c r="T25" i="13"/>
  <c r="BR15" i="13"/>
  <c r="BV17" i="13" s="1"/>
  <c r="BR5" i="13"/>
  <c r="BS14" i="13" s="1"/>
  <c r="BR6" i="13"/>
  <c r="U3" i="13"/>
  <c r="BS4" i="13"/>
  <c r="G74" i="21" l="1"/>
  <c r="A76" i="21"/>
  <c r="E75" i="21"/>
  <c r="F75" i="21"/>
  <c r="G67" i="8"/>
  <c r="E68" i="8"/>
  <c r="A69" i="8"/>
  <c r="F68" i="8"/>
  <c r="BP11" i="13"/>
  <c r="BU8" i="13"/>
  <c r="BT8" i="13"/>
  <c r="CA8" i="13"/>
  <c r="BQ8" i="13"/>
  <c r="BQ12" i="13" s="1"/>
  <c r="BY8" i="13"/>
  <c r="BV8" i="13"/>
  <c r="BX8" i="13"/>
  <c r="BW8" i="13"/>
  <c r="BR7" i="13"/>
  <c r="BS13" i="13"/>
  <c r="BQ17" i="13"/>
  <c r="BS17" i="13"/>
  <c r="BR17" i="13"/>
  <c r="BT17" i="13"/>
  <c r="U27" i="13"/>
  <c r="U28" i="13" s="1"/>
  <c r="U25" i="13"/>
  <c r="BS15" i="13"/>
  <c r="BW17" i="13" s="1"/>
  <c r="BS5" i="13"/>
  <c r="BS6" i="13"/>
  <c r="G33" i="20"/>
  <c r="G56" i="20"/>
  <c r="J56" i="20" s="1"/>
  <c r="G28" i="20"/>
  <c r="J28" i="20" s="1"/>
  <c r="V3" i="13"/>
  <c r="BT4" i="13"/>
  <c r="E69" i="8" l="1"/>
  <c r="A70" i="8"/>
  <c r="F69" i="8"/>
  <c r="G68" i="8"/>
  <c r="G75" i="21"/>
  <c r="BQ10" i="13"/>
  <c r="BR10" i="13" s="1"/>
  <c r="A77" i="21"/>
  <c r="E76" i="21"/>
  <c r="F76" i="21"/>
  <c r="BQ11" i="13"/>
  <c r="BR11" i="13" s="1"/>
  <c r="BS7" i="13"/>
  <c r="CB8" i="13"/>
  <c r="BR12" i="13"/>
  <c r="BT13" i="13"/>
  <c r="BT14" i="13"/>
  <c r="BT15" i="13"/>
  <c r="BX17" i="13" s="1"/>
  <c r="V25" i="13"/>
  <c r="V27" i="13"/>
  <c r="V28" i="13" s="1"/>
  <c r="BT5" i="13"/>
  <c r="BT6" i="13"/>
  <c r="W3" i="13"/>
  <c r="BU4" i="13"/>
  <c r="G69" i="8" l="1"/>
  <c r="A78" i="21"/>
  <c r="E77" i="21"/>
  <c r="F77" i="21"/>
  <c r="G76" i="21"/>
  <c r="A71" i="8"/>
  <c r="E70" i="8"/>
  <c r="F70" i="8"/>
  <c r="CC8" i="13"/>
  <c r="BS8" i="13"/>
  <c r="BS12" i="13" s="1"/>
  <c r="BT7" i="13"/>
  <c r="BU13" i="13"/>
  <c r="BU14" i="13"/>
  <c r="G55" i="20"/>
  <c r="J55" i="20" s="1"/>
  <c r="W27" i="13"/>
  <c r="W28" i="13" s="1"/>
  <c r="W25" i="13"/>
  <c r="BU15" i="13"/>
  <c r="BY17" i="13" s="1"/>
  <c r="BU5" i="13"/>
  <c r="BV14" i="13" s="1"/>
  <c r="BU6" i="13"/>
  <c r="G38" i="20"/>
  <c r="G16" i="20"/>
  <c r="J16" i="20" s="1"/>
  <c r="X3" i="13"/>
  <c r="BV4" i="13"/>
  <c r="G70" i="8" l="1"/>
  <c r="BS10" i="13"/>
  <c r="BT10" i="13" s="1"/>
  <c r="BS11" i="13"/>
  <c r="BT11" i="13" s="1"/>
  <c r="A72" i="8"/>
  <c r="E71" i="8"/>
  <c r="F71" i="8"/>
  <c r="G77" i="21"/>
  <c r="E78" i="21"/>
  <c r="A79" i="21"/>
  <c r="F78" i="21"/>
  <c r="BU7" i="13"/>
  <c r="CE8" i="13" s="1"/>
  <c r="CD8" i="13"/>
  <c r="BT12" i="13"/>
  <c r="BV15" i="13"/>
  <c r="BZ17" i="13" s="1"/>
  <c r="BV13" i="13"/>
  <c r="X27" i="13"/>
  <c r="X28" i="13" s="1"/>
  <c r="X25" i="13"/>
  <c r="BV5" i="13"/>
  <c r="BV6" i="13"/>
  <c r="G18" i="20"/>
  <c r="G39" i="20"/>
  <c r="Y3" i="13"/>
  <c r="BW4" i="13"/>
  <c r="E79" i="21" l="1"/>
  <c r="A80" i="21"/>
  <c r="F79" i="21"/>
  <c r="G78" i="21"/>
  <c r="G71" i="8"/>
  <c r="G36" i="20" s="1"/>
  <c r="J36" i="20" s="1"/>
  <c r="E72" i="8"/>
  <c r="A73" i="8"/>
  <c r="F72" i="8"/>
  <c r="BU11" i="13"/>
  <c r="BV11" i="13" s="1"/>
  <c r="BW11" i="13" s="1"/>
  <c r="BX11" i="13" s="1"/>
  <c r="BY11" i="13" s="1"/>
  <c r="BZ11" i="13" s="1"/>
  <c r="CA11" i="13" s="1"/>
  <c r="CB11" i="13" s="1"/>
  <c r="CC11" i="13" s="1"/>
  <c r="CD11" i="13" s="1"/>
  <c r="BU12" i="13"/>
  <c r="BV12" i="13" s="1"/>
  <c r="BW12" i="13" s="1"/>
  <c r="BX12" i="13" s="1"/>
  <c r="BY12" i="13" s="1"/>
  <c r="BZ12" i="13" s="1"/>
  <c r="CA12" i="13" s="1"/>
  <c r="CB12" i="13" s="1"/>
  <c r="CC12" i="13" s="1"/>
  <c r="CD12" i="13" s="1"/>
  <c r="BU10" i="13"/>
  <c r="BV10" i="13" s="1"/>
  <c r="BW10" i="13" s="1"/>
  <c r="BX10" i="13" s="1"/>
  <c r="BY10" i="13" s="1"/>
  <c r="BZ10" i="13" s="1"/>
  <c r="CA10" i="13" s="1"/>
  <c r="CB10" i="13" s="1"/>
  <c r="CC10" i="13" s="1"/>
  <c r="CD10" i="13" s="1"/>
  <c r="BW14" i="13"/>
  <c r="BV7" i="13"/>
  <c r="CF8" i="13" s="1"/>
  <c r="BW13" i="13"/>
  <c r="Y27" i="13"/>
  <c r="Y28" i="13" s="1"/>
  <c r="Y25" i="13"/>
  <c r="BW15" i="13"/>
  <c r="CA17" i="13" s="1"/>
  <c r="BW5" i="13"/>
  <c r="BW6" i="13"/>
  <c r="G49" i="20"/>
  <c r="G51" i="20"/>
  <c r="J51" i="20" s="1"/>
  <c r="Z3" i="13"/>
  <c r="BX4" i="13"/>
  <c r="G72" i="8" l="1"/>
  <c r="E73" i="8"/>
  <c r="A74" i="8"/>
  <c r="F73" i="8"/>
  <c r="E80" i="21"/>
  <c r="A81" i="21"/>
  <c r="F80" i="21"/>
  <c r="G79" i="21"/>
  <c r="CE12" i="13"/>
  <c r="CE11" i="13"/>
  <c r="CE10" i="13"/>
  <c r="BX14" i="13"/>
  <c r="BW7" i="13"/>
  <c r="CG8" i="13" s="1"/>
  <c r="BX15" i="13"/>
  <c r="CB17" i="13" s="1"/>
  <c r="BX13" i="13"/>
  <c r="G40" i="20"/>
  <c r="Z25" i="13"/>
  <c r="Z27" i="13"/>
  <c r="Z28" i="13" s="1"/>
  <c r="BX5" i="13"/>
  <c r="BX6" i="13"/>
  <c r="G54" i="20"/>
  <c r="G52" i="20"/>
  <c r="AA3" i="13"/>
  <c r="BY4" i="13"/>
  <c r="G73" i="8" l="1"/>
  <c r="A82" i="21"/>
  <c r="E81" i="21"/>
  <c r="F81" i="21"/>
  <c r="G80" i="21"/>
  <c r="A75" i="8"/>
  <c r="E74" i="8"/>
  <c r="F74" i="8"/>
  <c r="CF10" i="13"/>
  <c r="CF11" i="13"/>
  <c r="CF12" i="13"/>
  <c r="BY14" i="13"/>
  <c r="BX7" i="13"/>
  <c r="CH8" i="13" s="1"/>
  <c r="BY13" i="13"/>
  <c r="BY15" i="13"/>
  <c r="CC17" i="13" s="1"/>
  <c r="AA27" i="13"/>
  <c r="AA28" i="13" s="1"/>
  <c r="AA25" i="13"/>
  <c r="BY5" i="13"/>
  <c r="BY6" i="13"/>
  <c r="AB3" i="13"/>
  <c r="BZ4" i="13"/>
  <c r="G74" i="8" l="1"/>
  <c r="A76" i="8"/>
  <c r="E75" i="8"/>
  <c r="F75" i="8"/>
  <c r="G81" i="21"/>
  <c r="A83" i="21"/>
  <c r="E82" i="21"/>
  <c r="F82" i="21"/>
  <c r="CG10" i="13"/>
  <c r="CG12" i="13"/>
  <c r="CG11" i="13"/>
  <c r="CH11" i="13" s="1"/>
  <c r="BZ14" i="13"/>
  <c r="BY7" i="13"/>
  <c r="CI8" i="13" s="1"/>
  <c r="BZ13" i="13"/>
  <c r="AB27" i="13"/>
  <c r="AB28" i="13" s="1"/>
  <c r="AB25" i="13"/>
  <c r="BZ15" i="13"/>
  <c r="CD17" i="13" s="1"/>
  <c r="BZ5" i="13"/>
  <c r="BZ6" i="13"/>
  <c r="AC3" i="13"/>
  <c r="CA4" i="13"/>
  <c r="G75" i="8" l="1"/>
  <c r="G82" i="21"/>
  <c r="A84" i="21"/>
  <c r="E83" i="21"/>
  <c r="F83" i="21"/>
  <c r="E76" i="8"/>
  <c r="A77" i="8"/>
  <c r="F76" i="8"/>
  <c r="CH10" i="13"/>
  <c r="CH12" i="13"/>
  <c r="CI12" i="13" s="1"/>
  <c r="CA14" i="13"/>
  <c r="BZ7" i="13"/>
  <c r="CJ8" i="13" s="1"/>
  <c r="CA15" i="13"/>
  <c r="CE17" i="13" s="1"/>
  <c r="CA13" i="13"/>
  <c r="AC27" i="13"/>
  <c r="AC28" i="13" s="1"/>
  <c r="AC25" i="13"/>
  <c r="CA5" i="13"/>
  <c r="CA6" i="13"/>
  <c r="G8" i="20"/>
  <c r="AD3" i="13"/>
  <c r="CB4" i="13"/>
  <c r="G76" i="8" l="1"/>
  <c r="E77" i="8"/>
  <c r="A78" i="8"/>
  <c r="F77" i="8"/>
  <c r="G83" i="21"/>
  <c r="E84" i="21"/>
  <c r="A85" i="21"/>
  <c r="F84" i="21"/>
  <c r="CI10" i="13"/>
  <c r="CI11" i="13"/>
  <c r="CB14" i="13"/>
  <c r="CA7" i="13"/>
  <c r="CK8" i="13" s="1"/>
  <c r="CB13" i="13"/>
  <c r="CB15" i="13"/>
  <c r="CF17" i="13" s="1"/>
  <c r="AD27" i="13"/>
  <c r="AD28" i="13" s="1"/>
  <c r="AD25" i="13"/>
  <c r="CB5" i="13"/>
  <c r="CB6" i="13"/>
  <c r="AE3" i="13"/>
  <c r="CC4" i="13"/>
  <c r="G77" i="8" l="1"/>
  <c r="E85" i="21"/>
  <c r="A86" i="21"/>
  <c r="F85" i="21"/>
  <c r="G84" i="21"/>
  <c r="A79" i="8"/>
  <c r="E78" i="8"/>
  <c r="F78" i="8"/>
  <c r="CJ10" i="13"/>
  <c r="CJ11" i="13"/>
  <c r="CJ12" i="13"/>
  <c r="CK12" i="13" s="1"/>
  <c r="CC14" i="13"/>
  <c r="CB7" i="13"/>
  <c r="CL8" i="13" s="1"/>
  <c r="CC13" i="13"/>
  <c r="AE27" i="13"/>
  <c r="AE28" i="13" s="1"/>
  <c r="AE25" i="13"/>
  <c r="CC15" i="13"/>
  <c r="CG17" i="13" s="1"/>
  <c r="CC5" i="13"/>
  <c r="CC6" i="13"/>
  <c r="AF3" i="13"/>
  <c r="CD4" i="13"/>
  <c r="G78" i="8" l="1"/>
  <c r="A80" i="8"/>
  <c r="E79" i="8"/>
  <c r="F79" i="8"/>
  <c r="E86" i="21"/>
  <c r="A87" i="2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F86" i="21"/>
  <c r="G85" i="21"/>
  <c r="CK10" i="13"/>
  <c r="CK11" i="13"/>
  <c r="CD14" i="13"/>
  <c r="CC7" i="13"/>
  <c r="CM8" i="13" s="1"/>
  <c r="CD13" i="13"/>
  <c r="AF27" i="13"/>
  <c r="AF28" i="13" s="1"/>
  <c r="AF25" i="13"/>
  <c r="CD15" i="13"/>
  <c r="CH17" i="13" s="1"/>
  <c r="CD5" i="13"/>
  <c r="CD6" i="13"/>
  <c r="AG3" i="13"/>
  <c r="CE4" i="13"/>
  <c r="G86" i="21" l="1"/>
  <c r="G79" i="8"/>
  <c r="E80" i="8"/>
  <c r="A81" i="8"/>
  <c r="F80" i="8"/>
  <c r="CL10" i="13"/>
  <c r="CL11" i="13"/>
  <c r="CL12" i="13"/>
  <c r="CE14" i="13"/>
  <c r="CD7" i="13"/>
  <c r="CN8" i="13" s="1"/>
  <c r="CE13" i="13"/>
  <c r="AG27" i="13"/>
  <c r="AG28" i="13" s="1"/>
  <c r="AG25" i="13"/>
  <c r="CE15" i="13"/>
  <c r="CI17" i="13" s="1"/>
  <c r="CE5" i="13"/>
  <c r="CE6" i="13"/>
  <c r="AH3" i="13"/>
  <c r="CF4" i="13"/>
  <c r="G80" i="8" l="1"/>
  <c r="E81" i="8"/>
  <c r="A82" i="8"/>
  <c r="F81" i="8"/>
  <c r="CM10" i="13"/>
  <c r="CM11" i="13"/>
  <c r="CM12" i="13"/>
  <c r="CN12" i="13" s="1"/>
  <c r="CF14" i="13"/>
  <c r="CE7" i="13"/>
  <c r="CF13" i="13"/>
  <c r="CF15" i="13"/>
  <c r="CJ17" i="13" s="1"/>
  <c r="AH27" i="13"/>
  <c r="AH28" i="13" s="1"/>
  <c r="AH25" i="13"/>
  <c r="CF5" i="13"/>
  <c r="CF6" i="13"/>
  <c r="AI3" i="13"/>
  <c r="CG4" i="13"/>
  <c r="G81" i="8" l="1"/>
  <c r="A83" i="8"/>
  <c r="E82" i="8"/>
  <c r="F82" i="8"/>
  <c r="CN10" i="13"/>
  <c r="CO8" i="13"/>
  <c r="CN11" i="13"/>
  <c r="CG14" i="13"/>
  <c r="CF7" i="13"/>
  <c r="CG13" i="13"/>
  <c r="CG15" i="13"/>
  <c r="CK17" i="13" s="1"/>
  <c r="AI27" i="13"/>
  <c r="AI28" i="13" s="1"/>
  <c r="AI25" i="13"/>
  <c r="CG5" i="13"/>
  <c r="CG6" i="13"/>
  <c r="G17" i="20"/>
  <c r="J17" i="20" s="1"/>
  <c r="AJ3" i="13"/>
  <c r="CH4" i="13"/>
  <c r="G82" i="8" l="1"/>
  <c r="A84" i="8"/>
  <c r="E83" i="8"/>
  <c r="F83" i="8"/>
  <c r="CO10" i="13"/>
  <c r="CP8" i="13"/>
  <c r="CO11" i="13"/>
  <c r="CO12" i="13"/>
  <c r="CP12" i="13" s="1"/>
  <c r="CH14" i="13"/>
  <c r="CG7" i="13"/>
  <c r="CH13" i="13"/>
  <c r="CH15" i="13"/>
  <c r="CL17" i="13" s="1"/>
  <c r="AJ27" i="13"/>
  <c r="AJ28" i="13" s="1"/>
  <c r="AJ25" i="13"/>
  <c r="CH5" i="13"/>
  <c r="CH6" i="13"/>
  <c r="AK3" i="13"/>
  <c r="CI4" i="13"/>
  <c r="G83" i="8" l="1"/>
  <c r="E84" i="8"/>
  <c r="A85" i="8"/>
  <c r="F84" i="8"/>
  <c r="CP10" i="13"/>
  <c r="CQ8" i="13"/>
  <c r="CP11" i="13"/>
  <c r="CQ11" i="13" s="1"/>
  <c r="CI14" i="13"/>
  <c r="CH7" i="13"/>
  <c r="CI15" i="13"/>
  <c r="CM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Q10" i="13"/>
  <c r="CR8" i="13"/>
  <c r="CQ12" i="13"/>
  <c r="CJ14" i="13"/>
  <c r="CI7" i="13"/>
  <c r="CJ15" i="13"/>
  <c r="CN17" i="13" s="1"/>
  <c r="CJ13" i="13"/>
  <c r="AL25" i="13"/>
  <c r="AL27" i="13"/>
  <c r="AL28" i="13" s="1"/>
  <c r="CJ5" i="13"/>
  <c r="CJ6" i="13"/>
  <c r="AM3" i="13"/>
  <c r="CK4" i="13"/>
  <c r="E86" i="8" l="1"/>
  <c r="A87" i="8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86" i="8"/>
  <c r="G85" i="8"/>
  <c r="CR10" i="13"/>
  <c r="CS8" i="13"/>
  <c r="CR11" i="13"/>
  <c r="CR12" i="13"/>
  <c r="CK14" i="13"/>
  <c r="CJ7" i="13"/>
  <c r="CK13" i="13"/>
  <c r="CK15" i="13"/>
  <c r="CO17" i="13" s="1"/>
  <c r="AM27" i="13"/>
  <c r="AM28" i="13" s="1"/>
  <c r="AM25" i="13"/>
  <c r="CK5" i="13"/>
  <c r="CK6" i="13"/>
  <c r="AN3" i="13"/>
  <c r="CL4" i="13"/>
  <c r="G86" i="8" l="1"/>
  <c r="CS10" i="13"/>
  <c r="CT8" i="13"/>
  <c r="CS12" i="13"/>
  <c r="CS11" i="13"/>
  <c r="CL14" i="13"/>
  <c r="CK7" i="13"/>
  <c r="CL13" i="13"/>
  <c r="CL15" i="13"/>
  <c r="CP17" i="13" s="1"/>
  <c r="AN27" i="13"/>
  <c r="AN28" i="13" s="1"/>
  <c r="AN25" i="13"/>
  <c r="CL5" i="13"/>
  <c r="CL6" i="13"/>
  <c r="AO3" i="13"/>
  <c r="CM4" i="13"/>
  <c r="CT10" i="13" l="1"/>
  <c r="CU8" i="13"/>
  <c r="CT11" i="13"/>
  <c r="CT12" i="13"/>
  <c r="CM14" i="13"/>
  <c r="CL7" i="13"/>
  <c r="CV8" i="13" s="1"/>
  <c r="CM15" i="13"/>
  <c r="CQ17" i="13" s="1"/>
  <c r="CM13" i="13"/>
  <c r="AO27" i="13"/>
  <c r="AO28" i="13" s="1"/>
  <c r="AO25" i="13"/>
  <c r="CM5" i="13"/>
  <c r="CM6" i="13"/>
  <c r="AP3" i="13"/>
  <c r="CN4" i="13"/>
  <c r="CU12" i="13" l="1"/>
  <c r="CV12" i="13" s="1"/>
  <c r="CU10" i="13"/>
  <c r="CU11" i="13"/>
  <c r="CV11" i="13" s="1"/>
  <c r="CN14" i="13"/>
  <c r="CM7" i="13"/>
  <c r="CN15" i="13"/>
  <c r="CR17" i="13" s="1"/>
  <c r="CN13" i="13"/>
  <c r="AP25" i="13"/>
  <c r="AP27" i="13"/>
  <c r="AP28" i="13" s="1"/>
  <c r="CN5" i="13"/>
  <c r="CN6" i="13"/>
  <c r="AQ3" i="13"/>
  <c r="CO4" i="13"/>
  <c r="CV10" i="13" l="1"/>
  <c r="CW8" i="13"/>
  <c r="CO14" i="13"/>
  <c r="CN7" i="13"/>
  <c r="CO13" i="13"/>
  <c r="CO15" i="13"/>
  <c r="CS17" i="13" s="1"/>
  <c r="AQ27" i="13"/>
  <c r="AQ28" i="13" s="1"/>
  <c r="AQ25" i="13"/>
  <c r="CO5" i="13"/>
  <c r="CO6" i="13"/>
  <c r="AR3" i="13"/>
  <c r="CP4" i="13"/>
  <c r="CW10" i="13" l="1"/>
  <c r="CX8" i="13"/>
  <c r="CW12" i="13"/>
  <c r="CW11" i="13"/>
  <c r="CP14" i="13"/>
  <c r="CO7" i="13"/>
  <c r="CP15" i="13"/>
  <c r="CT17" i="13" s="1"/>
  <c r="CP13" i="13"/>
  <c r="AR27" i="13"/>
  <c r="AR28" i="13" s="1"/>
  <c r="AR25" i="13"/>
  <c r="CP5" i="13"/>
  <c r="CP6" i="13"/>
  <c r="AS3" i="13"/>
  <c r="CQ4" i="13"/>
  <c r="CX11" i="13" l="1"/>
  <c r="CX10" i="13"/>
  <c r="CY8" i="13"/>
  <c r="CX12" i="13"/>
  <c r="CQ14" i="13"/>
  <c r="CP7" i="13"/>
  <c r="CQ13" i="13"/>
  <c r="CQ15" i="13"/>
  <c r="CU17" i="13" s="1"/>
  <c r="AS27" i="13"/>
  <c r="AS28" i="13" s="1"/>
  <c r="AS25" i="13"/>
  <c r="CQ5" i="13"/>
  <c r="CQ6" i="13"/>
  <c r="AT3" i="13"/>
  <c r="CR4" i="13"/>
  <c r="CY10" i="13" l="1"/>
  <c r="CZ8" i="13"/>
  <c r="CY12" i="13"/>
  <c r="CY11" i="13"/>
  <c r="CR14" i="13"/>
  <c r="CQ7" i="13"/>
  <c r="CR13" i="13"/>
  <c r="AT27" i="13"/>
  <c r="AT28" i="13" s="1"/>
  <c r="AT25" i="13"/>
  <c r="CR15" i="13"/>
  <c r="CV17" i="13" s="1"/>
  <c r="CR5" i="13"/>
  <c r="CR6" i="13"/>
  <c r="AU3" i="13"/>
  <c r="CS4" i="13"/>
  <c r="CZ10" i="13" l="1"/>
  <c r="DA8" i="13"/>
  <c r="CZ11" i="13"/>
  <c r="CZ12" i="13"/>
  <c r="DA12" i="13" s="1"/>
  <c r="CS14" i="13"/>
  <c r="CR7" i="13"/>
  <c r="CS13" i="13"/>
  <c r="CS15" i="13"/>
  <c r="CW17" i="13" s="1"/>
  <c r="AU27" i="13"/>
  <c r="AU28" i="13" s="1"/>
  <c r="AU25" i="13"/>
  <c r="CS5" i="13"/>
  <c r="CS6" i="13"/>
  <c r="AV3" i="13"/>
  <c r="CT4" i="13"/>
  <c r="DA10" i="13" l="1"/>
  <c r="DB8" i="13"/>
  <c r="DA11" i="13"/>
  <c r="CT14" i="13"/>
  <c r="CS7" i="13"/>
  <c r="CT15" i="13"/>
  <c r="CX17" i="13" s="1"/>
  <c r="CT13" i="13"/>
  <c r="AV27" i="13"/>
  <c r="AV28" i="13" s="1"/>
  <c r="AV25" i="13"/>
  <c r="CT5" i="13"/>
  <c r="CT6" i="13"/>
  <c r="AW3" i="13"/>
  <c r="CU4" i="13"/>
  <c r="DB10" i="13" l="1"/>
  <c r="DC8" i="13"/>
  <c r="DB11" i="13"/>
  <c r="DB12" i="13"/>
  <c r="DC12" i="13" s="1"/>
  <c r="CU14" i="13"/>
  <c r="CT7" i="13"/>
  <c r="DD8" i="13" s="1"/>
  <c r="CU13" i="13"/>
  <c r="CU15" i="13"/>
  <c r="CY17" i="13" s="1"/>
  <c r="AW27" i="13"/>
  <c r="AW28" i="13" s="1"/>
  <c r="AW25" i="13"/>
  <c r="CU5" i="13"/>
  <c r="CU6" i="13"/>
  <c r="AX3" i="13"/>
  <c r="CV4" i="13"/>
  <c r="DC10" i="13" l="1"/>
  <c r="DC11" i="13"/>
  <c r="CV14" i="13"/>
  <c r="CU7" i="13"/>
  <c r="CV13" i="13"/>
  <c r="CV15" i="13"/>
  <c r="CZ17" i="13" s="1"/>
  <c r="AX25" i="13"/>
  <c r="AX27" i="13"/>
  <c r="AX28" i="13" s="1"/>
  <c r="CV5" i="13"/>
  <c r="CV6" i="13"/>
  <c r="AY3" i="13"/>
  <c r="CW4" i="13"/>
  <c r="DD12" i="13" l="1"/>
  <c r="DE8" i="13"/>
  <c r="DD10" i="13"/>
  <c r="DD11" i="13"/>
  <c r="CW14" i="13"/>
  <c r="CV7" i="13"/>
  <c r="DF8" i="13" s="1"/>
  <c r="CW15" i="13"/>
  <c r="DA17" i="13" s="1"/>
  <c r="CW13" i="13"/>
  <c r="AY27" i="13"/>
  <c r="AY28" i="13" s="1"/>
  <c r="AY25" i="13"/>
  <c r="CW5" i="13"/>
  <c r="CW6" i="13"/>
  <c r="AZ3" i="13"/>
  <c r="CX4" i="13"/>
  <c r="DE11" i="13" l="1"/>
  <c r="DE12" i="13"/>
  <c r="DE10" i="13"/>
  <c r="DF10" i="13" s="1"/>
  <c r="CX14" i="13"/>
  <c r="CW7" i="13"/>
  <c r="CX13" i="13"/>
  <c r="CX15" i="13"/>
  <c r="DB17" i="13" s="1"/>
  <c r="AZ27" i="13"/>
  <c r="AZ28" i="13" s="1"/>
  <c r="AZ25" i="13"/>
  <c r="CX5" i="13"/>
  <c r="CX6" i="13"/>
  <c r="BA3" i="13"/>
  <c r="CY4" i="13"/>
  <c r="DF12" i="13" l="1"/>
  <c r="DG8" i="13"/>
  <c r="DF11" i="13"/>
  <c r="CY14" i="13"/>
  <c r="CX7" i="13"/>
  <c r="CY15" i="13"/>
  <c r="DC17" i="13" s="1"/>
  <c r="CY13" i="13"/>
  <c r="BA27" i="13"/>
  <c r="BA28" i="13" s="1"/>
  <c r="BA25" i="13"/>
  <c r="CY5" i="13"/>
  <c r="CY6" i="13"/>
  <c r="BB3" i="13"/>
  <c r="CZ4" i="13"/>
  <c r="DG11" i="13" l="1"/>
  <c r="DG12" i="13"/>
  <c r="DH8" i="13"/>
  <c r="DG10" i="13"/>
  <c r="CZ14" i="13"/>
  <c r="CY7" i="13"/>
  <c r="CZ13" i="13"/>
  <c r="BB25" i="13"/>
  <c r="BB27" i="13"/>
  <c r="BB28" i="13" s="1"/>
  <c r="CZ15" i="13"/>
  <c r="DD17" i="13" s="1"/>
  <c r="CZ5" i="13"/>
  <c r="CZ6" i="13"/>
  <c r="BC3" i="13"/>
  <c r="DA4" i="13"/>
  <c r="DH10" i="13" l="1"/>
  <c r="DH12" i="13"/>
  <c r="DI8" i="13"/>
  <c r="DH11" i="13"/>
  <c r="DA14" i="13"/>
  <c r="CZ7" i="13"/>
  <c r="DA13" i="13"/>
  <c r="DA15" i="13"/>
  <c r="DE17" i="13" s="1"/>
  <c r="BC27" i="13"/>
  <c r="BC28" i="13" s="1"/>
  <c r="BC25" i="13"/>
  <c r="DA5" i="13"/>
  <c r="DA6" i="13"/>
  <c r="BD3" i="13"/>
  <c r="DB4" i="13"/>
  <c r="DI12" i="13" l="1"/>
  <c r="DJ8" i="13"/>
  <c r="DI10" i="13"/>
  <c r="DI11" i="13"/>
  <c r="DJ11" i="13" s="1"/>
  <c r="DB14" i="13"/>
  <c r="DA7" i="13"/>
  <c r="DB13" i="13"/>
  <c r="BD27" i="13"/>
  <c r="BD28" i="13" s="1"/>
  <c r="BD25" i="13"/>
  <c r="DB15" i="13"/>
  <c r="DF17" i="13" s="1"/>
  <c r="DB5" i="13"/>
  <c r="DB6" i="13"/>
  <c r="BE3" i="13"/>
  <c r="DC4" i="13"/>
  <c r="DJ12" i="13" l="1"/>
  <c r="DK8" i="13"/>
  <c r="DJ10" i="13"/>
  <c r="DC14" i="13"/>
  <c r="DB7" i="13"/>
  <c r="DC15" i="13"/>
  <c r="DG17" i="13" s="1"/>
  <c r="DC13" i="13"/>
  <c r="BE27" i="13"/>
  <c r="BE28" i="13" s="1"/>
  <c r="BE25" i="13"/>
  <c r="DC5" i="13"/>
  <c r="DC6" i="13"/>
  <c r="BF3" i="13"/>
  <c r="DD4" i="13"/>
  <c r="DK12" i="13" l="1"/>
  <c r="DL8" i="13"/>
  <c r="DK10" i="13"/>
  <c r="DL10" i="13" s="1"/>
  <c r="DK11" i="13"/>
  <c r="DL11" i="13" s="1"/>
  <c r="DD14" i="13"/>
  <c r="DC7" i="13"/>
  <c r="DD13" i="13"/>
  <c r="BF25" i="13"/>
  <c r="BF27" i="13"/>
  <c r="BF28" i="13" s="1"/>
  <c r="DD15" i="13"/>
  <c r="DH17" i="13" s="1"/>
  <c r="DD5" i="13"/>
  <c r="DD6" i="13"/>
  <c r="BG3" i="13"/>
  <c r="DE4" i="13"/>
  <c r="DL12" i="13" l="1"/>
  <c r="DM8" i="13"/>
  <c r="DE14" i="13"/>
  <c r="DD7" i="13"/>
  <c r="DE15" i="13"/>
  <c r="DI17" i="13" s="1"/>
  <c r="DE13" i="13"/>
  <c r="BG27" i="13"/>
  <c r="BG28" i="13" s="1"/>
  <c r="BG25" i="13"/>
  <c r="DE5" i="13"/>
  <c r="DE6" i="13"/>
  <c r="BH3" i="13"/>
  <c r="DF4" i="13"/>
  <c r="DM12" i="13" l="1"/>
  <c r="DN8" i="13"/>
  <c r="DM10" i="13"/>
  <c r="DM11" i="13"/>
  <c r="DN11" i="13" s="1"/>
  <c r="DF14" i="13"/>
  <c r="DE7" i="13"/>
  <c r="DF13" i="13"/>
  <c r="BH27" i="13"/>
  <c r="BH28" i="13" s="1"/>
  <c r="BH25" i="13"/>
  <c r="DF15" i="13"/>
  <c r="DJ17" i="13" s="1"/>
  <c r="DF5" i="13"/>
  <c r="DF6" i="13"/>
  <c r="BI3" i="13"/>
  <c r="DG4" i="13"/>
  <c r="DN12" i="13" l="1"/>
  <c r="DO8" i="13"/>
  <c r="DN10" i="13"/>
  <c r="DG14" i="13"/>
  <c r="DF7" i="13"/>
  <c r="DG13" i="13"/>
  <c r="BI27" i="13"/>
  <c r="BI28" i="13" s="1"/>
  <c r="BI25" i="13"/>
  <c r="DG15" i="13"/>
  <c r="DK17" i="13" s="1"/>
  <c r="DG5" i="13"/>
  <c r="DG6" i="13"/>
  <c r="BJ3" i="13"/>
  <c r="DH4" i="13"/>
  <c r="DO12" i="13" l="1"/>
  <c r="DP8" i="13"/>
  <c r="DO10" i="13"/>
  <c r="DO11" i="13"/>
  <c r="DH14" i="13"/>
  <c r="DG7" i="13"/>
  <c r="DQ8" i="13" s="1"/>
  <c r="DH15" i="13"/>
  <c r="DL17" i="13" s="1"/>
  <c r="DH13" i="13"/>
  <c r="BJ27" i="13"/>
  <c r="BJ28" i="13" s="1"/>
  <c r="BJ25" i="13"/>
  <c r="DH5" i="13"/>
  <c r="DH6" i="13"/>
  <c r="BK3" i="13"/>
  <c r="DI4" i="13"/>
  <c r="DP12" i="13" l="1"/>
  <c r="DP11" i="13"/>
  <c r="DP10" i="13"/>
  <c r="DI14" i="13"/>
  <c r="DH7" i="13"/>
  <c r="DI13" i="13"/>
  <c r="DI15" i="13"/>
  <c r="DM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J14" i="13"/>
  <c r="DI7" i="13"/>
  <c r="DJ13" i="13"/>
  <c r="DJ15" i="13"/>
  <c r="DN17" i="13" s="1"/>
  <c r="BL27" i="13"/>
  <c r="BL28" i="13" s="1"/>
  <c r="BL25" i="13"/>
  <c r="DJ5" i="13"/>
  <c r="DJ6" i="13"/>
  <c r="BM3" i="13"/>
  <c r="DK4" i="13"/>
  <c r="DR11" i="13" l="1"/>
  <c r="DS8" i="13"/>
  <c r="DR10" i="13"/>
  <c r="DR12" i="13"/>
  <c r="DS12" i="13" s="1"/>
  <c r="DK14" i="13"/>
  <c r="DJ7" i="13"/>
  <c r="DT8" i="13" s="1"/>
  <c r="DK13" i="13"/>
  <c r="BM27" i="13"/>
  <c r="BM28" i="13" s="1"/>
  <c r="BM25" i="13"/>
  <c r="DK15" i="13"/>
  <c r="DO17" i="13" s="1"/>
  <c r="DK5" i="13"/>
  <c r="DK6" i="13"/>
  <c r="BN3" i="13"/>
  <c r="DL4" i="13"/>
  <c r="DS11" i="13" l="1"/>
  <c r="DS10" i="13"/>
  <c r="DT10" i="13" s="1"/>
  <c r="DL14" i="13"/>
  <c r="DK7" i="13"/>
  <c r="DL13" i="13"/>
  <c r="BN25" i="13"/>
  <c r="BN27" i="13"/>
  <c r="BN28" i="13" s="1"/>
  <c r="DL15" i="13"/>
  <c r="DP17" i="13" s="1"/>
  <c r="DL5" i="13"/>
  <c r="DL6" i="13"/>
  <c r="BO3" i="13"/>
  <c r="DM4" i="13"/>
  <c r="DT11" i="13" l="1"/>
  <c r="DU8" i="13"/>
  <c r="DT12" i="13"/>
  <c r="DM14" i="13"/>
  <c r="DL7" i="13"/>
  <c r="DM13" i="13"/>
  <c r="DM15" i="13"/>
  <c r="DQ17" i="13" s="1"/>
  <c r="BO27" i="13"/>
  <c r="BO28" i="13" s="1"/>
  <c r="BO25" i="13"/>
  <c r="DM5" i="13"/>
  <c r="DM6" i="13"/>
  <c r="BP3" i="13"/>
  <c r="DN4" i="13"/>
  <c r="DU11" i="13" l="1"/>
  <c r="DV8" i="13"/>
  <c r="DU12" i="13"/>
  <c r="DU10" i="13"/>
  <c r="DN14" i="13"/>
  <c r="DM7" i="13"/>
  <c r="DN15" i="13"/>
  <c r="DR17" i="13" s="1"/>
  <c r="DN13" i="13"/>
  <c r="BP27" i="13"/>
  <c r="BP28" i="13" s="1"/>
  <c r="BP25" i="13"/>
  <c r="DN5" i="13"/>
  <c r="DN6" i="13"/>
  <c r="BQ3" i="13"/>
  <c r="DO4" i="13"/>
  <c r="DV11" i="13" l="1"/>
  <c r="DW8" i="13"/>
  <c r="DV10" i="13"/>
  <c r="DV12" i="13"/>
  <c r="DW12" i="13" s="1"/>
  <c r="DO14" i="13"/>
  <c r="DN7" i="13"/>
  <c r="DO13" i="13"/>
  <c r="DO15" i="13"/>
  <c r="DS17" i="13" s="1"/>
  <c r="BQ27" i="13"/>
  <c r="BQ28" i="13" s="1"/>
  <c r="BQ25" i="13"/>
  <c r="DO5" i="13"/>
  <c r="DO6" i="13"/>
  <c r="BR3" i="13"/>
  <c r="DP4" i="13"/>
  <c r="DW11" i="13" l="1"/>
  <c r="DX8" i="13"/>
  <c r="DW10" i="13"/>
  <c r="DP14" i="13"/>
  <c r="DT16" i="13" s="1"/>
  <c r="DO7" i="13"/>
  <c r="DP15" i="13"/>
  <c r="DT17" i="13" s="1"/>
  <c r="DP13" i="13"/>
  <c r="DS16" i="13"/>
  <c r="BR27" i="13"/>
  <c r="BR28" i="13" s="1"/>
  <c r="BR25" i="13"/>
  <c r="DP5" i="13"/>
  <c r="DP6" i="13"/>
  <c r="BS3" i="13"/>
  <c r="DQ4" i="13"/>
  <c r="DX10" i="13" l="1"/>
  <c r="DX11" i="13"/>
  <c r="DY8" i="13"/>
  <c r="DX12" i="13"/>
  <c r="DY12" i="13" s="1"/>
  <c r="DQ14" i="13"/>
  <c r="DU16" i="13" s="1"/>
  <c r="DP7" i="13"/>
  <c r="DQ15" i="13"/>
  <c r="DU17" i="13" s="1"/>
  <c r="DQ13" i="13"/>
  <c r="BS27" i="13"/>
  <c r="BS28" i="13" s="1"/>
  <c r="BS25" i="13"/>
  <c r="DR16" i="13"/>
  <c r="DQ5" i="13"/>
  <c r="DQ6" i="13"/>
  <c r="BT3" i="13"/>
  <c r="DR4" i="13"/>
  <c r="DY11" i="13" l="1"/>
  <c r="DZ8" i="13"/>
  <c r="DY10" i="13"/>
  <c r="DR14" i="13"/>
  <c r="DV16" i="13" s="1"/>
  <c r="DQ7" i="13"/>
  <c r="DR13" i="13"/>
  <c r="DR15" i="13"/>
  <c r="DV17" i="13" s="1"/>
  <c r="BT27" i="13"/>
  <c r="BT28" i="13" s="1"/>
  <c r="BT25" i="13"/>
  <c r="DQ16" i="13"/>
  <c r="DR5" i="13"/>
  <c r="DR6" i="13"/>
  <c r="BU3" i="13"/>
  <c r="DS4" i="13"/>
  <c r="DZ11" i="13" l="1"/>
  <c r="EA8" i="13"/>
  <c r="DZ10" i="13"/>
  <c r="DZ12" i="13"/>
  <c r="DS14" i="13"/>
  <c r="DW16" i="13" s="1"/>
  <c r="DR7" i="13"/>
  <c r="DS15" i="13"/>
  <c r="DW17" i="13" s="1"/>
  <c r="DS13" i="13"/>
  <c r="DP16" i="13"/>
  <c r="BU27" i="13"/>
  <c r="BU28" i="13" s="1"/>
  <c r="BU25" i="13"/>
  <c r="DS5" i="13"/>
  <c r="DS6" i="13"/>
  <c r="BV3" i="13"/>
  <c r="DT4" i="13"/>
  <c r="EA12" i="13" l="1"/>
  <c r="EA11" i="13"/>
  <c r="EB8" i="13"/>
  <c r="EA10" i="13"/>
  <c r="DT14" i="13"/>
  <c r="DX16" i="13" s="1"/>
  <c r="DS7" i="13"/>
  <c r="DT13" i="13"/>
  <c r="DT15" i="13"/>
  <c r="DX17" i="13" s="1"/>
  <c r="BV25" i="13"/>
  <c r="BV27" i="13"/>
  <c r="BV28" i="13" s="1"/>
  <c r="DO16" i="13"/>
  <c r="DT5" i="13"/>
  <c r="DT6" i="13"/>
  <c r="BW3" i="13"/>
  <c r="DU4" i="13"/>
  <c r="EB11" i="13" l="1"/>
  <c r="EC8" i="13"/>
  <c r="EB10" i="13"/>
  <c r="EB12" i="13"/>
  <c r="EC12" i="13" s="1"/>
  <c r="DU14" i="13"/>
  <c r="DY16" i="13" s="1"/>
  <c r="DT7" i="13"/>
  <c r="DU13" i="13"/>
  <c r="DU15" i="13"/>
  <c r="DY17" i="13" s="1"/>
  <c r="DN16" i="13"/>
  <c r="BW27" i="13"/>
  <c r="BW28" i="13" s="1"/>
  <c r="BW25" i="13"/>
  <c r="DU5" i="13"/>
  <c r="DU6" i="13"/>
  <c r="BX3" i="13"/>
  <c r="DV4" i="13"/>
  <c r="EC11" i="13" l="1"/>
  <c r="ED8" i="13"/>
  <c r="EC10" i="13"/>
  <c r="DV14" i="13"/>
  <c r="DZ16" i="13" s="1"/>
  <c r="DU7" i="13"/>
  <c r="DV13" i="13"/>
  <c r="DV15" i="13"/>
  <c r="DZ17" i="13" s="1"/>
  <c r="BX27" i="13"/>
  <c r="BX28" i="13" s="1"/>
  <c r="BX25" i="13"/>
  <c r="DM16" i="13"/>
  <c r="DV5" i="13"/>
  <c r="DV6" i="13"/>
  <c r="BY3" i="13"/>
  <c r="DW4" i="13"/>
  <c r="ED10" i="13" l="1"/>
  <c r="ED11" i="13"/>
  <c r="EE8" i="13"/>
  <c r="ED12" i="13"/>
  <c r="DW14" i="13"/>
  <c r="EA16" i="13" s="1"/>
  <c r="DV7" i="13"/>
  <c r="DW13" i="13"/>
  <c r="DL16" i="13"/>
  <c r="DW15" i="13"/>
  <c r="EA17" i="13" s="1"/>
  <c r="BY27" i="13"/>
  <c r="BY28" i="13" s="1"/>
  <c r="BY25" i="13"/>
  <c r="DW5" i="13"/>
  <c r="DW6" i="13"/>
  <c r="BZ3" i="13"/>
  <c r="DX4" i="13"/>
  <c r="EE11" i="13" l="1"/>
  <c r="EF8" i="13"/>
  <c r="EE12" i="13"/>
  <c r="EE10" i="13"/>
  <c r="DX14" i="13"/>
  <c r="EB16" i="13" s="1"/>
  <c r="DW7" i="13"/>
  <c r="DX15" i="13"/>
  <c r="EB17" i="13" s="1"/>
  <c r="DX13" i="13"/>
  <c r="DK16" i="13"/>
  <c r="BZ27" i="13"/>
  <c r="BZ28" i="13" s="1"/>
  <c r="BZ25" i="13"/>
  <c r="DX5" i="13"/>
  <c r="DX6" i="13"/>
  <c r="CA3" i="13"/>
  <c r="DY4" i="13"/>
  <c r="EF11" i="13" l="1"/>
  <c r="EG8" i="13"/>
  <c r="EF10" i="13"/>
  <c r="EF12" i="13"/>
  <c r="DY14" i="13"/>
  <c r="EC16" i="13" s="1"/>
  <c r="DX7" i="13"/>
  <c r="DY15" i="13"/>
  <c r="EC17" i="13" s="1"/>
  <c r="DY13" i="13"/>
  <c r="CA27" i="13"/>
  <c r="CA28" i="13" s="1"/>
  <c r="CA25" i="13"/>
  <c r="DJ16" i="13"/>
  <c r="DY5" i="13"/>
  <c r="DY6" i="13"/>
  <c r="CB3" i="13"/>
  <c r="DZ4" i="13"/>
  <c r="EG11" i="13" l="1"/>
  <c r="EH8" i="13"/>
  <c r="EG12" i="13"/>
  <c r="EG10" i="13"/>
  <c r="DZ14" i="13"/>
  <c r="ED16" i="13" s="1"/>
  <c r="DY7" i="13"/>
  <c r="DZ15" i="13"/>
  <c r="ED17" i="13" s="1"/>
  <c r="DZ13" i="13"/>
  <c r="CB27" i="13"/>
  <c r="CB28" i="13" s="1"/>
  <c r="CB25" i="13"/>
  <c r="DI16" i="13"/>
  <c r="DZ5" i="13"/>
  <c r="DZ6" i="13"/>
  <c r="G26" i="20"/>
  <c r="J26" i="20" s="1"/>
  <c r="CC3" i="13"/>
  <c r="EA4" i="13"/>
  <c r="EH11" i="13" l="1"/>
  <c r="EI8" i="13"/>
  <c r="EH10" i="13"/>
  <c r="EH12" i="13"/>
  <c r="EA14" i="13"/>
  <c r="EE16" i="13" s="1"/>
  <c r="DZ7" i="13"/>
  <c r="EA15" i="13"/>
  <c r="EE17" i="13" s="1"/>
  <c r="EA13" i="13"/>
  <c r="CC27" i="13"/>
  <c r="CC28" i="13" s="1"/>
  <c r="CC25" i="13"/>
  <c r="DH16" i="13"/>
  <c r="EA5" i="13"/>
  <c r="EA6" i="13"/>
  <c r="CD3" i="13"/>
  <c r="EB4" i="13"/>
  <c r="EI11" i="13" l="1"/>
  <c r="EJ8" i="13"/>
  <c r="EI12" i="13"/>
  <c r="EI10" i="13"/>
  <c r="EB14" i="13"/>
  <c r="EF16" i="13" s="1"/>
  <c r="EA7" i="13"/>
  <c r="EB15" i="13"/>
  <c r="EF17" i="13" s="1"/>
  <c r="EB13" i="13"/>
  <c r="CD27" i="13"/>
  <c r="CD28" i="13" s="1"/>
  <c r="CD25" i="13"/>
  <c r="DG16" i="13"/>
  <c r="EB5" i="13"/>
  <c r="EB6" i="13"/>
  <c r="G4" i="20"/>
  <c r="J4" i="20" s="1"/>
  <c r="CE3" i="13"/>
  <c r="EC4" i="13"/>
  <c r="EJ11" i="13" l="1"/>
  <c r="EK8" i="13"/>
  <c r="EJ10" i="13"/>
  <c r="EJ12" i="13"/>
  <c r="EC14" i="13"/>
  <c r="EG16" i="13" s="1"/>
  <c r="EB7" i="13"/>
  <c r="EC15" i="13"/>
  <c r="EG17" i="13" s="1"/>
  <c r="EC13" i="13"/>
  <c r="CE27" i="13"/>
  <c r="CE28" i="13" s="1"/>
  <c r="CE25" i="13"/>
  <c r="DF16" i="13"/>
  <c r="EC5" i="13"/>
  <c r="EC6" i="13"/>
  <c r="CF3" i="13"/>
  <c r="ED4" i="13"/>
  <c r="EK11" i="13" l="1"/>
  <c r="EL8" i="13"/>
  <c r="EK12" i="13"/>
  <c r="EK10" i="13"/>
  <c r="ED14" i="13"/>
  <c r="EH16" i="13" s="1"/>
  <c r="EC7" i="13"/>
  <c r="ED13" i="13"/>
  <c r="CF27" i="13"/>
  <c r="CF28" i="13" s="1"/>
  <c r="CF25" i="13"/>
  <c r="ED15" i="13"/>
  <c r="EH17" i="13" s="1"/>
  <c r="DE16" i="13"/>
  <c r="ED5" i="13"/>
  <c r="ED6" i="13"/>
  <c r="CG3" i="13"/>
  <c r="EE4" i="13"/>
  <c r="EL11" i="13" l="1"/>
  <c r="EM8" i="13"/>
  <c r="EL10" i="13"/>
  <c r="EL12" i="13"/>
  <c r="EE14" i="13"/>
  <c r="EI16" i="13" s="1"/>
  <c r="ED7" i="13"/>
  <c r="EE15" i="13"/>
  <c r="EI17" i="13" s="1"/>
  <c r="EE13" i="13"/>
  <c r="CG27" i="13"/>
  <c r="CG28" i="13" s="1"/>
  <c r="CG25" i="13"/>
  <c r="DD16" i="13"/>
  <c r="EE5" i="13"/>
  <c r="EE6" i="13"/>
  <c r="CH3" i="13"/>
  <c r="EF4" i="13"/>
  <c r="EM11" i="13" l="1"/>
  <c r="EN8" i="13"/>
  <c r="EM12" i="13"/>
  <c r="EM10" i="13"/>
  <c r="EF14" i="13"/>
  <c r="EJ16" i="13" s="1"/>
  <c r="EE7" i="13"/>
  <c r="EF15" i="13"/>
  <c r="EJ17" i="13" s="1"/>
  <c r="EF13" i="13"/>
  <c r="CH25" i="13"/>
  <c r="CH27" i="13"/>
  <c r="CH28" i="13" s="1"/>
  <c r="DC16" i="13"/>
  <c r="EF5" i="13"/>
  <c r="EF6" i="13"/>
  <c r="G13" i="20"/>
  <c r="J13" i="20" s="1"/>
  <c r="G37" i="20"/>
  <c r="J37" i="20" s="1"/>
  <c r="CI3" i="13"/>
  <c r="EG4" i="13"/>
  <c r="EN11" i="13" l="1"/>
  <c r="EO8" i="13"/>
  <c r="EN10" i="13"/>
  <c r="EN12" i="13"/>
  <c r="EG14" i="13"/>
  <c r="EK16" i="13" s="1"/>
  <c r="EF7" i="13"/>
  <c r="EG13" i="13"/>
  <c r="EG15" i="13"/>
  <c r="EK17" i="13" s="1"/>
  <c r="CI27" i="13"/>
  <c r="CI28" i="13" s="1"/>
  <c r="CI25" i="13"/>
  <c r="DB16" i="13"/>
  <c r="EG5" i="13"/>
  <c r="EG6" i="13"/>
  <c r="CJ3" i="13"/>
  <c r="EH4" i="13"/>
  <c r="EO11" i="13" l="1"/>
  <c r="EP8" i="13"/>
  <c r="EO12" i="13"/>
  <c r="EO10" i="13"/>
  <c r="EH14" i="13"/>
  <c r="EL16" i="13" s="1"/>
  <c r="EG7" i="13"/>
  <c r="EH13" i="13"/>
  <c r="EH15" i="13"/>
  <c r="EL17" i="13" s="1"/>
  <c r="DA16" i="13"/>
  <c r="CJ27" i="13"/>
  <c r="CJ28" i="13" s="1"/>
  <c r="CJ25" i="13"/>
  <c r="EH5" i="13"/>
  <c r="EH6" i="13"/>
  <c r="CK3" i="13"/>
  <c r="EI4" i="13"/>
  <c r="EP11" i="13" l="1"/>
  <c r="EQ8" i="13"/>
  <c r="EP10" i="13"/>
  <c r="EP12" i="13"/>
  <c r="EQ12" i="13" s="1"/>
  <c r="EI14" i="13"/>
  <c r="EM16" i="13" s="1"/>
  <c r="EH7" i="13"/>
  <c r="EI15" i="13"/>
  <c r="EM17" i="13" s="1"/>
  <c r="EI13" i="13"/>
  <c r="CZ16" i="13"/>
  <c r="CK27" i="13"/>
  <c r="CK28" i="13" s="1"/>
  <c r="CK25" i="13"/>
  <c r="EI5" i="13"/>
  <c r="EI6" i="13"/>
  <c r="CL3" i="13"/>
  <c r="EJ4" i="13"/>
  <c r="EQ11" i="13" l="1"/>
  <c r="ER8" i="13"/>
  <c r="EQ10" i="13"/>
  <c r="EJ14" i="13"/>
  <c r="EN16" i="13" s="1"/>
  <c r="EI7" i="13"/>
  <c r="EJ13" i="13"/>
  <c r="EJ15" i="13"/>
  <c r="EN17" i="13" s="1"/>
  <c r="CY16" i="13"/>
  <c r="CL25" i="13"/>
  <c r="CL27" i="13"/>
  <c r="CL28" i="13" s="1"/>
  <c r="EJ5" i="13"/>
  <c r="EJ6" i="13"/>
  <c r="G63" i="20"/>
  <c r="J63" i="20" s="1"/>
  <c r="CM3" i="13"/>
  <c r="EK4" i="13"/>
  <c r="ER11" i="13" l="1"/>
  <c r="ES8" i="13"/>
  <c r="ER12" i="13"/>
  <c r="ER10" i="13"/>
  <c r="ES10" i="13" s="1"/>
  <c r="EK14" i="13"/>
  <c r="EO16" i="13" s="1"/>
  <c r="EJ7" i="13"/>
  <c r="EK13" i="13"/>
  <c r="CX16" i="13"/>
  <c r="EK15" i="13"/>
  <c r="EO17" i="13" s="1"/>
  <c r="CM27" i="13"/>
  <c r="CM28" i="13" s="1"/>
  <c r="CM25" i="13"/>
  <c r="EK5" i="13"/>
  <c r="EK6" i="13"/>
  <c r="CN3" i="13"/>
  <c r="EL4" i="13"/>
  <c r="ES11" i="13" l="1"/>
  <c r="ET8" i="13"/>
  <c r="ES12" i="13"/>
  <c r="EL14" i="13"/>
  <c r="EP16" i="13" s="1"/>
  <c r="EK7" i="13"/>
  <c r="EL13" i="13"/>
  <c r="EL15" i="13"/>
  <c r="EP17" i="13" s="1"/>
  <c r="CN27" i="13"/>
  <c r="CN28" i="13" s="1"/>
  <c r="CN25" i="13"/>
  <c r="CW16" i="13"/>
  <c r="EL5" i="13"/>
  <c r="EL6" i="13"/>
  <c r="CO3" i="13"/>
  <c r="EM4" i="13"/>
  <c r="ET11" i="13" l="1"/>
  <c r="EU8" i="13"/>
  <c r="ET12" i="13"/>
  <c r="ET10" i="13"/>
  <c r="EM14" i="13"/>
  <c r="EQ16" i="13" s="1"/>
  <c r="EL7" i="13"/>
  <c r="EM15" i="13"/>
  <c r="EQ17" i="13" s="1"/>
  <c r="EM13" i="13"/>
  <c r="CV16" i="13"/>
  <c r="CO27" i="13"/>
  <c r="CO28" i="13" s="1"/>
  <c r="CO25" i="13"/>
  <c r="EM5" i="13"/>
  <c r="EM6" i="13"/>
  <c r="CP3" i="13"/>
  <c r="EN4" i="13"/>
  <c r="EU11" i="13" l="1"/>
  <c r="EV8" i="13"/>
  <c r="EU10" i="13"/>
  <c r="EU12" i="13"/>
  <c r="EN14" i="13"/>
  <c r="ER16" i="13" s="1"/>
  <c r="EM7" i="13"/>
  <c r="EN13" i="13"/>
  <c r="CU16" i="13"/>
  <c r="EN15" i="13"/>
  <c r="ER17" i="13" s="1"/>
  <c r="CP27" i="13"/>
  <c r="CP28" i="13" s="1"/>
  <c r="CP25" i="13"/>
  <c r="EN5" i="13"/>
  <c r="EN6" i="13"/>
  <c r="CQ3" i="13"/>
  <c r="EO4" i="13"/>
  <c r="EV11" i="13" l="1"/>
  <c r="EW8" i="13"/>
  <c r="EV12" i="13"/>
  <c r="EV10" i="13"/>
  <c r="EO14" i="13"/>
  <c r="ES16" i="13" s="1"/>
  <c r="EN7" i="13"/>
  <c r="EO15" i="13"/>
  <c r="ES17" i="13" s="1"/>
  <c r="EO13" i="13"/>
  <c r="CQ27" i="13"/>
  <c r="CQ28" i="13" s="1"/>
  <c r="CQ25" i="13"/>
  <c r="CT16" i="13"/>
  <c r="EO5" i="13"/>
  <c r="EO6" i="13"/>
  <c r="CR3" i="13"/>
  <c r="EP4" i="13"/>
  <c r="EW11" i="13" l="1"/>
  <c r="EX8" i="13"/>
  <c r="EW10" i="13"/>
  <c r="EW12" i="13"/>
  <c r="EP14" i="13"/>
  <c r="ET16" i="13" s="1"/>
  <c r="EO7" i="13"/>
  <c r="EP15" i="13"/>
  <c r="ET17" i="13" s="1"/>
  <c r="EP13" i="13"/>
  <c r="CR25" i="13"/>
  <c r="CR27" i="13"/>
  <c r="CR28" i="13" s="1"/>
  <c r="CS16" i="13"/>
  <c r="EP5" i="13"/>
  <c r="EP6" i="13"/>
  <c r="CS3" i="13"/>
  <c r="EQ4" i="13"/>
  <c r="EX11" i="13" l="1"/>
  <c r="EY8" i="13"/>
  <c r="EX12" i="13"/>
  <c r="EX10" i="13"/>
  <c r="EQ14" i="13"/>
  <c r="EU16" i="13" s="1"/>
  <c r="EP7" i="13"/>
  <c r="EQ15" i="13"/>
  <c r="EU17" i="13" s="1"/>
  <c r="EQ13" i="13"/>
  <c r="CS27" i="13"/>
  <c r="CS28" i="13" s="1"/>
  <c r="CS25" i="13"/>
  <c r="CR16" i="13"/>
  <c r="EQ5" i="13"/>
  <c r="EQ6" i="13"/>
  <c r="CT3" i="13"/>
  <c r="ER4" i="13"/>
  <c r="EY11" i="13" l="1"/>
  <c r="EZ8" i="13"/>
  <c r="EY10" i="13"/>
  <c r="EY12" i="13"/>
  <c r="ER14" i="13"/>
  <c r="EV16" i="13" s="1"/>
  <c r="EQ7" i="13"/>
  <c r="ER15" i="13"/>
  <c r="EV17" i="13" s="1"/>
  <c r="ER13" i="13"/>
  <c r="CT27" i="13"/>
  <c r="CT28" i="13" s="1"/>
  <c r="CT25" i="13"/>
  <c r="CQ16" i="13"/>
  <c r="ER5" i="13"/>
  <c r="ER6" i="13"/>
  <c r="CU3" i="13"/>
  <c r="ES4" i="13"/>
  <c r="EZ11" i="13" l="1"/>
  <c r="FA8" i="13"/>
  <c r="EZ12" i="13"/>
  <c r="EZ10" i="13"/>
  <c r="ES14" i="13"/>
  <c r="EW16" i="13" s="1"/>
  <c r="ER7" i="13"/>
  <c r="ES13" i="13"/>
  <c r="ES15" i="13"/>
  <c r="EW17" i="13" s="1"/>
  <c r="CU27" i="13"/>
  <c r="CU28" i="13" s="1"/>
  <c r="CU25" i="13"/>
  <c r="CP16" i="13"/>
  <c r="ES5" i="13"/>
  <c r="ES6" i="13"/>
  <c r="CV3" i="13"/>
  <c r="ET4" i="13"/>
  <c r="FA11" i="13" l="1"/>
  <c r="FB8" i="13"/>
  <c r="FA10" i="13"/>
  <c r="FA12" i="13"/>
  <c r="ET14" i="13"/>
  <c r="EX16" i="13" s="1"/>
  <c r="ES7" i="13"/>
  <c r="ET15" i="13"/>
  <c r="EX17" i="13" s="1"/>
  <c r="ET13" i="13"/>
  <c r="CV27" i="13"/>
  <c r="CV28" i="13" s="1"/>
  <c r="CV25" i="13"/>
  <c r="CO16" i="13"/>
  <c r="ET5" i="13"/>
  <c r="ET6" i="13"/>
  <c r="CW3" i="13"/>
  <c r="EU4" i="13"/>
  <c r="FB11" i="13" l="1"/>
  <c r="FC8" i="13"/>
  <c r="FB12" i="13"/>
  <c r="FB10" i="13"/>
  <c r="EU14" i="13"/>
  <c r="EY16" i="13" s="1"/>
  <c r="ET7" i="13"/>
  <c r="EU13" i="13"/>
  <c r="CN16" i="13"/>
  <c r="EU15" i="13"/>
  <c r="EY17" i="13" s="1"/>
  <c r="CW27" i="13"/>
  <c r="CW28" i="13" s="1"/>
  <c r="CW25" i="13"/>
  <c r="EU5" i="13"/>
  <c r="EU6" i="13"/>
  <c r="CX3" i="13"/>
  <c r="EV4" i="13"/>
  <c r="FC11" i="13" l="1"/>
  <c r="FD8" i="13"/>
  <c r="FC10" i="13"/>
  <c r="FC12" i="13"/>
  <c r="EV14" i="13"/>
  <c r="EZ16" i="13" s="1"/>
  <c r="EU7" i="13"/>
  <c r="EV15" i="13"/>
  <c r="EZ17" i="13" s="1"/>
  <c r="EV13" i="13"/>
  <c r="CM16" i="13"/>
  <c r="CX25" i="13"/>
  <c r="CX27" i="13"/>
  <c r="CX28" i="13" s="1"/>
  <c r="EV5" i="13"/>
  <c r="EV6" i="13"/>
  <c r="CY3" i="13"/>
  <c r="EW4" i="13"/>
  <c r="FD11" i="13" l="1"/>
  <c r="FE8" i="13"/>
  <c r="FD12" i="13"/>
  <c r="FD10" i="13"/>
  <c r="EW14" i="13"/>
  <c r="FA16" i="13" s="1"/>
  <c r="EV7" i="13"/>
  <c r="EW15" i="13"/>
  <c r="FA17" i="13" s="1"/>
  <c r="EW13" i="13"/>
  <c r="CY27" i="13"/>
  <c r="CY28" i="13" s="1"/>
  <c r="CY25" i="13"/>
  <c r="CL16" i="13"/>
  <c r="EW5" i="13"/>
  <c r="EW6" i="13"/>
  <c r="CZ3" i="13"/>
  <c r="EX4" i="13"/>
  <c r="FE11" i="13" l="1"/>
  <c r="FF8" i="13"/>
  <c r="FE10" i="13"/>
  <c r="FE12" i="13"/>
  <c r="EX14" i="13"/>
  <c r="FB16" i="13" s="1"/>
  <c r="EW7" i="13"/>
  <c r="EX13" i="13"/>
  <c r="EX15" i="13"/>
  <c r="FB17" i="13" s="1"/>
  <c r="CZ27" i="13"/>
  <c r="CZ28" i="13" s="1"/>
  <c r="CZ25" i="13"/>
  <c r="CK16" i="13"/>
  <c r="EX5" i="13"/>
  <c r="EX6" i="13"/>
  <c r="DA3" i="13"/>
  <c r="EY4" i="13"/>
  <c r="FF11" i="13" l="1"/>
  <c r="FG8" i="13"/>
  <c r="FF12" i="13"/>
  <c r="FF10" i="13"/>
  <c r="EY14" i="13"/>
  <c r="FC16" i="13" s="1"/>
  <c r="EX7" i="13"/>
  <c r="EY15" i="13"/>
  <c r="FC17" i="13" s="1"/>
  <c r="EY13" i="13"/>
  <c r="CJ16" i="13"/>
  <c r="DA27" i="13"/>
  <c r="DA28" i="13" s="1"/>
  <c r="DA25" i="13"/>
  <c r="EY5" i="13"/>
  <c r="EY6" i="13"/>
  <c r="DB3" i="13"/>
  <c r="EZ4" i="13"/>
  <c r="FG11" i="13" l="1"/>
  <c r="FH8" i="13"/>
  <c r="FG10" i="13"/>
  <c r="FG12" i="13"/>
  <c r="EZ14" i="13"/>
  <c r="FD16" i="13" s="1"/>
  <c r="EY7" i="13"/>
  <c r="EZ13" i="13"/>
  <c r="EZ15" i="13"/>
  <c r="FD17" i="13" s="1"/>
  <c r="CI16" i="13"/>
  <c r="DB25" i="13"/>
  <c r="DB27" i="13"/>
  <c r="DB28" i="13" s="1"/>
  <c r="EZ5" i="13"/>
  <c r="EZ6" i="13"/>
  <c r="DC3" i="13"/>
  <c r="FA4" i="13"/>
  <c r="FH11" i="13" l="1"/>
  <c r="FI8" i="13"/>
  <c r="FH12" i="13"/>
  <c r="FH10" i="13"/>
  <c r="FA14" i="13"/>
  <c r="FE16" i="13" s="1"/>
  <c r="EZ7" i="13"/>
  <c r="FA15" i="13"/>
  <c r="FE17" i="13" s="1"/>
  <c r="FA13" i="13"/>
  <c r="DC27" i="13"/>
  <c r="DC28" i="13" s="1"/>
  <c r="DC25" i="13"/>
  <c r="CH16" i="13"/>
  <c r="FA5" i="13"/>
  <c r="FA6" i="13"/>
  <c r="DD3" i="13"/>
  <c r="FB4" i="13"/>
  <c r="FI11" i="13" l="1"/>
  <c r="FJ8" i="13"/>
  <c r="FI10" i="13"/>
  <c r="FI12" i="13"/>
  <c r="FB14" i="13"/>
  <c r="FF16" i="13" s="1"/>
  <c r="FA7" i="13"/>
  <c r="FB13" i="13"/>
  <c r="FB15" i="13"/>
  <c r="FF17" i="13" s="1"/>
  <c r="CG16" i="13"/>
  <c r="DD27" i="13"/>
  <c r="DD28" i="13" s="1"/>
  <c r="DD25" i="13"/>
  <c r="FB5" i="13"/>
  <c r="FB6" i="13"/>
  <c r="DE3" i="13"/>
  <c r="FC4" i="13"/>
  <c r="FJ11" i="13" l="1"/>
  <c r="FK8" i="13"/>
  <c r="FJ12" i="13"/>
  <c r="FJ10" i="13"/>
  <c r="FC14" i="13"/>
  <c r="FG16" i="13" s="1"/>
  <c r="FB7" i="13"/>
  <c r="FL8" i="13" s="1"/>
  <c r="FC15" i="13"/>
  <c r="FG17" i="13" s="1"/>
  <c r="FC13" i="13"/>
  <c r="CF16" i="13"/>
  <c r="DE27" i="13"/>
  <c r="DE28" i="13" s="1"/>
  <c r="DE25" i="13"/>
  <c r="FC5" i="13"/>
  <c r="FC6" i="13"/>
  <c r="DF3" i="13"/>
  <c r="FD4" i="13"/>
  <c r="FK11" i="13" l="1"/>
  <c r="FK10" i="13"/>
  <c r="FK12" i="13"/>
  <c r="FD14" i="13"/>
  <c r="FH16" i="13" s="1"/>
  <c r="FC7" i="13"/>
  <c r="FD15" i="13"/>
  <c r="FH17" i="13" s="1"/>
  <c r="FD13" i="13"/>
  <c r="DF27" i="13"/>
  <c r="DF28" i="13" s="1"/>
  <c r="DF25" i="13"/>
  <c r="CE16" i="13"/>
  <c r="FD5" i="13"/>
  <c r="FD6" i="13"/>
  <c r="DG3" i="13"/>
  <c r="FE4" i="13"/>
  <c r="FL11" i="13" l="1"/>
  <c r="FM8" i="13"/>
  <c r="FL12" i="13"/>
  <c r="FL10" i="13"/>
  <c r="FE14" i="13"/>
  <c r="FI16" i="13" s="1"/>
  <c r="FD7" i="13"/>
  <c r="FE15" i="13"/>
  <c r="FI17" i="13" s="1"/>
  <c r="FE13" i="13"/>
  <c r="DG27" i="13"/>
  <c r="DG28" i="13" s="1"/>
  <c r="DG25" i="13"/>
  <c r="CD16" i="13"/>
  <c r="FE5" i="13"/>
  <c r="FE6" i="13"/>
  <c r="DH3" i="13"/>
  <c r="FF4" i="13"/>
  <c r="FM11" i="13" l="1"/>
  <c r="FN8" i="13"/>
  <c r="FM10" i="13"/>
  <c r="FM12" i="13"/>
  <c r="FF14" i="13"/>
  <c r="FJ16" i="13" s="1"/>
  <c r="FE7" i="13"/>
  <c r="FF15" i="13"/>
  <c r="FJ17" i="13" s="1"/>
  <c r="FF13" i="13"/>
  <c r="DH25" i="13"/>
  <c r="DH27" i="13"/>
  <c r="DH28" i="13" s="1"/>
  <c r="CC16" i="13"/>
  <c r="FF5" i="13"/>
  <c r="FF6" i="13"/>
  <c r="DI3" i="13"/>
  <c r="FG4" i="13"/>
  <c r="FN11" i="13" l="1"/>
  <c r="FO8" i="13"/>
  <c r="FN12" i="13"/>
  <c r="FN10" i="13"/>
  <c r="FG14" i="13"/>
  <c r="FK16" i="13" s="1"/>
  <c r="FF7" i="13"/>
  <c r="FG15" i="13"/>
  <c r="FK17" i="13" s="1"/>
  <c r="FG13" i="13"/>
  <c r="DI27" i="13"/>
  <c r="DI28" i="13" s="1"/>
  <c r="DI25" i="13"/>
  <c r="CB16" i="13"/>
  <c r="FG5" i="13"/>
  <c r="FG6" i="13"/>
  <c r="DJ3" i="13"/>
  <c r="FH4" i="13"/>
  <c r="FO11" i="13" l="1"/>
  <c r="FP8" i="13"/>
  <c r="FO10" i="13"/>
  <c r="FP10" i="13" s="1"/>
  <c r="FO12" i="13"/>
  <c r="FP12" i="13" s="1"/>
  <c r="FH14" i="13"/>
  <c r="FL16" i="13" s="1"/>
  <c r="FG7" i="13"/>
  <c r="FQ8" i="13" s="1"/>
  <c r="FH15" i="13"/>
  <c r="FL17" i="13" s="1"/>
  <c r="FH13" i="13"/>
  <c r="DJ25" i="13"/>
  <c r="DJ27" i="13"/>
  <c r="DJ28" i="13" s="1"/>
  <c r="CA16" i="13"/>
  <c r="FH5" i="13"/>
  <c r="FH6" i="13"/>
  <c r="DK3" i="13"/>
  <c r="FI4" i="13"/>
  <c r="FP11" i="13" l="1"/>
  <c r="FI14" i="13"/>
  <c r="FM16" i="13" s="1"/>
  <c r="FH7" i="13"/>
  <c r="FI15" i="13"/>
  <c r="FM17" i="13" s="1"/>
  <c r="FI13" i="13"/>
  <c r="DK27" i="13"/>
  <c r="DK28" i="13" s="1"/>
  <c r="DK25" i="13"/>
  <c r="BZ16" i="13"/>
  <c r="FI5" i="13"/>
  <c r="FI6" i="13"/>
  <c r="DL3" i="13"/>
  <c r="FJ4" i="13"/>
  <c r="FQ11" i="13" l="1"/>
  <c r="FR8" i="13"/>
  <c r="FQ10" i="13"/>
  <c r="FQ12" i="13"/>
  <c r="FJ14" i="13"/>
  <c r="FN16" i="13" s="1"/>
  <c r="FI7" i="13"/>
  <c r="FS8" i="13" s="1"/>
  <c r="FJ15" i="13"/>
  <c r="FN17" i="13" s="1"/>
  <c r="FJ13" i="13"/>
  <c r="DL27" i="13"/>
  <c r="DL28" i="13" s="1"/>
  <c r="DL25" i="13"/>
  <c r="BY16" i="13"/>
  <c r="FJ5" i="13"/>
  <c r="FJ6" i="13"/>
  <c r="DM3" i="13"/>
  <c r="FK4" i="13"/>
  <c r="FR11" i="13" l="1"/>
  <c r="FS11" i="13" s="1"/>
  <c r="FR12" i="13"/>
  <c r="FR10" i="13"/>
  <c r="FK14" i="13"/>
  <c r="FO16" i="13" s="1"/>
  <c r="FJ7" i="13"/>
  <c r="FT8" i="13" s="1"/>
  <c r="FK15" i="13"/>
  <c r="FO17" i="13" s="1"/>
  <c r="FK13" i="13"/>
  <c r="DM27" i="13"/>
  <c r="DM28" i="13" s="1"/>
  <c r="DM25" i="13"/>
  <c r="BX16" i="13"/>
  <c r="FK5" i="13"/>
  <c r="FK6" i="13"/>
  <c r="DN3" i="13"/>
  <c r="FL4" i="13"/>
  <c r="FS10" i="13" l="1"/>
  <c r="FS12" i="13"/>
  <c r="FL14" i="13"/>
  <c r="FP16" i="13" s="1"/>
  <c r="FK7" i="13"/>
  <c r="FL15" i="13"/>
  <c r="FP17" i="13" s="1"/>
  <c r="FL13" i="13"/>
  <c r="DN25" i="13"/>
  <c r="DN27" i="13"/>
  <c r="DN28" i="13" s="1"/>
  <c r="BW16" i="13"/>
  <c r="FL5" i="13"/>
  <c r="FL6" i="13"/>
  <c r="DO3" i="13"/>
  <c r="FM4" i="13"/>
  <c r="FT11" i="13" l="1"/>
  <c r="FU8" i="13"/>
  <c r="FT12" i="13"/>
  <c r="FT10" i="13"/>
  <c r="FM14" i="13"/>
  <c r="FQ16" i="13" s="1"/>
  <c r="FL7" i="13"/>
  <c r="FM15" i="13"/>
  <c r="FQ17" i="13" s="1"/>
  <c r="FM13" i="13"/>
  <c r="DO27" i="13"/>
  <c r="DO28" i="13" s="1"/>
  <c r="DO25" i="13"/>
  <c r="BV16" i="13"/>
  <c r="FM5" i="13"/>
  <c r="FM6" i="13"/>
  <c r="DP3" i="13"/>
  <c r="FN4" i="13"/>
  <c r="FU11" i="13" l="1"/>
  <c r="FV8" i="13"/>
  <c r="FU10" i="13"/>
  <c r="FU12" i="13"/>
  <c r="FN14" i="13"/>
  <c r="FR16" i="13" s="1"/>
  <c r="FM7" i="13"/>
  <c r="FN15" i="13"/>
  <c r="FR17" i="13" s="1"/>
  <c r="FN13" i="13"/>
  <c r="DP27" i="13"/>
  <c r="DP28" i="13" s="1"/>
  <c r="DP25" i="13"/>
  <c r="BU16" i="13"/>
  <c r="FN5" i="13"/>
  <c r="FN6" i="13"/>
  <c r="DQ3" i="13"/>
  <c r="FO4" i="13"/>
  <c r="FV11" i="13" l="1"/>
  <c r="FW8" i="13"/>
  <c r="FV12" i="13"/>
  <c r="FV10" i="13"/>
  <c r="FO14" i="13"/>
  <c r="FS16" i="13" s="1"/>
  <c r="FN7" i="13"/>
  <c r="FO15" i="13"/>
  <c r="FS17" i="13" s="1"/>
  <c r="FO13" i="13"/>
  <c r="DQ27" i="13"/>
  <c r="DQ28" i="13" s="1"/>
  <c r="DQ25" i="13"/>
  <c r="BT16" i="13"/>
  <c r="FO5" i="13"/>
  <c r="FO6" i="13"/>
  <c r="DR3" i="13"/>
  <c r="FP4" i="13"/>
  <c r="FW11" i="13" l="1"/>
  <c r="FX8" i="13"/>
  <c r="FW10" i="13"/>
  <c r="FW12" i="13"/>
  <c r="FP14" i="13"/>
  <c r="FT16" i="13" s="1"/>
  <c r="FO7" i="13"/>
  <c r="FP15" i="13"/>
  <c r="FT17" i="13" s="1"/>
  <c r="FP13" i="13"/>
  <c r="DR25" i="13"/>
  <c r="DR27" i="13"/>
  <c r="DR28" i="13" s="1"/>
  <c r="BS16" i="13"/>
  <c r="FP5" i="13"/>
  <c r="FP6" i="13"/>
  <c r="DS3" i="13"/>
  <c r="FQ4" i="13"/>
  <c r="FX11" i="13" l="1"/>
  <c r="FY8" i="13"/>
  <c r="FX12" i="13"/>
  <c r="FX10" i="13"/>
  <c r="FQ14" i="13"/>
  <c r="FU16" i="13" s="1"/>
  <c r="FP7" i="13"/>
  <c r="FQ15" i="13"/>
  <c r="FU17" i="13" s="1"/>
  <c r="FQ13" i="13"/>
  <c r="DS27" i="13"/>
  <c r="DS28" i="13" s="1"/>
  <c r="DS25" i="13"/>
  <c r="BR16" i="13"/>
  <c r="FQ5" i="13"/>
  <c r="FQ6" i="13"/>
  <c r="DT3" i="13"/>
  <c r="FR4" i="13"/>
  <c r="FY11" i="13" l="1"/>
  <c r="FZ8" i="13"/>
  <c r="FY10" i="13"/>
  <c r="FY12" i="13"/>
  <c r="FR14" i="13"/>
  <c r="FV16" i="13" s="1"/>
  <c r="FQ7" i="13"/>
  <c r="FR13" i="13"/>
  <c r="FR15" i="13"/>
  <c r="FV17" i="13" s="1"/>
  <c r="DT27" i="13"/>
  <c r="DT28" i="13" s="1"/>
  <c r="DT25" i="13"/>
  <c r="BQ16" i="13"/>
  <c r="FR5" i="13"/>
  <c r="FR6" i="13"/>
  <c r="DU3" i="13"/>
  <c r="FS4" i="13"/>
  <c r="FZ11" i="13" l="1"/>
  <c r="GA8" i="13"/>
  <c r="FZ12" i="13"/>
  <c r="FZ10" i="13"/>
  <c r="FS14" i="13"/>
  <c r="FW16" i="13" s="1"/>
  <c r="FR7" i="13"/>
  <c r="FS13" i="13"/>
  <c r="FS15" i="13"/>
  <c r="FW17" i="13" s="1"/>
  <c r="DU27" i="13"/>
  <c r="DU28" i="13" s="1"/>
  <c r="DU25" i="13"/>
  <c r="BP16" i="13"/>
  <c r="FS5" i="13"/>
  <c r="FS6" i="13"/>
  <c r="DV3" i="13"/>
  <c r="FT4" i="13"/>
  <c r="GA11" i="13" l="1"/>
  <c r="GB8" i="13"/>
  <c r="GA10" i="13"/>
  <c r="GA12" i="13"/>
  <c r="FT14" i="13"/>
  <c r="FX16" i="13" s="1"/>
  <c r="FS7" i="13"/>
  <c r="FT15" i="13"/>
  <c r="FX17" i="13" s="1"/>
  <c r="FT13" i="13"/>
  <c r="DV27" i="13"/>
  <c r="DV28" i="13" s="1"/>
  <c r="DV25" i="13"/>
  <c r="BO16" i="13"/>
  <c r="FT5" i="13"/>
  <c r="FT6" i="13"/>
  <c r="DW3" i="13"/>
  <c r="FU4" i="13"/>
  <c r="GB11" i="13" l="1"/>
  <c r="GC8" i="13"/>
  <c r="GB12" i="13"/>
  <c r="GB10" i="13"/>
  <c r="FU14" i="13"/>
  <c r="FY16" i="13" s="1"/>
  <c r="FT7" i="13"/>
  <c r="FU13" i="13"/>
  <c r="FU15" i="13"/>
  <c r="FY17" i="13" s="1"/>
  <c r="DW27" i="13"/>
  <c r="DW28" i="13" s="1"/>
  <c r="DW25" i="13"/>
  <c r="BN16" i="13"/>
  <c r="FU5" i="13"/>
  <c r="FU6" i="13"/>
  <c r="DX3" i="13"/>
  <c r="FV4" i="13"/>
  <c r="GC11" i="13" l="1"/>
  <c r="GD8" i="13"/>
  <c r="GC10" i="13"/>
  <c r="GC12" i="13"/>
  <c r="FV14" i="13"/>
  <c r="FZ16" i="13" s="1"/>
  <c r="FU7" i="13"/>
  <c r="FV15" i="13"/>
  <c r="FZ17" i="13" s="1"/>
  <c r="FV13" i="13"/>
  <c r="BM16" i="13"/>
  <c r="DX25" i="13"/>
  <c r="DX27" i="13"/>
  <c r="DX28" i="13" s="1"/>
  <c r="FV5" i="13"/>
  <c r="FV6" i="13"/>
  <c r="DY3" i="13"/>
  <c r="FW4" i="13"/>
  <c r="GD11" i="13" l="1"/>
  <c r="GE8" i="13"/>
  <c r="GD12" i="13"/>
  <c r="GD10" i="13"/>
  <c r="FW14" i="13"/>
  <c r="GA16" i="13" s="1"/>
  <c r="FV7" i="13"/>
  <c r="FW13" i="13"/>
  <c r="FW15" i="13"/>
  <c r="GA17" i="13" s="1"/>
  <c r="DY27" i="13"/>
  <c r="DY28" i="13" s="1"/>
  <c r="DY25" i="13"/>
  <c r="BL16" i="13"/>
  <c r="FW5" i="13"/>
  <c r="FW6" i="13"/>
  <c r="DZ3" i="13"/>
  <c r="FX4" i="13"/>
  <c r="GE11" i="13" l="1"/>
  <c r="GF8" i="13"/>
  <c r="GE10" i="13"/>
  <c r="GE12" i="13"/>
  <c r="FX14" i="13"/>
  <c r="GB16" i="13" s="1"/>
  <c r="FW7" i="13"/>
  <c r="FX15" i="13"/>
  <c r="GB17" i="13" s="1"/>
  <c r="FX13" i="13"/>
  <c r="DZ25" i="13"/>
  <c r="DZ27" i="13"/>
  <c r="DZ28" i="13" s="1"/>
  <c r="BK16" i="13"/>
  <c r="FX5" i="13"/>
  <c r="FX6" i="13"/>
  <c r="EA3" i="13"/>
  <c r="FY4" i="13"/>
  <c r="GF11" i="13" l="1"/>
  <c r="GG8" i="13"/>
  <c r="GF12" i="13"/>
  <c r="GF10" i="13"/>
  <c r="FY14" i="13"/>
  <c r="GC16" i="13" s="1"/>
  <c r="FX7" i="13"/>
  <c r="FY13" i="13"/>
  <c r="BJ16" i="13"/>
  <c r="FY15" i="13"/>
  <c r="GC17" i="13" s="1"/>
  <c r="EA27" i="13"/>
  <c r="EA28" i="13" s="1"/>
  <c r="EA25" i="13"/>
  <c r="FY5" i="13"/>
  <c r="FY6" i="13"/>
  <c r="EB3" i="13"/>
  <c r="FZ4" i="13"/>
  <c r="GG11" i="13" l="1"/>
  <c r="GH8" i="13"/>
  <c r="GG10" i="13"/>
  <c r="GG12" i="13"/>
  <c r="FZ14" i="13"/>
  <c r="GD16" i="13" s="1"/>
  <c r="FY7" i="13"/>
  <c r="GI8" i="13" s="1"/>
  <c r="FZ13" i="13"/>
  <c r="EB27" i="13"/>
  <c r="EB28" i="13" s="1"/>
  <c r="EB25" i="13"/>
  <c r="BI16" i="13"/>
  <c r="FZ15" i="13"/>
  <c r="GD17" i="13" s="1"/>
  <c r="FZ5" i="13"/>
  <c r="FZ6" i="13"/>
  <c r="EC3" i="13"/>
  <c r="GA4" i="13"/>
  <c r="GH11" i="13" l="1"/>
  <c r="GH12" i="13"/>
  <c r="GH10" i="13"/>
  <c r="GA14" i="13"/>
  <c r="GE16" i="13" s="1"/>
  <c r="FZ7" i="13"/>
  <c r="GA15" i="13"/>
  <c r="GE17" i="13" s="1"/>
  <c r="GA13" i="13"/>
  <c r="EC27" i="13"/>
  <c r="EC28" i="13" s="1"/>
  <c r="EC25" i="13"/>
  <c r="BH16" i="13"/>
  <c r="GA5" i="13"/>
  <c r="GA6" i="13"/>
  <c r="ED3" i="13"/>
  <c r="GB4" i="13"/>
  <c r="GI11" i="13" l="1"/>
  <c r="GJ8" i="13"/>
  <c r="GI10" i="13"/>
  <c r="GI12" i="13"/>
  <c r="GB14" i="13"/>
  <c r="GF16" i="13" s="1"/>
  <c r="GA7" i="13"/>
  <c r="GB13" i="13"/>
  <c r="GB15" i="13"/>
  <c r="GF17" i="13" s="1"/>
  <c r="ED27" i="13"/>
  <c r="ED28" i="13" s="1"/>
  <c r="ED25" i="13"/>
  <c r="BG16" i="13"/>
  <c r="GB5" i="13"/>
  <c r="GB6" i="13"/>
  <c r="EE3" i="13"/>
  <c r="GC4" i="13"/>
  <c r="GJ11" i="13" l="1"/>
  <c r="GK8" i="13"/>
  <c r="GJ12" i="13"/>
  <c r="GJ10" i="13"/>
  <c r="GC14" i="13"/>
  <c r="GG16" i="13" s="1"/>
  <c r="GB7" i="13"/>
  <c r="GC15" i="13"/>
  <c r="GG17" i="13" s="1"/>
  <c r="GC13" i="13"/>
  <c r="BF16" i="13"/>
  <c r="EE27" i="13"/>
  <c r="EE28" i="13" s="1"/>
  <c r="EE25" i="13"/>
  <c r="GC5" i="13"/>
  <c r="GC6" i="13"/>
  <c r="EF3" i="13"/>
  <c r="GD4" i="13"/>
  <c r="GK12" i="13" l="1"/>
  <c r="GK11" i="13"/>
  <c r="GL8" i="13"/>
  <c r="GK10" i="13"/>
  <c r="GD14" i="13"/>
  <c r="GH16" i="13" s="1"/>
  <c r="GC7" i="13"/>
  <c r="GD15" i="13"/>
  <c r="GH17" i="13" s="1"/>
  <c r="GD13" i="13"/>
  <c r="EF27" i="13"/>
  <c r="EF28" i="13" s="1"/>
  <c r="EF25" i="13"/>
  <c r="BE16" i="13"/>
  <c r="GD5" i="13"/>
  <c r="GD6" i="13"/>
  <c r="B126" i="14"/>
  <c r="EG3" i="13"/>
  <c r="GE4" i="13"/>
  <c r="GL11" i="13" l="1"/>
  <c r="GM8" i="13"/>
  <c r="GL12" i="13"/>
  <c r="GL10" i="13"/>
  <c r="GE14" i="13"/>
  <c r="GI16" i="13" s="1"/>
  <c r="GD7" i="13"/>
  <c r="GE15" i="13"/>
  <c r="GI17" i="13" s="1"/>
  <c r="GE13" i="13"/>
  <c r="EG27" i="13"/>
  <c r="EG28" i="13" s="1"/>
  <c r="EG25" i="13"/>
  <c r="BD16" i="13"/>
  <c r="GE5" i="13"/>
  <c r="GE6" i="13"/>
  <c r="EH3" i="13"/>
  <c r="GF4" i="13"/>
  <c r="GM11" i="13" l="1"/>
  <c r="GN8" i="13"/>
  <c r="GM10" i="13"/>
  <c r="GM12" i="13"/>
  <c r="GF14" i="13"/>
  <c r="GJ16" i="13" s="1"/>
  <c r="GE7" i="13"/>
  <c r="GF15" i="13"/>
  <c r="GJ17" i="13" s="1"/>
  <c r="GF13" i="13"/>
  <c r="EH25" i="13"/>
  <c r="EH27" i="13"/>
  <c r="EH28" i="13" s="1"/>
  <c r="BC16" i="13"/>
  <c r="GF5" i="13"/>
  <c r="GF6" i="13"/>
  <c r="EI3" i="13"/>
  <c r="GG4" i="13"/>
  <c r="GN11" i="13" l="1"/>
  <c r="GO8" i="13"/>
  <c r="GN12" i="13"/>
  <c r="GN10" i="13"/>
  <c r="GG14" i="13"/>
  <c r="GK16" i="13" s="1"/>
  <c r="GF7" i="13"/>
  <c r="GG15" i="13"/>
  <c r="GK17" i="13" s="1"/>
  <c r="GG13" i="13"/>
  <c r="EI27" i="13"/>
  <c r="EI28" i="13" s="1"/>
  <c r="EI25" i="13"/>
  <c r="BB16" i="13"/>
  <c r="GG5" i="13"/>
  <c r="GG6" i="13"/>
  <c r="EJ3" i="13"/>
  <c r="GH4" i="13"/>
  <c r="GO11" i="13" l="1"/>
  <c r="GP8" i="13"/>
  <c r="GO10" i="13"/>
  <c r="GO12" i="13"/>
  <c r="GH14" i="13"/>
  <c r="GL16" i="13" s="1"/>
  <c r="GG7" i="13"/>
  <c r="GH13" i="13"/>
  <c r="GH15" i="13"/>
  <c r="GL17" i="13" s="1"/>
  <c r="EJ27" i="13"/>
  <c r="EJ28" i="13" s="1"/>
  <c r="EJ25" i="13"/>
  <c r="BA16" i="13"/>
  <c r="GH5" i="13"/>
  <c r="GH6" i="13"/>
  <c r="EK3" i="13"/>
  <c r="GI4" i="13"/>
  <c r="GP11" i="13" l="1"/>
  <c r="GQ8" i="13"/>
  <c r="GP12" i="13"/>
  <c r="GP10" i="13"/>
  <c r="GI14" i="13"/>
  <c r="GM16" i="13" s="1"/>
  <c r="GH7" i="13"/>
  <c r="GI15" i="13"/>
  <c r="GM17" i="13" s="1"/>
  <c r="GI13" i="13"/>
  <c r="EK27" i="13"/>
  <c r="EK28" i="13" s="1"/>
  <c r="EK25" i="13"/>
  <c r="AZ16" i="13"/>
  <c r="GI5" i="13"/>
  <c r="GI6" i="13"/>
  <c r="EL3" i="13"/>
  <c r="GJ4" i="13"/>
  <c r="GQ11" i="13" l="1"/>
  <c r="GR8" i="13"/>
  <c r="GQ10" i="13"/>
  <c r="GQ12" i="13"/>
  <c r="GJ14" i="13"/>
  <c r="GN16" i="13" s="1"/>
  <c r="GI7" i="13"/>
  <c r="GJ13" i="13"/>
  <c r="AY16" i="13"/>
  <c r="EL27" i="13"/>
  <c r="EL28" i="13" s="1"/>
  <c r="EL25" i="13"/>
  <c r="GJ15" i="13"/>
  <c r="GN17" i="13" s="1"/>
  <c r="GJ5" i="13"/>
  <c r="GJ6" i="13"/>
  <c r="EM3" i="13"/>
  <c r="GK4" i="13"/>
  <c r="GR11" i="13" l="1"/>
  <c r="GS8" i="13"/>
  <c r="GR12" i="13"/>
  <c r="GR10" i="13"/>
  <c r="GK14" i="13"/>
  <c r="GO16" i="13" s="1"/>
  <c r="GJ7" i="13"/>
  <c r="GK15" i="13"/>
  <c r="GO17" i="13" s="1"/>
  <c r="GK13" i="13"/>
  <c r="AX16" i="13"/>
  <c r="EM27" i="13"/>
  <c r="EM28" i="13" s="1"/>
  <c r="EM25" i="13"/>
  <c r="GK5" i="13"/>
  <c r="GK6" i="13"/>
  <c r="EN3" i="13"/>
  <c r="GL4" i="13"/>
  <c r="GS11" i="13" l="1"/>
  <c r="GT8" i="13"/>
  <c r="GS10" i="13"/>
  <c r="GS12" i="13"/>
  <c r="GL14" i="13"/>
  <c r="GP16" i="13" s="1"/>
  <c r="GK7" i="13"/>
  <c r="GL13" i="13"/>
  <c r="AW16" i="13"/>
  <c r="GL15" i="13"/>
  <c r="GP17" i="13" s="1"/>
  <c r="EN25" i="13"/>
  <c r="EN27" i="13"/>
  <c r="EN28" i="13" s="1"/>
  <c r="GL5" i="13"/>
  <c r="GL6" i="13"/>
  <c r="EO3" i="13"/>
  <c r="GM4" i="13"/>
  <c r="GT11" i="13" l="1"/>
  <c r="GU8" i="13"/>
  <c r="GT12" i="13"/>
  <c r="GT10" i="13"/>
  <c r="GM14" i="13"/>
  <c r="GQ16" i="13" s="1"/>
  <c r="GL7" i="13"/>
  <c r="GM13" i="13"/>
  <c r="GM15" i="13"/>
  <c r="GQ17" i="13" s="1"/>
  <c r="EO27" i="13"/>
  <c r="EO28" i="13" s="1"/>
  <c r="EO25" i="13"/>
  <c r="AV16" i="13"/>
  <c r="GM5" i="13"/>
  <c r="GM6" i="13"/>
  <c r="EP3" i="13"/>
  <c r="GN4" i="13"/>
  <c r="GU11" i="13" l="1"/>
  <c r="GV8" i="13"/>
  <c r="GU10" i="13"/>
  <c r="GU12" i="13"/>
  <c r="GN14" i="13"/>
  <c r="GR16" i="13" s="1"/>
  <c r="GM7" i="13"/>
  <c r="GN13" i="13"/>
  <c r="GN15" i="13"/>
  <c r="GR17" i="13" s="1"/>
  <c r="AU16" i="13"/>
  <c r="EP27" i="13"/>
  <c r="EP28" i="13" s="1"/>
  <c r="EP25" i="13"/>
  <c r="GN5" i="13"/>
  <c r="GN6" i="13"/>
  <c r="EQ3" i="13"/>
  <c r="GO4" i="13"/>
  <c r="GV11" i="13" l="1"/>
  <c r="GW8" i="13"/>
  <c r="GV12" i="13"/>
  <c r="GV10" i="13"/>
  <c r="GO14" i="13"/>
  <c r="GS16" i="13" s="1"/>
  <c r="GN7" i="13"/>
  <c r="GO15" i="13"/>
  <c r="GS17" i="13" s="1"/>
  <c r="GO13" i="13"/>
  <c r="EQ27" i="13"/>
  <c r="EQ28" i="13" s="1"/>
  <c r="EQ25" i="13"/>
  <c r="AT16" i="13"/>
  <c r="GO5" i="13"/>
  <c r="GO6" i="13"/>
  <c r="ER3" i="13"/>
  <c r="GP4" i="13"/>
  <c r="GW10" i="13" l="1"/>
  <c r="GW11" i="13"/>
  <c r="GX8" i="13"/>
  <c r="GW12" i="13"/>
  <c r="GP14" i="13"/>
  <c r="GT16" i="13" s="1"/>
  <c r="GO7" i="13"/>
  <c r="GP15" i="13"/>
  <c r="GT17" i="13" s="1"/>
  <c r="GP13" i="13"/>
  <c r="ER27" i="13"/>
  <c r="ER28" i="13" s="1"/>
  <c r="ER25" i="13"/>
  <c r="AS16" i="13"/>
  <c r="GP5" i="13"/>
  <c r="GP6" i="13"/>
  <c r="ES3" i="13"/>
  <c r="GQ4" i="13"/>
  <c r="GX11" i="13" l="1"/>
  <c r="GY8" i="13"/>
  <c r="GX12" i="13"/>
  <c r="GX10" i="13"/>
  <c r="GQ14" i="13"/>
  <c r="GU16" i="13" s="1"/>
  <c r="GP7" i="13"/>
  <c r="GQ15" i="13"/>
  <c r="GU17" i="13" s="1"/>
  <c r="GQ13" i="13"/>
  <c r="ES27" i="13"/>
  <c r="ES28" i="13" s="1"/>
  <c r="ES25" i="13"/>
  <c r="AR16" i="13"/>
  <c r="GQ5" i="13"/>
  <c r="GQ6" i="13"/>
  <c r="ET3" i="13"/>
  <c r="GR4" i="13"/>
  <c r="GY11" i="13" l="1"/>
  <c r="GZ8" i="13"/>
  <c r="GY10" i="13"/>
  <c r="GY12" i="13"/>
  <c r="GR14" i="13"/>
  <c r="GV16" i="13" s="1"/>
  <c r="GQ7" i="13"/>
  <c r="GR15" i="13"/>
  <c r="GV17" i="13" s="1"/>
  <c r="GR13" i="13"/>
  <c r="ET25" i="13"/>
  <c r="ET27" i="13"/>
  <c r="ET28" i="13" s="1"/>
  <c r="AQ16" i="13"/>
  <c r="GR5" i="13"/>
  <c r="GR6" i="13"/>
  <c r="EU3" i="13"/>
  <c r="GS4" i="13"/>
  <c r="GZ11" i="13" l="1"/>
  <c r="HA8" i="13"/>
  <c r="GZ12" i="13"/>
  <c r="GZ10" i="13"/>
  <c r="GS14" i="13"/>
  <c r="GW16" i="13" s="1"/>
  <c r="GR7" i="13"/>
  <c r="GS13" i="13"/>
  <c r="GS15" i="13"/>
  <c r="GW17" i="13" s="1"/>
  <c r="EU27" i="13"/>
  <c r="EU28" i="13" s="1"/>
  <c r="EU25" i="13"/>
  <c r="AP16" i="13"/>
  <c r="GS5" i="13"/>
  <c r="GS6" i="13"/>
  <c r="EV3" i="13"/>
  <c r="GT4" i="13"/>
  <c r="HA11" i="13" l="1"/>
  <c r="HB8" i="13"/>
  <c r="HA10" i="13"/>
  <c r="HA12" i="13"/>
  <c r="GT14" i="13"/>
  <c r="GX16" i="13" s="1"/>
  <c r="GS7" i="13"/>
  <c r="GT13" i="13"/>
  <c r="GT15" i="13"/>
  <c r="GX17" i="13" s="1"/>
  <c r="EV25" i="13"/>
  <c r="EV27" i="13"/>
  <c r="EV28" i="13" s="1"/>
  <c r="AO16" i="13"/>
  <c r="GT5" i="13"/>
  <c r="GT6" i="13"/>
  <c r="EW3" i="13"/>
  <c r="GU4" i="13"/>
  <c r="HB11" i="13" l="1"/>
  <c r="HC8" i="13"/>
  <c r="HB12" i="13"/>
  <c r="HB10" i="13"/>
  <c r="GU14" i="13"/>
  <c r="GY16" i="13" s="1"/>
  <c r="GT7" i="13"/>
  <c r="GU15" i="13"/>
  <c r="GY17" i="13" s="1"/>
  <c r="GU13" i="13"/>
  <c r="AN16" i="13"/>
  <c r="EW27" i="13"/>
  <c r="EW28" i="13" s="1"/>
  <c r="EW25" i="13"/>
  <c r="GU5" i="13"/>
  <c r="GU6" i="13"/>
  <c r="EX3" i="13"/>
  <c r="GV4" i="13"/>
  <c r="HC11" i="13" l="1"/>
  <c r="HD8" i="13"/>
  <c r="HC10" i="13"/>
  <c r="HC12" i="13"/>
  <c r="GV14" i="13"/>
  <c r="GZ16" i="13" s="1"/>
  <c r="GU7" i="13"/>
  <c r="GV15" i="13"/>
  <c r="GZ17" i="13" s="1"/>
  <c r="GV13" i="13"/>
  <c r="EX25" i="13"/>
  <c r="EX27" i="13"/>
  <c r="EX28" i="13" s="1"/>
  <c r="AM16" i="13"/>
  <c r="GV5" i="13"/>
  <c r="GV6" i="13"/>
  <c r="EY3" i="13"/>
  <c r="GW4" i="13"/>
  <c r="HD11" i="13" l="1"/>
  <c r="HE8" i="13"/>
  <c r="HD12" i="13"/>
  <c r="HD10" i="13"/>
  <c r="GW14" i="13"/>
  <c r="HA16" i="13" s="1"/>
  <c r="GV7" i="13"/>
  <c r="GW15" i="13"/>
  <c r="HA17" i="13" s="1"/>
  <c r="GW13" i="13"/>
  <c r="EY27" i="13"/>
  <c r="EY28" i="13" s="1"/>
  <c r="EY25" i="13"/>
  <c r="AL16" i="13"/>
  <c r="GW5" i="13"/>
  <c r="GW6" i="13"/>
  <c r="EZ3" i="13"/>
  <c r="GX4" i="13"/>
  <c r="HE11" i="13" l="1"/>
  <c r="HF8" i="13"/>
  <c r="HE10" i="13"/>
  <c r="HE12" i="13"/>
  <c r="GX14" i="13"/>
  <c r="HB16" i="13" s="1"/>
  <c r="GW7" i="13"/>
  <c r="GX15" i="13"/>
  <c r="HB17" i="13" s="1"/>
  <c r="GX13" i="13"/>
  <c r="EZ27" i="13"/>
  <c r="EZ28" i="13" s="1"/>
  <c r="EZ25" i="13"/>
  <c r="AK16" i="13"/>
  <c r="GX5" i="13"/>
  <c r="GX6" i="13"/>
  <c r="FA3" i="13"/>
  <c r="GY4" i="13"/>
  <c r="HF11" i="13" l="1"/>
  <c r="HG8" i="13"/>
  <c r="HF12" i="13"/>
  <c r="HF10" i="13"/>
  <c r="GY14" i="13"/>
  <c r="HC16" i="13" s="1"/>
  <c r="GX7" i="13"/>
  <c r="GY13" i="13"/>
  <c r="FA27" i="13"/>
  <c r="FA28" i="13" s="1"/>
  <c r="FA25" i="13"/>
  <c r="GY15" i="13"/>
  <c r="HC17" i="13" s="1"/>
  <c r="AJ16" i="13"/>
  <c r="GY5" i="13"/>
  <c r="GY6" i="13"/>
  <c r="FB3" i="13"/>
  <c r="GZ4" i="13"/>
  <c r="HG11" i="13" l="1"/>
  <c r="HH8" i="13"/>
  <c r="HG12" i="13"/>
  <c r="HH12" i="13" s="1"/>
  <c r="HG10" i="13"/>
  <c r="GZ14" i="13"/>
  <c r="HD16" i="13" s="1"/>
  <c r="GY7" i="13"/>
  <c r="GZ13" i="13"/>
  <c r="GZ15" i="13"/>
  <c r="HD17" i="13" s="1"/>
  <c r="AI16" i="13"/>
  <c r="FB27" i="13"/>
  <c r="FB28" i="13" s="1"/>
  <c r="FB25" i="13"/>
  <c r="GZ5" i="13"/>
  <c r="GZ6" i="13"/>
  <c r="FC3" i="13"/>
  <c r="HA4" i="13"/>
  <c r="HH11" i="13" l="1"/>
  <c r="HI8" i="13"/>
  <c r="HH10" i="13"/>
  <c r="HA14" i="13"/>
  <c r="HE16" i="13" s="1"/>
  <c r="GZ7" i="13"/>
  <c r="HA13" i="13"/>
  <c r="AH16" i="13"/>
  <c r="HA15" i="13"/>
  <c r="HE17" i="13" s="1"/>
  <c r="FC27" i="13"/>
  <c r="FC28" i="13" s="1"/>
  <c r="FC25" i="13"/>
  <c r="HA5" i="13"/>
  <c r="HA6" i="13"/>
  <c r="FD3" i="13"/>
  <c r="HB4" i="13"/>
  <c r="HI11" i="13" l="1"/>
  <c r="HJ8" i="13"/>
  <c r="HI12" i="13"/>
  <c r="HI10" i="13"/>
  <c r="HB14" i="13"/>
  <c r="HF16" i="13" s="1"/>
  <c r="HA7" i="13"/>
  <c r="HB13" i="13"/>
  <c r="HB15" i="13"/>
  <c r="HF17" i="13" s="1"/>
  <c r="AG16" i="13"/>
  <c r="FD25" i="13"/>
  <c r="FD27" i="13"/>
  <c r="FD28" i="13" s="1"/>
  <c r="HB5" i="13"/>
  <c r="HB6" i="13"/>
  <c r="FE3" i="13"/>
  <c r="HC4" i="13"/>
  <c r="HJ11" i="13" l="1"/>
  <c r="HK8" i="13"/>
  <c r="HJ10" i="13"/>
  <c r="HJ12" i="13"/>
  <c r="HC14" i="13"/>
  <c r="HG16" i="13" s="1"/>
  <c r="HB7" i="13"/>
  <c r="HC15" i="13"/>
  <c r="HG17" i="13" s="1"/>
  <c r="HC13" i="13"/>
  <c r="AF16" i="13"/>
  <c r="FE27" i="13"/>
  <c r="FE28" i="13" s="1"/>
  <c r="FE25" i="13"/>
  <c r="HC5" i="13"/>
  <c r="HC6" i="13"/>
  <c r="FF3" i="13"/>
  <c r="HD4" i="13"/>
  <c r="HK11" i="13" l="1"/>
  <c r="HL8" i="13"/>
  <c r="HK12" i="13"/>
  <c r="HK10" i="13"/>
  <c r="HD14" i="13"/>
  <c r="HH16" i="13" s="1"/>
  <c r="HC7" i="13"/>
  <c r="HD13" i="13"/>
  <c r="HD15" i="13"/>
  <c r="HH17" i="13" s="1"/>
  <c r="FF27" i="13"/>
  <c r="FF28" i="13" s="1"/>
  <c r="FF25" i="13"/>
  <c r="AE16" i="13"/>
  <c r="HD5" i="13"/>
  <c r="HD6" i="13"/>
  <c r="FG3" i="13"/>
  <c r="HE4" i="13"/>
  <c r="HL10" i="13" l="1"/>
  <c r="HL11" i="13"/>
  <c r="HM8" i="13"/>
  <c r="HL12" i="13"/>
  <c r="HE14" i="13"/>
  <c r="HI16" i="13" s="1"/>
  <c r="HD7" i="13"/>
  <c r="HE13" i="13"/>
  <c r="HE15" i="13"/>
  <c r="HI17" i="13" s="1"/>
  <c r="AD16" i="13"/>
  <c r="FG27" i="13"/>
  <c r="FG28" i="13" s="1"/>
  <c r="FG25" i="13"/>
  <c r="HE5" i="13"/>
  <c r="HE6" i="13"/>
  <c r="FH3" i="13"/>
  <c r="HF4" i="13"/>
  <c r="HM12" i="13" l="1"/>
  <c r="HM11" i="13"/>
  <c r="HN8" i="13"/>
  <c r="HM10" i="13"/>
  <c r="HF14" i="13"/>
  <c r="HJ16" i="13" s="1"/>
  <c r="HE7" i="13"/>
  <c r="HF15" i="13"/>
  <c r="HJ17" i="13" s="1"/>
  <c r="HF13" i="13"/>
  <c r="AC16" i="13"/>
  <c r="FH27" i="13"/>
  <c r="FH28" i="13" s="1"/>
  <c r="FH25" i="13"/>
  <c r="HF5" i="13"/>
  <c r="HF6" i="13"/>
  <c r="FI3" i="13"/>
  <c r="HG4" i="13"/>
  <c r="HN10" i="13" l="1"/>
  <c r="HN11" i="13"/>
  <c r="HO8" i="13"/>
  <c r="HN12" i="13"/>
  <c r="HO12" i="13" s="1"/>
  <c r="HG14" i="13"/>
  <c r="HK16" i="13" s="1"/>
  <c r="HF7" i="13"/>
  <c r="HG13" i="13"/>
  <c r="FI27" i="13"/>
  <c r="FI28" i="13" s="1"/>
  <c r="FI25" i="13"/>
  <c r="HG15" i="13"/>
  <c r="HK17" i="13" s="1"/>
  <c r="AB16" i="13"/>
  <c r="HG5" i="13"/>
  <c r="HG6" i="13"/>
  <c r="FJ3" i="13"/>
  <c r="HH4" i="13"/>
  <c r="HO11" i="13" l="1"/>
  <c r="HP8" i="13"/>
  <c r="HO10" i="13"/>
  <c r="HH14" i="13"/>
  <c r="HL16" i="13" s="1"/>
  <c r="HG7" i="13"/>
  <c r="HH13" i="13"/>
  <c r="HH15" i="13"/>
  <c r="HL17" i="13" s="1"/>
  <c r="FJ25" i="13"/>
  <c r="FJ27" i="13"/>
  <c r="FJ28" i="13" s="1"/>
  <c r="AA16" i="13"/>
  <c r="HH5" i="13"/>
  <c r="HH6" i="13"/>
  <c r="FK3" i="13"/>
  <c r="HI4" i="13"/>
  <c r="HP11" i="13" l="1"/>
  <c r="HQ8" i="13"/>
  <c r="HP10" i="13"/>
  <c r="HP12" i="13"/>
  <c r="HQ12" i="13" s="1"/>
  <c r="HI14" i="13"/>
  <c r="HM16" i="13" s="1"/>
  <c r="HH7" i="13"/>
  <c r="HI13" i="13"/>
  <c r="Z16" i="13"/>
  <c r="HI15" i="13"/>
  <c r="HM17" i="13" s="1"/>
  <c r="FK27" i="13"/>
  <c r="FK28" i="13" s="1"/>
  <c r="FK25" i="13"/>
  <c r="HI5" i="13"/>
  <c r="HI6" i="13"/>
  <c r="FL3" i="13"/>
  <c r="HJ4" i="13"/>
  <c r="HQ11" i="13" l="1"/>
  <c r="HR8" i="13"/>
  <c r="HQ10" i="13"/>
  <c r="HJ14" i="13"/>
  <c r="HN16" i="13" s="1"/>
  <c r="HI7" i="13"/>
  <c r="HJ13" i="13"/>
  <c r="FL27" i="13"/>
  <c r="FL28" i="13" s="1"/>
  <c r="FL25" i="13"/>
  <c r="Y16" i="13"/>
  <c r="HJ15" i="13"/>
  <c r="HN17" i="13" s="1"/>
  <c r="HJ5" i="13"/>
  <c r="HJ6" i="13"/>
  <c r="FM3" i="13"/>
  <c r="HK4" i="13"/>
  <c r="HR11" i="13" l="1"/>
  <c r="HS8" i="13"/>
  <c r="HR12" i="13"/>
  <c r="HR10" i="13"/>
  <c r="HS10" i="13" s="1"/>
  <c r="HK14" i="13"/>
  <c r="HO16" i="13" s="1"/>
  <c r="HJ7" i="13"/>
  <c r="HT8" i="13" s="1"/>
  <c r="HK13" i="13"/>
  <c r="HK15" i="13"/>
  <c r="HO17" i="13" s="1"/>
  <c r="FM27" i="13"/>
  <c r="FM28" i="13" s="1"/>
  <c r="FM25" i="13"/>
  <c r="X16" i="13"/>
  <c r="HK5" i="13"/>
  <c r="HK6" i="13"/>
  <c r="FN3" i="13"/>
  <c r="HL4" i="13"/>
  <c r="HS11" i="13" l="1"/>
  <c r="HS12" i="13"/>
  <c r="HL14" i="13"/>
  <c r="HP16" i="13" s="1"/>
  <c r="HK7" i="13"/>
  <c r="HL13" i="13"/>
  <c r="HL15" i="13"/>
  <c r="HP17" i="13" s="1"/>
  <c r="W16" i="13"/>
  <c r="FN25" i="13"/>
  <c r="FN27" i="13"/>
  <c r="FN28" i="13" s="1"/>
  <c r="HL5" i="13"/>
  <c r="HL6" i="13"/>
  <c r="FO3" i="13"/>
  <c r="HM4" i="13"/>
  <c r="HT11" i="13" l="1"/>
  <c r="HU8" i="13"/>
  <c r="HT12" i="13"/>
  <c r="HT10" i="13"/>
  <c r="HM14" i="13"/>
  <c r="HQ16" i="13" s="1"/>
  <c r="HL7" i="13"/>
  <c r="HM15" i="13"/>
  <c r="HQ17" i="13" s="1"/>
  <c r="HM13" i="13"/>
  <c r="V16" i="13"/>
  <c r="FO27" i="13"/>
  <c r="FO28" i="13" s="1"/>
  <c r="FO25" i="13"/>
  <c r="HM5" i="13"/>
  <c r="HM6" i="13"/>
  <c r="FP3" i="13"/>
  <c r="HN4" i="13"/>
  <c r="HU10" i="13" l="1"/>
  <c r="HU11" i="13"/>
  <c r="HV8" i="13"/>
  <c r="HU12" i="13"/>
  <c r="HN14" i="13"/>
  <c r="HR16" i="13" s="1"/>
  <c r="HM7" i="13"/>
  <c r="HN13" i="13"/>
  <c r="FP27" i="13"/>
  <c r="FP28" i="13" s="1"/>
  <c r="FP25" i="13"/>
  <c r="HN15" i="13"/>
  <c r="HR17" i="13" s="1"/>
  <c r="U16" i="13"/>
  <c r="HN5" i="13"/>
  <c r="HN6" i="13"/>
  <c r="FQ3" i="13"/>
  <c r="HO4" i="13"/>
  <c r="HV11" i="13" l="1"/>
  <c r="HW8" i="13"/>
  <c r="HV12" i="13"/>
  <c r="HV10" i="13"/>
  <c r="HO14" i="13"/>
  <c r="HS16" i="13" s="1"/>
  <c r="HN7" i="13"/>
  <c r="HO15" i="13"/>
  <c r="HS17" i="13" s="1"/>
  <c r="HO13" i="13"/>
  <c r="FQ27" i="13"/>
  <c r="FQ28" i="13" s="1"/>
  <c r="FQ25" i="13"/>
  <c r="T16" i="13"/>
  <c r="HO5" i="13"/>
  <c r="HO6" i="13"/>
  <c r="FR3" i="13"/>
  <c r="HP4" i="13"/>
  <c r="HW11" i="13" l="1"/>
  <c r="HX8" i="13"/>
  <c r="HW10" i="13"/>
  <c r="HW12" i="13"/>
  <c r="HP14" i="13"/>
  <c r="HT16" i="13" s="1"/>
  <c r="HO7" i="13"/>
  <c r="HP13" i="13"/>
  <c r="HP15" i="13"/>
  <c r="HT17" i="13" s="1"/>
  <c r="FR27" i="13"/>
  <c r="FR28" i="13" s="1"/>
  <c r="FR25" i="13"/>
  <c r="S16" i="13"/>
  <c r="HP5" i="13"/>
  <c r="HP6" i="13"/>
  <c r="FS3" i="13"/>
  <c r="HQ4" i="13"/>
  <c r="HX11" i="13" l="1"/>
  <c r="HY8" i="13"/>
  <c r="HX12" i="13"/>
  <c r="HX10" i="13"/>
  <c r="HQ14" i="13"/>
  <c r="HU16" i="13" s="1"/>
  <c r="HP7" i="13"/>
  <c r="HQ15" i="13"/>
  <c r="HU17" i="13" s="1"/>
  <c r="HQ13" i="13"/>
  <c r="FS27" i="13"/>
  <c r="FS28" i="13" s="1"/>
  <c r="FS25" i="13"/>
  <c r="R16" i="13"/>
  <c r="HQ5" i="13"/>
  <c r="HQ6" i="13"/>
  <c r="FT3" i="13"/>
  <c r="HR4" i="13"/>
  <c r="HY10" i="13" l="1"/>
  <c r="HY11" i="13"/>
  <c r="HZ8" i="13"/>
  <c r="HY12" i="13"/>
  <c r="HR14" i="13"/>
  <c r="HV16" i="13" s="1"/>
  <c r="HQ7" i="13"/>
  <c r="HR15" i="13"/>
  <c r="HV17" i="13" s="1"/>
  <c r="HR13" i="13"/>
  <c r="FT25" i="13"/>
  <c r="FT27" i="13"/>
  <c r="FT28" i="13" s="1"/>
  <c r="Q16" i="13"/>
  <c r="HR5" i="13"/>
  <c r="HR6" i="13"/>
  <c r="FU3" i="13"/>
  <c r="HS4" i="13"/>
  <c r="HZ11" i="13" l="1"/>
  <c r="IA8" i="13"/>
  <c r="HZ12" i="13"/>
  <c r="HZ10" i="13"/>
  <c r="IA10" i="13" s="1"/>
  <c r="HS14" i="13"/>
  <c r="HW16" i="13" s="1"/>
  <c r="HR7" i="13"/>
  <c r="HS13" i="13"/>
  <c r="FU27" i="13"/>
  <c r="FU28" i="13" s="1"/>
  <c r="FU25" i="13"/>
  <c r="HS15" i="13"/>
  <c r="HW17" i="13" s="1"/>
  <c r="P16" i="13"/>
  <c r="HS5" i="13"/>
  <c r="HS6" i="13"/>
  <c r="FV3" i="13"/>
  <c r="HT4" i="13"/>
  <c r="IA11" i="13" l="1"/>
  <c r="IB8" i="13"/>
  <c r="IA12" i="13"/>
  <c r="HT14" i="13"/>
  <c r="HX16" i="13" s="1"/>
  <c r="HS7" i="13"/>
  <c r="HT13" i="13"/>
  <c r="FV25" i="13"/>
  <c r="FV27" i="13"/>
  <c r="FV28" i="13" s="1"/>
  <c r="O16" i="13"/>
  <c r="HT15" i="13"/>
  <c r="HX17" i="13" s="1"/>
  <c r="HT5" i="13"/>
  <c r="HT6" i="13"/>
  <c r="FW3" i="13"/>
  <c r="HU4" i="13"/>
  <c r="IB12" i="13" l="1"/>
  <c r="IB11" i="13"/>
  <c r="IB10" i="13"/>
  <c r="IC8" i="13"/>
  <c r="HU14" i="13"/>
  <c r="HY16" i="13" s="1"/>
  <c r="HT7" i="13"/>
  <c r="HU13" i="13"/>
  <c r="HU15" i="13"/>
  <c r="HY17" i="13" s="1"/>
  <c r="FW27" i="13"/>
  <c r="FW28" i="13" s="1"/>
  <c r="FW25" i="13"/>
  <c r="N16" i="13"/>
  <c r="HU5" i="13"/>
  <c r="HU6" i="13"/>
  <c r="FX3" i="13"/>
  <c r="HV4" i="13"/>
  <c r="IC10" i="13" l="1"/>
  <c r="IC11" i="13"/>
  <c r="ID8" i="13"/>
  <c r="IC12" i="13"/>
  <c r="ID12" i="13" s="1"/>
  <c r="HV14" i="13"/>
  <c r="HZ16" i="13" s="1"/>
  <c r="HU7" i="13"/>
  <c r="HV13" i="13"/>
  <c r="HV15" i="13"/>
  <c r="HZ17" i="13" s="1"/>
  <c r="M16" i="13"/>
  <c r="FX27" i="13"/>
  <c r="FX28" i="13" s="1"/>
  <c r="FX25" i="13"/>
  <c r="HV5" i="13"/>
  <c r="HV6" i="13"/>
  <c r="FY3" i="13"/>
  <c r="HW4" i="13"/>
  <c r="ID11" i="13" l="1"/>
  <c r="IE8" i="13"/>
  <c r="ID10" i="13"/>
  <c r="HW14" i="13"/>
  <c r="IA16" i="13" s="1"/>
  <c r="HV7" i="13"/>
  <c r="HW15" i="13"/>
  <c r="IA17" i="13" s="1"/>
  <c r="HW13" i="13"/>
  <c r="FY27" i="13"/>
  <c r="FY28" i="13" s="1"/>
  <c r="FY25" i="13"/>
  <c r="L16" i="13"/>
  <c r="HW5" i="13"/>
  <c r="HW6" i="13"/>
  <c r="FZ3" i="13"/>
  <c r="HX4" i="13"/>
  <c r="IE10" i="13" l="1"/>
  <c r="IE11" i="13"/>
  <c r="IE12" i="13"/>
  <c r="IF8" i="13"/>
  <c r="HX14" i="13"/>
  <c r="IB16" i="13" s="1"/>
  <c r="HW7" i="13"/>
  <c r="HX13" i="13"/>
  <c r="HX15" i="13"/>
  <c r="IB17" i="13" s="1"/>
  <c r="FZ25" i="13"/>
  <c r="FZ27" i="13"/>
  <c r="FZ28" i="13" s="1"/>
  <c r="K16" i="13"/>
  <c r="J16" i="13"/>
  <c r="HX5" i="13"/>
  <c r="HX6" i="13"/>
  <c r="GA3" i="13"/>
  <c r="HY4" i="13"/>
  <c r="IF12" i="13" l="1"/>
  <c r="IG8" i="13"/>
  <c r="IF11" i="13"/>
  <c r="IF10" i="13"/>
  <c r="HY14" i="13"/>
  <c r="IC16" i="13" s="1"/>
  <c r="HX7" i="13"/>
  <c r="HY13" i="13"/>
  <c r="GA27" i="13"/>
  <c r="GA28" i="13" s="1"/>
  <c r="GA25" i="13"/>
  <c r="HY15" i="13"/>
  <c r="IC17" i="13" s="1"/>
  <c r="HY5" i="13"/>
  <c r="HY6" i="13"/>
  <c r="GB3" i="13"/>
  <c r="HZ4" i="13"/>
  <c r="IG12" i="13" l="1"/>
  <c r="IH8" i="13"/>
  <c r="IG10" i="13"/>
  <c r="IG11" i="13"/>
  <c r="HZ14" i="13"/>
  <c r="ID16" i="13" s="1"/>
  <c r="HY7" i="13"/>
  <c r="HZ15" i="13"/>
  <c r="ID17" i="13" s="1"/>
  <c r="HZ13" i="13"/>
  <c r="GB27" i="13"/>
  <c r="GB28" i="13" s="1"/>
  <c r="GB25" i="13"/>
  <c r="HZ5" i="13"/>
  <c r="HZ6" i="13"/>
  <c r="GC3" i="13"/>
  <c r="IA4" i="13"/>
  <c r="IH12" i="13" l="1"/>
  <c r="II8" i="13"/>
  <c r="IH11" i="13"/>
  <c r="IH10" i="13"/>
  <c r="IA14" i="13"/>
  <c r="IE16" i="13" s="1"/>
  <c r="HZ7" i="13"/>
  <c r="IA13" i="13"/>
  <c r="GC27" i="13"/>
  <c r="GC28" i="13" s="1"/>
  <c r="GC25" i="13"/>
  <c r="IA15" i="13"/>
  <c r="IE17" i="13" s="1"/>
  <c r="IA5" i="13"/>
  <c r="IA6" i="13"/>
  <c r="GD3" i="13"/>
  <c r="IB4" i="13"/>
  <c r="II12" i="13" l="1"/>
  <c r="IJ8" i="13"/>
  <c r="II10" i="13"/>
  <c r="II11" i="13"/>
  <c r="IB14" i="13"/>
  <c r="IF16" i="13" s="1"/>
  <c r="IA7" i="13"/>
  <c r="IB13" i="13"/>
  <c r="IB15" i="13"/>
  <c r="IF17" i="13" s="1"/>
  <c r="GD25" i="13"/>
  <c r="GD27" i="13"/>
  <c r="GD28" i="13" s="1"/>
  <c r="IB5" i="13"/>
  <c r="IB6" i="13"/>
  <c r="GE3" i="13"/>
  <c r="IC4" i="13"/>
  <c r="IJ11" i="13" l="1"/>
  <c r="IJ12" i="13"/>
  <c r="IK8" i="13"/>
  <c r="IJ10" i="13"/>
  <c r="IC14" i="13"/>
  <c r="IG16" i="13" s="1"/>
  <c r="IB7" i="13"/>
  <c r="IC13" i="13"/>
  <c r="IC15" i="13"/>
  <c r="IG17" i="13" s="1"/>
  <c r="GE27" i="13"/>
  <c r="GE28" i="13" s="1"/>
  <c r="GE25" i="13"/>
  <c r="IC5" i="13"/>
  <c r="IC6" i="13"/>
  <c r="GF3" i="13"/>
  <c r="ID4" i="13"/>
  <c r="IK12" i="13" l="1"/>
  <c r="IL8" i="13"/>
  <c r="IK10" i="13"/>
  <c r="IK11" i="13"/>
  <c r="ID14" i="13"/>
  <c r="IH16" i="13" s="1"/>
  <c r="IC7" i="13"/>
  <c r="IM8" i="13" s="1"/>
  <c r="ID15" i="13"/>
  <c r="IH17" i="13" s="1"/>
  <c r="ID13" i="13"/>
  <c r="GF27" i="13"/>
  <c r="GF28" i="13" s="1"/>
  <c r="GF25" i="13"/>
  <c r="ID5" i="13"/>
  <c r="ID6" i="13"/>
  <c r="GG3" i="13"/>
  <c r="IE4" i="13"/>
  <c r="IL12" i="13" l="1"/>
  <c r="IL11" i="13"/>
  <c r="IL10" i="13"/>
  <c r="IE14" i="13"/>
  <c r="II16" i="13" s="1"/>
  <c r="ID7" i="13"/>
  <c r="IE13" i="13"/>
  <c r="GG27" i="13"/>
  <c r="GG28" i="13" s="1"/>
  <c r="GG25" i="13"/>
  <c r="IE15" i="13"/>
  <c r="II17" i="13" s="1"/>
  <c r="IE5" i="13"/>
  <c r="IE6" i="13"/>
  <c r="GH3" i="13"/>
  <c r="IF4" i="13"/>
  <c r="IM12" i="13" l="1"/>
  <c r="IN8" i="13"/>
  <c r="IM10" i="13"/>
  <c r="IM11" i="13"/>
  <c r="IF14" i="13"/>
  <c r="IJ16" i="13" s="1"/>
  <c r="IE7" i="13"/>
  <c r="IF13" i="13"/>
  <c r="GH27" i="13"/>
  <c r="GH28" i="13" s="1"/>
  <c r="GH25" i="13"/>
  <c r="IF15" i="13"/>
  <c r="IJ17" i="13" s="1"/>
  <c r="IF5" i="13"/>
  <c r="IF6" i="13"/>
  <c r="GI3" i="13"/>
  <c r="IG4" i="13"/>
  <c r="IN12" i="13" l="1"/>
  <c r="IN11" i="13"/>
  <c r="IN10" i="13"/>
  <c r="IG14" i="13"/>
  <c r="IK16" i="13" s="1"/>
  <c r="IF7" i="13"/>
  <c r="IG13" i="13"/>
  <c r="IG15" i="13"/>
  <c r="IK17" i="13" s="1"/>
  <c r="GI27" i="13"/>
  <c r="GI28" i="13" s="1"/>
  <c r="GI25" i="13"/>
  <c r="IG5" i="13"/>
  <c r="IG6" i="13"/>
  <c r="GJ3" i="13"/>
  <c r="IH4" i="13"/>
  <c r="IH14" i="13" l="1"/>
  <c r="IL16" i="13" s="1"/>
  <c r="IG7" i="13"/>
  <c r="IH15" i="13"/>
  <c r="IL17" i="13" s="1"/>
  <c r="IH13" i="13"/>
  <c r="GJ25" i="13"/>
  <c r="GJ27" i="13"/>
  <c r="GJ28" i="13" s="1"/>
  <c r="IH5" i="13"/>
  <c r="IH6" i="13"/>
  <c r="GK3" i="13"/>
  <c r="II4" i="13"/>
  <c r="II14" i="13" l="1"/>
  <c r="IM16" i="13" s="1"/>
  <c r="IH7" i="13"/>
  <c r="II13" i="13"/>
  <c r="II15" i="13"/>
  <c r="IM17" i="13" s="1"/>
  <c r="GK27" i="13"/>
  <c r="GK28" i="13" s="1"/>
  <c r="GK25" i="13"/>
  <c r="II5" i="13"/>
  <c r="II6" i="13"/>
  <c r="GL3" i="13"/>
  <c r="IJ4" i="13"/>
  <c r="IJ14" i="13" l="1"/>
  <c r="IN16" i="13" s="1"/>
  <c r="II7" i="13"/>
  <c r="IJ13" i="13"/>
  <c r="IJ15" i="13"/>
  <c r="IN17" i="13" s="1"/>
  <c r="GL25" i="13"/>
  <c r="GL27" i="13"/>
  <c r="GL28" i="13" s="1"/>
  <c r="IJ5" i="13"/>
  <c r="IJ6" i="13"/>
  <c r="GM3" i="13"/>
  <c r="IK4" i="13"/>
  <c r="IK14" i="13" l="1"/>
  <c r="IJ7" i="13"/>
  <c r="IK15" i="13"/>
  <c r="IK13" i="13"/>
  <c r="GM27" i="13"/>
  <c r="GM28" i="13" s="1"/>
  <c r="GM25" i="13"/>
  <c r="IK5" i="13"/>
  <c r="IK6" i="13"/>
  <c r="GN3" i="13"/>
  <c r="IL4" i="13"/>
  <c r="IL14" i="13" l="1"/>
  <c r="IK7" i="13"/>
  <c r="IL13" i="13"/>
  <c r="IL15" i="13"/>
  <c r="GN27" i="13"/>
  <c r="GN28" i="13" s="1"/>
  <c r="GN25" i="13"/>
  <c r="IL5" i="13"/>
  <c r="IL6" i="13"/>
  <c r="GO3" i="13"/>
  <c r="IM4" i="13"/>
  <c r="IM14" i="13" l="1"/>
  <c r="IL7" i="13"/>
  <c r="IM15" i="13"/>
  <c r="IM13" i="13"/>
  <c r="GO27" i="13"/>
  <c r="GO28" i="13" s="1"/>
  <c r="GO25" i="13"/>
  <c r="IM5" i="13"/>
  <c r="IM6" i="13"/>
  <c r="GP3" i="13"/>
  <c r="IN4" i="13"/>
  <c r="IN14" i="13" l="1"/>
  <c r="IM7" i="13"/>
  <c r="IN15" i="13"/>
  <c r="IN13" i="13"/>
  <c r="GP27" i="13"/>
  <c r="GP28" i="13" s="1"/>
  <c r="GP25" i="13"/>
  <c r="IN5" i="13"/>
  <c r="IN7" i="13" s="1"/>
  <c r="IN6" i="13"/>
  <c r="GQ3" i="13"/>
  <c r="C5" i="13" l="1"/>
  <c r="C6" i="13" s="1"/>
  <c r="H15" i="13" s="1"/>
  <c r="GQ27" i="13"/>
  <c r="GQ28" i="13" s="1"/>
  <c r="GQ25" i="13"/>
  <c r="GR3" i="13"/>
  <c r="G15" i="13" l="1"/>
  <c r="L17" i="13"/>
  <c r="C12" i="15"/>
  <c r="C38" i="15" s="1"/>
  <c r="C11" i="13"/>
  <c r="G9" i="13" s="1"/>
  <c r="G20" i="13" s="1"/>
  <c r="G26" i="13" s="1"/>
  <c r="GR27" i="13"/>
  <c r="GR28" i="13" s="1"/>
  <c r="GR25" i="13"/>
  <c r="GS3" i="13"/>
  <c r="J17" i="13" l="1"/>
  <c r="I17" i="13"/>
  <c r="G17" i="13"/>
  <c r="H17" i="13"/>
  <c r="K17" i="13"/>
  <c r="C27" i="13"/>
  <c r="C7" i="13"/>
  <c r="C14" i="15" s="1"/>
  <c r="H9" i="13"/>
  <c r="C20" i="15"/>
  <c r="GS27" i="13"/>
  <c r="GS28" i="13" s="1"/>
  <c r="GS25" i="13"/>
  <c r="GT3" i="13"/>
  <c r="AK21" i="13" l="1"/>
  <c r="AK22" i="13"/>
  <c r="AK23" i="13"/>
  <c r="I9" i="13"/>
  <c r="H23" i="13"/>
  <c r="H21" i="13"/>
  <c r="H22" i="13"/>
  <c r="H20" i="13"/>
  <c r="H26" i="13" s="1"/>
  <c r="GT25" i="13"/>
  <c r="GT27" i="13"/>
  <c r="GT28" i="13" s="1"/>
  <c r="GU3" i="13"/>
  <c r="J9" i="13" l="1"/>
  <c r="I22" i="13"/>
  <c r="I21" i="13"/>
  <c r="I23" i="13"/>
  <c r="I20" i="13"/>
  <c r="I26" i="13" s="1"/>
  <c r="AL23" i="13"/>
  <c r="AL22" i="13"/>
  <c r="AL21" i="13"/>
  <c r="GU27" i="13"/>
  <c r="GU28" i="13" s="1"/>
  <c r="GU25" i="13"/>
  <c r="GV3" i="13"/>
  <c r="AM22" i="13" l="1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U9" i="13" s="1"/>
  <c r="Q20" i="13"/>
  <c r="Q26" i="13" s="1"/>
  <c r="HC27" i="13"/>
  <c r="HC28" i="13" s="1"/>
  <c r="HC25" i="13"/>
  <c r="HD3" i="13"/>
  <c r="V9" i="13" l="1"/>
  <c r="U20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V20" i="13" l="1"/>
  <c r="V26" i="13" s="1"/>
  <c r="W9" i="13"/>
  <c r="T20" i="13"/>
  <c r="U26" i="13" s="1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W20" i="13" l="1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8" i="20"/>
  <c r="D8" i="20"/>
  <c r="E8" i="20" s="1"/>
  <c r="M60" i="20"/>
  <c r="D60" i="20"/>
  <c r="E60" i="20" s="1"/>
  <c r="D12" i="20"/>
  <c r="E12" i="20" s="1"/>
  <c r="M12" i="20"/>
  <c r="D39" i="20"/>
  <c r="E39" i="20" s="1"/>
  <c r="M39" i="20"/>
  <c r="D52" i="20"/>
  <c r="E52" i="20" s="1"/>
  <c r="M52" i="20"/>
  <c r="M38" i="20"/>
  <c r="D38" i="20"/>
  <c r="E38" i="20" s="1"/>
  <c r="D34" i="20"/>
  <c r="E34" i="20" s="1"/>
  <c r="M34" i="20"/>
  <c r="D35" i="20"/>
  <c r="E35" i="20" s="1"/>
  <c r="M35" i="20"/>
  <c r="D62" i="20"/>
  <c r="M46" i="20"/>
  <c r="D46" i="20"/>
  <c r="E46" i="20" s="1"/>
  <c r="D24" i="20"/>
  <c r="E24" i="20" s="1"/>
  <c r="M24" i="20"/>
  <c r="D30" i="20"/>
  <c r="E30" i="20" s="1"/>
  <c r="M30" i="20"/>
  <c r="D14" i="20"/>
  <c r="E14" i="20" s="1"/>
  <c r="M14" i="20"/>
  <c r="D29" i="20"/>
  <c r="E29" i="20" s="1"/>
  <c r="M29" i="20"/>
  <c r="M11" i="20"/>
  <c r="D11" i="20"/>
  <c r="E11" i="20" s="1"/>
  <c r="D45" i="20"/>
  <c r="E45" i="20" s="1"/>
  <c r="M45" i="20"/>
  <c r="D18" i="20"/>
  <c r="E18" i="20" s="1"/>
  <c r="M18" i="20"/>
  <c r="D57" i="20"/>
  <c r="E57" i="20" s="1"/>
  <c r="M57" i="20"/>
  <c r="M27" i="20"/>
  <c r="D27" i="20"/>
  <c r="E27" i="20" s="1"/>
  <c r="D33" i="20"/>
  <c r="E33" i="20" s="1"/>
  <c r="M33" i="20"/>
  <c r="D59" i="20"/>
  <c r="E59" i="20" s="1"/>
  <c r="M59" i="20"/>
  <c r="D5" i="20"/>
  <c r="E5" i="20" s="1"/>
  <c r="M5" i="20"/>
  <c r="M40" i="20"/>
  <c r="D40" i="20"/>
  <c r="E40" i="20" s="1"/>
  <c r="D19" i="20"/>
  <c r="E19" i="20" s="1"/>
  <c r="M19" i="20"/>
  <c r="M49" i="20"/>
  <c r="D49" i="20"/>
  <c r="E49" i="20" s="1"/>
  <c r="M7" i="20"/>
  <c r="D7" i="20"/>
  <c r="E7" i="20" s="1"/>
  <c r="D48" i="20"/>
  <c r="E48" i="20" s="1"/>
  <c r="M48" i="20"/>
  <c r="M31" i="20"/>
  <c r="D31" i="20"/>
  <c r="E31" i="20" s="1"/>
  <c r="M61" i="20"/>
  <c r="D61" i="20"/>
  <c r="E61" i="20" s="1"/>
  <c r="D15" i="20"/>
  <c r="E15" i="20" s="1"/>
  <c r="M15" i="20"/>
  <c r="D54" i="20"/>
  <c r="E54" i="20" s="1"/>
  <c r="M54" i="20"/>
  <c r="M43" i="20"/>
  <c r="D43" i="20"/>
  <c r="E43" i="20" s="1"/>
  <c r="D9" i="20"/>
  <c r="E9" i="20" s="1"/>
  <c r="M9" i="20"/>
  <c r="BG20" i="13" l="1"/>
  <c r="BG26" i="13" s="1"/>
  <c r="BH9" i="13"/>
  <c r="CG22" i="13"/>
  <c r="CG21" i="13"/>
  <c r="CG23" i="13"/>
  <c r="J8" i="20"/>
  <c r="J24" i="20"/>
  <c r="J9" i="20"/>
  <c r="J59" i="20"/>
  <c r="J43" i="20"/>
  <c r="J35" i="20"/>
  <c r="J39" i="20"/>
  <c r="J58" i="20"/>
  <c r="J54" i="20"/>
  <c r="J38" i="20"/>
  <c r="J60" i="20"/>
  <c r="J29" i="20"/>
  <c r="J5" i="20"/>
  <c r="J57" i="20"/>
  <c r="J15" i="20"/>
  <c r="J18" i="20"/>
  <c r="J48" i="20"/>
  <c r="J14" i="20"/>
  <c r="J19" i="20"/>
  <c r="J33" i="20"/>
  <c r="J45" i="20"/>
  <c r="J7" i="20"/>
  <c r="J46" i="20"/>
  <c r="J61" i="20"/>
  <c r="J49" i="20"/>
  <c r="J52" i="20"/>
  <c r="J31" i="20"/>
  <c r="J30" i="20"/>
  <c r="J40" i="20"/>
  <c r="J27" i="20"/>
  <c r="J11" i="20"/>
  <c r="J34" i="20"/>
  <c r="J12" i="20"/>
  <c r="E62" i="20"/>
  <c r="J62" i="20" s="1"/>
  <c r="BH20" i="13" l="1"/>
  <c r="BH26" i="13" s="1"/>
  <c r="BI9" i="13"/>
  <c r="CH23" i="13"/>
  <c r="CH21" i="13"/>
  <c r="CH22" i="13"/>
  <c r="H11" i="20"/>
  <c r="BJ9" i="13" l="1"/>
  <c r="BI20" i="13"/>
  <c r="BI26" i="13" s="1"/>
  <c r="CI23" i="13"/>
  <c r="CI22" i="13"/>
  <c r="CI21" i="13"/>
  <c r="H45" i="20"/>
  <c r="BK9" i="13" l="1"/>
  <c r="BJ20" i="13"/>
  <c r="BJ26" i="13" s="1"/>
  <c r="CJ21" i="13"/>
  <c r="CJ23" i="13"/>
  <c r="CJ22" i="13"/>
  <c r="H41" i="20"/>
  <c r="H2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H28" i="20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H49" i="20"/>
  <c r="BO20" i="13" l="1"/>
  <c r="BO26" i="13" s="1"/>
  <c r="BP9" i="13"/>
  <c r="CO21" i="13"/>
  <c r="CO23" i="13"/>
  <c r="CO22" i="13"/>
  <c r="H42" i="20"/>
  <c r="H43" i="20"/>
  <c r="BQ9" i="13" l="1"/>
  <c r="BP20" i="13"/>
  <c r="BP26" i="13" s="1"/>
  <c r="CP22" i="13"/>
  <c r="CP21" i="13"/>
  <c r="CP23" i="13"/>
  <c r="H24" i="20"/>
  <c r="H34" i="20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H21" i="20"/>
  <c r="BT9" i="13" l="1"/>
  <c r="BS20" i="13"/>
  <c r="BS26" i="13" s="1"/>
  <c r="CS22" i="13"/>
  <c r="CS23" i="13"/>
  <c r="CS21" i="13"/>
  <c r="H35" i="20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H22" i="20"/>
  <c r="BV20" i="13" l="1"/>
  <c r="BV26" i="13" s="1"/>
  <c r="BW9" i="13"/>
  <c r="CV23" i="13"/>
  <c r="CV21" i="13"/>
  <c r="CV22" i="13"/>
  <c r="H39" i="20"/>
  <c r="BW20" i="13" l="1"/>
  <c r="BW26" i="13" s="1"/>
  <c r="BX9" i="13"/>
  <c r="CW21" i="13"/>
  <c r="CW23" i="13"/>
  <c r="CW22" i="13"/>
  <c r="H27" i="20"/>
  <c r="H29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36" i="20"/>
  <c r="BZ20" i="13" l="1"/>
  <c r="BZ26" i="13" s="1"/>
  <c r="CA9" i="13"/>
  <c r="CZ22" i="13"/>
  <c r="CZ23" i="13"/>
  <c r="CZ21" i="13"/>
  <c r="H26" i="20"/>
  <c r="H30" i="20"/>
  <c r="CA20" i="13" l="1"/>
  <c r="CA26" i="13" s="1"/>
  <c r="CB9" i="13"/>
  <c r="DA22" i="13"/>
  <c r="DA23" i="13"/>
  <c r="DA21" i="13"/>
  <c r="H33" i="20"/>
  <c r="CC9" i="13" l="1"/>
  <c r="CB20" i="13"/>
  <c r="CB26" i="13" s="1"/>
  <c r="DB23" i="13"/>
  <c r="DB22" i="13"/>
  <c r="DB21" i="13"/>
  <c r="H65" i="20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13" i="20"/>
  <c r="H20" i="20"/>
  <c r="H19" i="20"/>
  <c r="H17" i="20"/>
  <c r="H51" i="20"/>
  <c r="H44" i="20"/>
  <c r="H48" i="20"/>
  <c r="H7" i="20"/>
  <c r="H5" i="20"/>
  <c r="H47" i="20"/>
  <c r="H16" i="20"/>
  <c r="H38" i="20"/>
  <c r="H4" i="20"/>
  <c r="H6" i="20"/>
  <c r="H59" i="20"/>
  <c r="H57" i="20"/>
  <c r="H15" i="20"/>
  <c r="H12" i="20"/>
  <c r="H50" i="20"/>
  <c r="H46" i="20"/>
  <c r="H10" i="20"/>
  <c r="H8" i="20"/>
  <c r="H9" i="20"/>
  <c r="H14" i="20"/>
  <c r="H56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s="1"/>
  <c r="D31" i="13" s="1"/>
  <c r="D30" i="13" s="1"/>
  <c r="D27" i="13" l="1"/>
  <c r="C40" i="15" l="1"/>
  <c r="C42" i="15" s="1"/>
</calcChain>
</file>

<file path=xl/sharedStrings.xml><?xml version="1.0" encoding="utf-8"?>
<sst xmlns="http://schemas.openxmlformats.org/spreadsheetml/2006/main" count="2667" uniqueCount="594">
  <si>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</si>
  <si>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</si>
  <si>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</si>
  <si>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</si>
  <si>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</si>
  <si>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</si>
  <si>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</si>
  <si>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</si>
  <si>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</si>
  <si>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</si>
  <si>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</si>
  <si>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</si>
  <si>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</si>
  <si>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</si>
  <si>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</si>
  <si>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</si>
  <si>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</si>
  <si>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</si>
  <si>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</si>
  <si>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</si>
  <si>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</si>
  <si>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</si>
  <si>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</si>
  <si>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</si>
  <si>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</si>
  <si>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</si>
  <si>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</si>
  <si>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</si>
  <si>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</si>
  <si>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</si>
  <si>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</si>
  <si>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</si>
  <si>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</si>
  <si>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</si>
  <si>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</si>
  <si>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</si>
  <si>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</si>
  <si>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</si>
  <si>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</si>
  <si>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</si>
  <si>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</si>
  <si>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</si>
  <si>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</si>
  <si>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</si>
  <si>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</si>
  <si>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</si>
  <si>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</si>
  <si>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</si>
  <si>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</si>
  <si>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</si>
  <si>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</si>
  <si>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</si>
  <si>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</si>
  <si>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</si>
  <si>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</si>
  <si>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</si>
  <si>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</si>
  <si>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</si>
  <si>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</si>
  <si>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</si>
  <si>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</si>
  <si>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</si>
  <si>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</si>
  <si>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</si>
  <si>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</si>
  <si>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</si>
  <si>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</si>
  <si>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</si>
  <si>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</si>
  <si>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</si>
  <si>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</si>
  <si>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</si>
  <si>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</si>
  <si>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</si>
  <si>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</si>
  <si>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</si>
  <si>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</si>
  <si>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</si>
  <si>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</si>
  <si>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</si>
  <si>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</si>
  <si>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</si>
  <si>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</si>
  <si>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</si>
  <si>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</si>
  <si>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</si>
  <si>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</si>
  <si>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</si>
  <si>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</si>
  <si>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</si>
  <si>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</si>
  <si>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</si>
  <si>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</si>
  <si>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</si>
  <si>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</si>
  <si>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</si>
  <si>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</si>
  <si>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</si>
  <si>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</si>
  <si>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</si>
  <si>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</si>
  <si>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</si>
  <si>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</si>
  <si>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</si>
  <si>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</si>
  <si>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</si>
  <si>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</si>
  <si>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</si>
  <si>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</si>
  <si>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</si>
  <si>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</si>
  <si>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</si>
  <si>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</si>
  <si>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</si>
  <si>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</si>
  <si>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</si>
  <si>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</si>
  <si>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</si>
  <si>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</si>
  <si>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</si>
  <si>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</si>
  <si>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</si>
  <si>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</si>
  <si>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</si>
  <si>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</si>
  <si>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</si>
  <si>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</si>
  <si>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</si>
  <si>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</si>
  <si>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</si>
  <si>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</si>
  <si>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</si>
  <si>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</si>
  <si>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</si>
  <si>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</si>
  <si>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</si>
  <si>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</si>
  <si>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</si>
  <si>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</si>
  <si>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</si>
  <si>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</si>
  <si>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</si>
  <si>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</si>
  <si>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</si>
  <si>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</si>
  <si>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</si>
  <si>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</si>
  <si>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</si>
  <si>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</si>
  <si>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</si>
  <si>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</si>
  <si>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</si>
  <si>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</si>
  <si>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</si>
  <si>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</si>
  <si>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</si>
  <si>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</si>
  <si>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</si>
  <si>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</si>
  <si>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</si>
  <si>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</si>
  <si>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</si>
  <si>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</si>
  <si>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</si>
  <si>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</si>
  <si>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</si>
  <si>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</si>
  <si>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</si>
  <si>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</si>
  <si>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</si>
  <si>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</si>
  <si>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</si>
  <si>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</si>
  <si>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</si>
  <si>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</si>
  <si>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</si>
  <si>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</si>
  <si>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</si>
  <si>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</si>
  <si>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</si>
  <si>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</si>
  <si>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</si>
  <si>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</si>
  <si>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</si>
  <si>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</si>
  <si>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</si>
  <si>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</si>
  <si>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</si>
  <si>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</si>
  <si>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</si>
  <si>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</si>
  <si>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</si>
  <si>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</si>
  <si>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</si>
  <si>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</si>
  <si>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</si>
  <si>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</si>
  <si>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</si>
  <si>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</si>
  <si>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</si>
  <si>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</si>
  <si>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</si>
  <si>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</si>
  <si>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</si>
  <si>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</si>
  <si>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</si>
  <si>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</si>
  <si>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</si>
  <si>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</si>
  <si>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</si>
  <si>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</si>
  <si>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</si>
  <si>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</si>
  <si>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</si>
  <si>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</si>
  <si>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</si>
  <si>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</si>
  <si>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</si>
  <si>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</si>
  <si>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</si>
  <si>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</si>
  <si>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</si>
  <si>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</si>
  <si>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</si>
  <si>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</si>
  <si>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</si>
  <si>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</si>
  <si>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</si>
  <si>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</si>
  <si>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</si>
  <si>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</si>
  <si>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</si>
  <si>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</si>
  <si>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</si>
  <si>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</si>
  <si>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</si>
  <si>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</si>
  <si>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</si>
  <si>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</si>
  <si>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</si>
  <si>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</si>
  <si>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</si>
  <si>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</si>
  <si>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</si>
  <si>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</si>
  <si>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</si>
  <si>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</si>
  <si>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</si>
  <si>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</si>
  <si>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</si>
  <si>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</si>
  <si>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</si>
  <si>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</si>
  <si>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</si>
  <si>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</si>
  <si>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</si>
  <si>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</si>
  <si>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</si>
  <si>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</si>
  <si>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</si>
  <si>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</si>
  <si>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</si>
  <si>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</si>
  <si>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</si>
  <si>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</si>
  <si>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</si>
  <si>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</si>
  <si>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</si>
  <si>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</si>
  <si>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</si>
  <si>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</si>
  <si>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</si>
  <si>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</si>
  <si>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</si>
  <si>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</si>
  <si>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</si>
  <si>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</si>
  <si>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</si>
  <si>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</si>
  <si>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</si>
  <si>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</si>
  <si>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</si>
  <si>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</si>
  <si>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</si>
  <si>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</si>
  <si>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</si>
  <si>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</si>
  <si>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</si>
  <si>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</si>
  <si>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</si>
  <si>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</si>
  <si>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</si>
  <si>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</si>
  <si>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</si>
  <si>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</si>
  <si>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</si>
  <si>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</si>
  <si>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</si>
  <si>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</si>
  <si>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</si>
  <si>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</si>
  <si>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</si>
  <si>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</si>
  <si>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</si>
  <si>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</si>
  <si>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</si>
  <si>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</si>
  <si>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</si>
  <si>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</si>
  <si>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</si>
  <si>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</si>
  <si>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</si>
  <si>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</si>
  <si>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</si>
  <si>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</si>
  <si>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</si>
  <si>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</si>
  <si>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</si>
  <si>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</si>
  <si>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</si>
  <si>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</si>
  <si>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</si>
  <si>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</si>
  <si>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</si>
  <si>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</si>
  <si>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</si>
  <si>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</si>
  <si>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</si>
  <si>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</si>
  <si>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</si>
  <si>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</si>
  <si>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</si>
  <si>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</si>
  <si>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</si>
  <si>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</si>
  <si>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</si>
  <si>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</si>
  <si>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</si>
  <si>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</si>
  <si>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</si>
  <si>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</si>
  <si>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</si>
  <si>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</si>
  <si>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</si>
  <si>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</si>
  <si>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</si>
  <si>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</si>
  <si>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</si>
  <si>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</si>
  <si>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</si>
  <si>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</si>
  <si>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</si>
  <si>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</si>
  <si>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</si>
  <si>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</si>
  <si>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</si>
  <si>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</si>
  <si>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</si>
  <si>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</si>
  <si>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</si>
  <si>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</si>
  <si>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</si>
  <si>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</si>
  <si>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</si>
  <si>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</si>
  <si>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</si>
  <si>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</si>
  <si>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</si>
  <si>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</si>
  <si>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</si>
  <si>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</si>
  <si>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</si>
  <si>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</si>
  <si>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</si>
  <si>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</si>
  <si>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</si>
  <si>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</si>
  <si>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</si>
  <si>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</si>
  <si>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</si>
  <si>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</si>
  <si>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</si>
  <si>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</si>
  <si>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</si>
  <si>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</si>
  <si>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</si>
  <si>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</si>
  <si>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</si>
  <si>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</si>
  <si>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</si>
  <si>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</si>
  <si>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</si>
  <si>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</si>
  <si>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</si>
  <si>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</si>
  <si>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</si>
  <si>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</si>
  <si>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</si>
  <si>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</si>
  <si>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</si>
  <si>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</si>
  <si>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</si>
  <si>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</si>
  <si>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</si>
  <si>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</si>
  <si>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</si>
  <si>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</si>
  <si>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</si>
  <si>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</si>
  <si>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</si>
  <si>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</si>
  <si>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</si>
  <si>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</si>
  <si>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</si>
  <si>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</si>
  <si>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</si>
  <si>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</si>
  <si>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</si>
  <si>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</si>
  <si>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</si>
  <si>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</si>
  <si>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</si>
  <si>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</si>
  <si>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</si>
  <si>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</si>
  <si>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</si>
  <si>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</si>
  <si>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</si>
  <si>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</si>
  <si>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</si>
  <si>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</si>
  <si>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</si>
  <si>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</si>
  <si>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</si>
  <si>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</si>
  <si>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</si>
  <si>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</si>
  <si>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</si>
  <si>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</si>
  <si>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</si>
  <si>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</si>
  <si>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</si>
  <si>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</si>
  <si>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</si>
  <si>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</si>
  <si>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</si>
  <si>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</si>
  <si>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</si>
  <si>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</si>
  <si>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</si>
  <si>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</si>
  <si>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</si>
  <si>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</si>
  <si>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</si>
  <si>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</si>
  <si>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</si>
  <si>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</si>
  <si>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</si>
  <si>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</si>
  <si>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</si>
  <si>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</si>
  <si>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</si>
  <si>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</si>
  <si>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</si>
  <si>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</si>
  <si>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</si>
  <si>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</si>
  <si>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</si>
  <si>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</si>
  <si>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</si>
  <si>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</si>
  <si>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</si>
  <si>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</si>
  <si>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</si>
  <si>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</si>
  <si>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</si>
  <si>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</si>
  <si>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</si>
  <si>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</si>
  <si>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</si>
  <si>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</si>
  <si>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</si>
  <si>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</si>
  <si>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</si>
  <si>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</si>
  <si>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</si>
  <si>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</si>
  <si>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</si>
  <si>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</si>
  <si>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</si>
  <si>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</si>
  <si>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</si>
  <si>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</si>
  <si>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</si>
  <si>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</si>
  <si>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</si>
  <si>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</si>
  <si>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</si>
  <si>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</si>
  <si>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</si>
  <si>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</si>
  <si>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</si>
  <si>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</si>
  <si>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</si>
  <si>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</si>
  <si>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</si>
  <si>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</si>
  <si>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</si>
  <si>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</si>
  <si>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</si>
  <si>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</si>
  <si>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</si>
  <si>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</si>
  <si>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</si>
  <si>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</si>
  <si>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</si>
  <si>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</si>
  <si>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</si>
  <si>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</si>
  <si>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</si>
  <si>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</si>
  <si>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</si>
  <si>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</si>
  <si>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</si>
  <si>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</si>
  <si>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</si>
  <si>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</si>
  <si>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</si>
  <si>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</si>
  <si>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</si>
  <si>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</si>
  <si>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</si>
  <si>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</si>
  <si>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</si>
  <si>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</si>
  <si>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</si>
  <si>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</si>
  <si>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</si>
  <si>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</si>
  <si>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</si>
  <si>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</si>
  <si>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</si>
  <si>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</si>
  <si>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</si>
  <si>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</si>
  <si>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</si>
  <si>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</si>
  <si>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</si>
  <si>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</si>
  <si>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</si>
  <si>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</si>
  <si>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</si>
  <si>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</si>
  <si>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</si>
  <si>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</si>
  <si>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</si>
  <si>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</si>
  <si>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</si>
  <si>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</si>
  <si>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</si>
  <si>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</si>
  <si>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</si>
  <si>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</si>
  <si>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</si>
  <si>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</si>
  <si>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</si>
  <si>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</si>
  <si>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</si>
  <si>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</si>
  <si>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</si>
  <si>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</si>
  <si>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</si>
  <si>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</si>
  <si>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</si>
  <si>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</si>
  <si>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</si>
  <si>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</si>
  <si>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</si>
  <si>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</si>
  <si>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</si>
  <si>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</si>
  <si>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</si>
  <si>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</si>
  <si>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</si>
  <si>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</si>
  <si>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</si>
  <si>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</si>
  <si>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</si>
  <si>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</si>
  <si>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</si>
  <si>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Current rate of increase*</t>
  </si>
  <si>
    <t>Net New Cases</t>
  </si>
  <si>
    <t>Active cases (est)</t>
  </si>
  <si>
    <t>Recovered (est)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</si>
</sst>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8" formatCode="0.0%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6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right"/>
    </xf>
    <xf numFmtId="168" fontId="0" fillId="0" borderId="0" xfId="2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7011424735247336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58644.205576199834</c:v>
                </c:pt>
                <c:pt idx="22">
                  <c:v>83294.408865886493</c:v>
                </c:pt>
                <c:pt idx="23">
                  <c:v>118305.95163067861</c:v>
                </c:pt>
                <c:pt idx="24">
                  <c:v>168034.06593323816</c:v>
                </c:pt>
                <c:pt idx="25">
                  <c:v>238664.63964720714</c:v>
                </c:pt>
                <c:pt idx="26">
                  <c:v>338983.70489090239</c:v>
                </c:pt>
                <c:pt idx="27">
                  <c:v>481470.3692655171</c:v>
                </c:pt>
                <c:pt idx="28">
                  <c:v>683849.14418018912</c:v>
                </c:pt>
                <c:pt idx="29">
                  <c:v>971294.77086902875</c:v>
                </c:pt>
                <c:pt idx="30">
                  <c:v>1379563.8116188629</c:v>
                </c:pt>
                <c:pt idx="31">
                  <c:v>1959442.5579225076</c:v>
                </c:pt>
                <c:pt idx="32">
                  <c:v>2783064.5494335629</c:v>
                </c:pt>
                <c:pt idx="33">
                  <c:v>3952883.5662964913</c:v>
                </c:pt>
                <c:pt idx="34">
                  <c:v>5614418.2828519307</c:v>
                </c:pt>
                <c:pt idx="35">
                  <c:v>7974353.9434315069</c:v>
                </c:pt>
                <c:pt idx="36">
                  <c:v>11326252.803312676</c:v>
                </c:pt>
                <c:pt idx="37">
                  <c:v>16087071.56398746</c:v>
                </c:pt>
                <c:pt idx="38">
                  <c:v>22849028.359067041</c:v>
                </c:pt>
                <c:pt idx="39">
                  <c:v>32453271.241869442</c:v>
                </c:pt>
                <c:pt idx="40">
                  <c:v>46094512.10560599</c:v>
                </c:pt>
                <c:pt idx="41">
                  <c:v>65469641.886599079</c:v>
                </c:pt>
                <c:pt idx="42">
                  <c:v>92988813.916488647</c:v>
                </c:pt>
                <c:pt idx="43">
                  <c:v>132075252.96339345</c:v>
                </c:pt>
                <c:pt idx="44">
                  <c:v>132401060.40000001</c:v>
                </c:pt>
                <c:pt idx="45">
                  <c:v>132401060.40000001</c:v>
                </c:pt>
                <c:pt idx="46">
                  <c:v>132401060.40000001</c:v>
                </c:pt>
                <c:pt idx="47">
                  <c:v>132401060.40000001</c:v>
                </c:pt>
                <c:pt idx="48">
                  <c:v>132401060.40000001</c:v>
                </c:pt>
                <c:pt idx="49">
                  <c:v>132401060.40000001</c:v>
                </c:pt>
                <c:pt idx="50">
                  <c:v>132401060.40000001</c:v>
                </c:pt>
                <c:pt idx="51">
                  <c:v>132401060.40000001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45417.9</c:v>
                </c:pt>
                <c:pt idx="22">
                  <c:v>49959.69</c:v>
                </c:pt>
                <c:pt idx="23">
                  <c:v>54955.659000000007</c:v>
                </c:pt>
                <c:pt idx="24">
                  <c:v>60451.224900000016</c:v>
                </c:pt>
                <c:pt idx="25">
                  <c:v>66496.347390000024</c:v>
                </c:pt>
                <c:pt idx="26">
                  <c:v>73145.98212900004</c:v>
                </c:pt>
                <c:pt idx="27">
                  <c:v>80460.580341900044</c:v>
                </c:pt>
                <c:pt idx="28">
                  <c:v>88506.63837609005</c:v>
                </c:pt>
                <c:pt idx="29">
                  <c:v>97357.302213699062</c:v>
                </c:pt>
                <c:pt idx="30">
                  <c:v>107093.03243506898</c:v>
                </c:pt>
                <c:pt idx="31">
                  <c:v>117802.33567857588</c:v>
                </c:pt>
                <c:pt idx="32">
                  <c:v>129582.56924643349</c:v>
                </c:pt>
                <c:pt idx="33">
                  <c:v>142540.82617107686</c:v>
                </c:pt>
                <c:pt idx="34">
                  <c:v>156794.90878818455</c:v>
                </c:pt>
                <c:pt idx="35">
                  <c:v>172474.39966700302</c:v>
                </c:pt>
                <c:pt idx="36">
                  <c:v>189721.83963370335</c:v>
                </c:pt>
                <c:pt idx="37">
                  <c:v>208694.02359707371</c:v>
                </c:pt>
                <c:pt idx="38">
                  <c:v>229563.42595678111</c:v>
                </c:pt>
                <c:pt idx="39">
                  <c:v>252519.76855245925</c:v>
                </c:pt>
                <c:pt idx="40">
                  <c:v>277771.7454077052</c:v>
                </c:pt>
                <c:pt idx="41">
                  <c:v>305548.91994847573</c:v>
                </c:pt>
                <c:pt idx="42">
                  <c:v>336103.81194332335</c:v>
                </c:pt>
                <c:pt idx="43">
                  <c:v>369714.19313765573</c:v>
                </c:pt>
                <c:pt idx="44">
                  <c:v>406685.61245142133</c:v>
                </c:pt>
                <c:pt idx="45">
                  <c:v>447354.17369656352</c:v>
                </c:pt>
                <c:pt idx="46">
                  <c:v>492089.5910662199</c:v>
                </c:pt>
                <c:pt idx="47">
                  <c:v>541298.55017284199</c:v>
                </c:pt>
                <c:pt idx="48">
                  <c:v>595428.40519012627</c:v>
                </c:pt>
                <c:pt idx="49">
                  <c:v>654971.24570913892</c:v>
                </c:pt>
                <c:pt idx="50">
                  <c:v>720468.37028005288</c:v>
                </c:pt>
                <c:pt idx="51">
                  <c:v>792515.20730805828</c:v>
                </c:pt>
                <c:pt idx="52">
                  <c:v>871766.72803886421</c:v>
                </c:pt>
                <c:pt idx="53">
                  <c:v>958943.40084275068</c:v>
                </c:pt>
                <c:pt idx="54">
                  <c:v>1054837.7409270259</c:v>
                </c:pt>
                <c:pt idx="55">
                  <c:v>1160321.5150197286</c:v>
                </c:pt>
                <c:pt idx="56">
                  <c:v>1276353.6665217015</c:v>
                </c:pt>
                <c:pt idx="57">
                  <c:v>1403989.0331738717</c:v>
                </c:pt>
                <c:pt idx="58">
                  <c:v>1544387.9364912589</c:v>
                </c:pt>
                <c:pt idx="59">
                  <c:v>1698826.730140385</c:v>
                </c:pt>
                <c:pt idx="60">
                  <c:v>1868709.4031544237</c:v>
                </c:pt>
                <c:pt idx="61">
                  <c:v>2055580.3434698663</c:v>
                </c:pt>
                <c:pt idx="62">
                  <c:v>2261138.3778168531</c:v>
                </c:pt>
                <c:pt idx="63">
                  <c:v>2487252.2155985385</c:v>
                </c:pt>
                <c:pt idx="64">
                  <c:v>2735977.4371583927</c:v>
                </c:pt>
                <c:pt idx="65">
                  <c:v>3009575.1808742322</c:v>
                </c:pt>
                <c:pt idx="66">
                  <c:v>3310532.6989616556</c:v>
                </c:pt>
                <c:pt idx="67">
                  <c:v>3641585.9688578215</c:v>
                </c:pt>
                <c:pt idx="68">
                  <c:v>4005744.5657436042</c:v>
                </c:pt>
                <c:pt idx="69">
                  <c:v>4406319.0223179646</c:v>
                </c:pt>
                <c:pt idx="70">
                  <c:v>4846950.9245497612</c:v>
                </c:pt>
                <c:pt idx="71">
                  <c:v>5331646.0170047376</c:v>
                </c:pt>
                <c:pt idx="72">
                  <c:v>5864810.6187052121</c:v>
                </c:pt>
                <c:pt idx="73">
                  <c:v>6451291.680575734</c:v>
                </c:pt>
                <c:pt idx="74">
                  <c:v>7096420.848633308</c:v>
                </c:pt>
                <c:pt idx="75">
                  <c:v>7806062.9334966391</c:v>
                </c:pt>
                <c:pt idx="76">
                  <c:v>8586669.2268463038</c:v>
                </c:pt>
                <c:pt idx="77">
                  <c:v>9445336.1495309342</c:v>
                </c:pt>
                <c:pt idx="78">
                  <c:v>10389869.764484029</c:v>
                </c:pt>
                <c:pt idx="79">
                  <c:v>11428856.740932433</c:v>
                </c:pt>
                <c:pt idx="80">
                  <c:v>12571742.415025678</c:v>
                </c:pt>
                <c:pt idx="81">
                  <c:v>13828916.656528246</c:v>
                </c:pt>
                <c:pt idx="82">
                  <c:v>15211808.322181072</c:v>
                </c:pt>
                <c:pt idx="83">
                  <c:v>16732989.154399181</c:v>
                </c:pt>
                <c:pt idx="84">
                  <c:v>18406288.069839101</c:v>
                </c:pt>
                <c:pt idx="85">
                  <c:v>20246916.876823012</c:v>
                </c:pt>
                <c:pt idx="86">
                  <c:v>22271608.564505316</c:v>
                </c:pt>
                <c:pt idx="87">
                  <c:v>24498769.420955852</c:v>
                </c:pt>
                <c:pt idx="88">
                  <c:v>26948646.363051441</c:v>
                </c:pt>
                <c:pt idx="89">
                  <c:v>29643510.999356586</c:v>
                </c:pt>
                <c:pt idx="90">
                  <c:v>32607862.099292248</c:v>
                </c:pt>
                <c:pt idx="91">
                  <c:v>35868648.309221476</c:v>
                </c:pt>
                <c:pt idx="92">
                  <c:v>39455513.140143625</c:v>
                </c:pt>
                <c:pt idx="93">
                  <c:v>43401064.454157993</c:v>
                </c:pt>
                <c:pt idx="94">
                  <c:v>47741170.899573795</c:v>
                </c:pt>
                <c:pt idx="95">
                  <c:v>52515287.989531182</c:v>
                </c:pt>
                <c:pt idx="96">
                  <c:v>57766816.788484305</c:v>
                </c:pt>
                <c:pt idx="97">
                  <c:v>63543498.467332743</c:v>
                </c:pt>
                <c:pt idx="98">
                  <c:v>69897848.314066023</c:v>
                </c:pt>
                <c:pt idx="99">
                  <c:v>76887633.145472631</c:v>
                </c:pt>
                <c:pt idx="100">
                  <c:v>84576396.460019901</c:v>
                </c:pt>
                <c:pt idx="101">
                  <c:v>93034036.106021896</c:v>
                </c:pt>
                <c:pt idx="102">
                  <c:v>102337439.7166241</c:v>
                </c:pt>
                <c:pt idx="103">
                  <c:v>112571183.68828651</c:v>
                </c:pt>
                <c:pt idx="104">
                  <c:v>123828302.05711517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51611.25</c:v>
                </c:pt>
                <c:pt idx="22">
                  <c:v>64514.0625</c:v>
                </c:pt>
                <c:pt idx="23">
                  <c:v>80642.578125</c:v>
                </c:pt>
                <c:pt idx="24">
                  <c:v>100803.22265625</c:v>
                </c:pt>
                <c:pt idx="25">
                  <c:v>126004.0283203125</c:v>
                </c:pt>
                <c:pt idx="26">
                  <c:v>157505.03540039063</c:v>
                </c:pt>
                <c:pt idx="27">
                  <c:v>196881.29425048828</c:v>
                </c:pt>
                <c:pt idx="28">
                  <c:v>246101.61781311035</c:v>
                </c:pt>
                <c:pt idx="29">
                  <c:v>307627.02226638794</c:v>
                </c:pt>
                <c:pt idx="30">
                  <c:v>384533.77783298492</c:v>
                </c:pt>
                <c:pt idx="31">
                  <c:v>480667.22229123116</c:v>
                </c:pt>
                <c:pt idx="32">
                  <c:v>600834.02786403894</c:v>
                </c:pt>
                <c:pt idx="33">
                  <c:v>751042.53483004868</c:v>
                </c:pt>
                <c:pt idx="34">
                  <c:v>938803.16853756085</c:v>
                </c:pt>
                <c:pt idx="35">
                  <c:v>1173503.9606719511</c:v>
                </c:pt>
                <c:pt idx="36">
                  <c:v>1466879.9508399388</c:v>
                </c:pt>
                <c:pt idx="37">
                  <c:v>1833599.9385499235</c:v>
                </c:pt>
                <c:pt idx="38">
                  <c:v>2291999.9231874044</c:v>
                </c:pt>
                <c:pt idx="39">
                  <c:v>2864999.9039842556</c:v>
                </c:pt>
                <c:pt idx="40">
                  <c:v>3581249.8799803196</c:v>
                </c:pt>
                <c:pt idx="41">
                  <c:v>4476562.3499753997</c:v>
                </c:pt>
                <c:pt idx="42">
                  <c:v>5595702.9374692496</c:v>
                </c:pt>
                <c:pt idx="43">
                  <c:v>6994628.6718365625</c:v>
                </c:pt>
                <c:pt idx="44">
                  <c:v>8743285.8397957031</c:v>
                </c:pt>
                <c:pt idx="45">
                  <c:v>10929107.299744628</c:v>
                </c:pt>
                <c:pt idx="46">
                  <c:v>13661384.124680785</c:v>
                </c:pt>
                <c:pt idx="47">
                  <c:v>17076730.15585098</c:v>
                </c:pt>
                <c:pt idx="48">
                  <c:v>21345912.694813725</c:v>
                </c:pt>
                <c:pt idx="49">
                  <c:v>26682390.868517157</c:v>
                </c:pt>
                <c:pt idx="50">
                  <c:v>33352988.585646447</c:v>
                </c:pt>
                <c:pt idx="51">
                  <c:v>41691235.732058056</c:v>
                </c:pt>
                <c:pt idx="52">
                  <c:v>52114044.665072568</c:v>
                </c:pt>
                <c:pt idx="53">
                  <c:v>65142555.831340708</c:v>
                </c:pt>
                <c:pt idx="54">
                  <c:v>81428194.789175883</c:v>
                </c:pt>
                <c:pt idx="55">
                  <c:v>101785243.48646985</c:v>
                </c:pt>
                <c:pt idx="56">
                  <c:v>127231554.35808732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57804.6</c:v>
                </c:pt>
                <c:pt idx="22">
                  <c:v>80926.439999999988</c:v>
                </c:pt>
                <c:pt idx="23">
                  <c:v>113297.01599999997</c:v>
                </c:pt>
                <c:pt idx="24">
                  <c:v>158615.82239999995</c:v>
                </c:pt>
                <c:pt idx="25">
                  <c:v>222062.1513599999</c:v>
                </c:pt>
                <c:pt idx="26">
                  <c:v>310887.01190399984</c:v>
                </c:pt>
                <c:pt idx="27">
                  <c:v>435241.81666559976</c:v>
                </c:pt>
                <c:pt idx="28">
                  <c:v>609338.54333183961</c:v>
                </c:pt>
                <c:pt idx="29">
                  <c:v>853073.96066457545</c:v>
                </c:pt>
                <c:pt idx="30">
                  <c:v>1194303.5449304054</c:v>
                </c:pt>
                <c:pt idx="31">
                  <c:v>1672024.9629025676</c:v>
                </c:pt>
                <c:pt idx="32">
                  <c:v>2340834.9480635943</c:v>
                </c:pt>
                <c:pt idx="33">
                  <c:v>3277168.9272890319</c:v>
                </c:pt>
                <c:pt idx="34">
                  <c:v>4588036.4982046448</c:v>
                </c:pt>
                <c:pt idx="35">
                  <c:v>6423251.0974865025</c:v>
                </c:pt>
                <c:pt idx="36">
                  <c:v>8992551.5364811029</c:v>
                </c:pt>
                <c:pt idx="37">
                  <c:v>12589572.151073543</c:v>
                </c:pt>
                <c:pt idx="38">
                  <c:v>17625401.011502959</c:v>
                </c:pt>
                <c:pt idx="39">
                  <c:v>24675561.416104142</c:v>
                </c:pt>
                <c:pt idx="40">
                  <c:v>34545785.982545793</c:v>
                </c:pt>
                <c:pt idx="41">
                  <c:v>48364100.375564106</c:v>
                </c:pt>
                <c:pt idx="42">
                  <c:v>67709740.525789738</c:v>
                </c:pt>
                <c:pt idx="43">
                  <c:v>94793636.736105621</c:v>
                </c:pt>
                <c:pt idx="44">
                  <c:v>132401060.40000001</c:v>
                </c:pt>
                <c:pt idx="45">
                  <c:v>132401060.40000001</c:v>
                </c:pt>
                <c:pt idx="46">
                  <c:v>132401060.40000001</c:v>
                </c:pt>
                <c:pt idx="47">
                  <c:v>132401060.40000001</c:v>
                </c:pt>
                <c:pt idx="48">
                  <c:v>132401060.40000001</c:v>
                </c:pt>
                <c:pt idx="49">
                  <c:v>132401060.40000001</c:v>
                </c:pt>
                <c:pt idx="50">
                  <c:v>132401060.40000001</c:v>
                </c:pt>
                <c:pt idx="51">
                  <c:v>132401060.40000001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1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7-41EE-A5F2-80C01F3CAFDE}"/>
            </c:ext>
          </c:extLst>
        </c:ser>
        <c:ser>
          <c:idx val="9"/>
          <c:order val="7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8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0.26271186440677963</c:v>
                </c:pt>
                <c:pt idx="1">
                  <c:v>0.26271186440677963</c:v>
                </c:pt>
                <c:pt idx="2">
                  <c:v>0.29383827373303933</c:v>
                </c:pt>
                <c:pt idx="3">
                  <c:v>0.29652549145045826</c:v>
                </c:pt>
                <c:pt idx="4">
                  <c:v>0.30893689024024296</c:v>
                </c:pt>
                <c:pt idx="5">
                  <c:v>0.32525040170320352</c:v>
                </c:pt>
                <c:pt idx="6">
                  <c:v>0.3354481845183811</c:v>
                </c:pt>
                <c:pt idx="7">
                  <c:v>0.33344652586258594</c:v>
                </c:pt>
                <c:pt idx="8">
                  <c:v>0.34724231941566969</c:v>
                </c:pt>
                <c:pt idx="9">
                  <c:v>0.34120849710771833</c:v>
                </c:pt>
                <c:pt idx="10">
                  <c:v>0.3389252016516332</c:v>
                </c:pt>
                <c:pt idx="11">
                  <c:v>0.34847606188267727</c:v>
                </c:pt>
                <c:pt idx="12">
                  <c:v>0.33835213400387054</c:v>
                </c:pt>
                <c:pt idx="13">
                  <c:v>0.32226592207679527</c:v>
                </c:pt>
                <c:pt idx="14">
                  <c:v>0.31862595587032616</c:v>
                </c:pt>
                <c:pt idx="15">
                  <c:v>0.31004638663610345</c:v>
                </c:pt>
                <c:pt idx="16">
                  <c:v>0.31387109362075</c:v>
                </c:pt>
                <c:pt idx="17">
                  <c:v>0.33561129437690573</c:v>
                </c:pt>
                <c:pt idx="18">
                  <c:v>0.35826945979749036</c:v>
                </c:pt>
                <c:pt idx="19">
                  <c:v>0.37415691594648542</c:v>
                </c:pt>
                <c:pt idx="20">
                  <c:v>0.39877457396644678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0.1398756969963853</c:v>
                </c:pt>
                <c:pt idx="7">
                  <c:v>0.15862676932301595</c:v>
                </c:pt>
                <c:pt idx="8">
                  <c:v>0.17457851535036664</c:v>
                </c:pt>
                <c:pt idx="9">
                  <c:v>0.1806758517136105</c:v>
                </c:pt>
                <c:pt idx="10">
                  <c:v>0.18055087313818291</c:v>
                </c:pt>
                <c:pt idx="11">
                  <c:v>0.19015612063681039</c:v>
                </c:pt>
                <c:pt idx="12">
                  <c:v>0.18843903463329631</c:v>
                </c:pt>
                <c:pt idx="13">
                  <c:v>0.18435120783260883</c:v>
                </c:pt>
                <c:pt idx="14">
                  <c:v>0.19097252447891111</c:v>
                </c:pt>
                <c:pt idx="15">
                  <c:v>0.1964351404500338</c:v>
                </c:pt>
                <c:pt idx="16">
                  <c:v>0.21696087801307856</c:v>
                </c:pt>
                <c:pt idx="17">
                  <c:v>0.24394939853249215</c:v>
                </c:pt>
                <c:pt idx="18">
                  <c:v>0.26502251913885189</c:v>
                </c:pt>
                <c:pt idx="19">
                  <c:v>0.28311437253422039</c:v>
                </c:pt>
                <c:pt idx="20">
                  <c:v>0.315472991385364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19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12386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active</a:t>
                </a:r>
                <a:r>
                  <a:rPr lang="en-GB" baseline="0"/>
                  <a:t> cases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7819969487470654E-3"/>
              <c:y val="0.23629153960829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</a:t>
                </a:r>
                <a:r>
                  <a:rPr lang="en-GB" baseline="0"/>
                  <a:t> increase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"/>
          <c:y val="0.90596842778897335"/>
          <c:w val="1"/>
          <c:h val="9.170280533892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3.7474627682623667</c:v>
                </c:pt>
                <c:pt idx="1">
                  <c:v>4.7319656989075645</c:v>
                </c:pt>
                <c:pt idx="2">
                  <c:v>6.8597623554633147</c:v>
                </c:pt>
                <c:pt idx="3">
                  <c:v>8.2253631947453645</c:v>
                </c:pt>
                <c:pt idx="4">
                  <c:v>12.576230985016078</c:v>
                </c:pt>
                <c:pt idx="5">
                  <c:v>16.133144798960018</c:v>
                </c:pt>
                <c:pt idx="6">
                  <c:v>18.165666978356555</c:v>
                </c:pt>
                <c:pt idx="7">
                  <c:v>29.916185827992791</c:v>
                </c:pt>
                <c:pt idx="8">
                  <c:v>39.888247770657053</c:v>
                </c:pt>
                <c:pt idx="9">
                  <c:v>51.892831892717858</c:v>
                </c:pt>
                <c:pt idx="10">
                  <c:v>68.057734850730938</c:v>
                </c:pt>
                <c:pt idx="11">
                  <c:v>77.743973361917568</c:v>
                </c:pt>
                <c:pt idx="12">
                  <c:v>103.75390562638265</c:v>
                </c:pt>
                <c:pt idx="13">
                  <c:v>135.7661299518781</c:v>
                </c:pt>
                <c:pt idx="14">
                  <c:v>191.24763381759297</c:v>
                </c:pt>
                <c:pt idx="15">
                  <c:v>226.84853011608547</c:v>
                </c:pt>
                <c:pt idx="16">
                  <c:v>408.66399069491638</c:v>
                </c:pt>
                <c:pt idx="17">
                  <c:v>578.98299769653568</c:v>
                </c:pt>
                <c:pt idx="18">
                  <c:v>758.4165963463862</c:v>
                </c:pt>
                <c:pt idx="19">
                  <c:v>994.03037836111923</c:v>
                </c:pt>
                <c:pt idx="20">
                  <c:v>1311.2626291422446</c:v>
                </c:pt>
                <c:pt idx="21">
                  <c:v>1442.3888920564691</c:v>
                </c:pt>
                <c:pt idx="22">
                  <c:v>1586.6277812621158</c:v>
                </c:pt>
                <c:pt idx="23">
                  <c:v>1745.2905593883277</c:v>
                </c:pt>
                <c:pt idx="24">
                  <c:v>1919.8196153271606</c:v>
                </c:pt>
                <c:pt idx="25">
                  <c:v>2111.8015768598771</c:v>
                </c:pt>
                <c:pt idx="26">
                  <c:v>2322.981734545865</c:v>
                </c:pt>
                <c:pt idx="27">
                  <c:v>2555.2799080004515</c:v>
                </c:pt>
                <c:pt idx="28">
                  <c:v>2810.8078988004968</c:v>
                </c:pt>
                <c:pt idx="29">
                  <c:v>3091.8886886805467</c:v>
                </c:pt>
                <c:pt idx="30">
                  <c:v>3401.0775575486018</c:v>
                </c:pt>
                <c:pt idx="31">
                  <c:v>3741.185313303462</c:v>
                </c:pt>
                <c:pt idx="32">
                  <c:v>4115.3038446338087</c:v>
                </c:pt>
                <c:pt idx="33">
                  <c:v>4526.8342290971905</c:v>
                </c:pt>
                <c:pt idx="34">
                  <c:v>4979.5176520069099</c:v>
                </c:pt>
                <c:pt idx="35">
                  <c:v>5477.4694172076006</c:v>
                </c:pt>
                <c:pt idx="36">
                  <c:v>6025.2163589283618</c:v>
                </c:pt>
                <c:pt idx="37">
                  <c:v>6627.7379948211992</c:v>
                </c:pt>
                <c:pt idx="38">
                  <c:v>7290.5117943033201</c:v>
                </c:pt>
                <c:pt idx="39">
                  <c:v>8019.5629737336531</c:v>
                </c:pt>
                <c:pt idx="40">
                  <c:v>8821.5192711070194</c:v>
                </c:pt>
                <c:pt idx="41">
                  <c:v>9703.6711982177203</c:v>
                </c:pt>
                <c:pt idx="42">
                  <c:v>10674.038318039495</c:v>
                </c:pt>
                <c:pt idx="43">
                  <c:v>11741.442149843446</c:v>
                </c:pt>
                <c:pt idx="44">
                  <c:v>12915.586364827792</c:v>
                </c:pt>
                <c:pt idx="45">
                  <c:v>14207.145001310571</c:v>
                </c:pt>
                <c:pt idx="46">
                  <c:v>15627.85950144163</c:v>
                </c:pt>
                <c:pt idx="47">
                  <c:v>17190.645451585795</c:v>
                </c:pt>
                <c:pt idx="48">
                  <c:v>18909.709996744379</c:v>
                </c:pt>
                <c:pt idx="49">
                  <c:v>20800.680996418818</c:v>
                </c:pt>
                <c:pt idx="50">
                  <c:v>22880.749096060699</c:v>
                </c:pt>
                <c:pt idx="51">
                  <c:v>25168.824005666775</c:v>
                </c:pt>
                <c:pt idx="52">
                  <c:v>27685.706406233454</c:v>
                </c:pt>
                <c:pt idx="53">
                  <c:v>30454.277046856801</c:v>
                </c:pt>
                <c:pt idx="54">
                  <c:v>33499.704751542486</c:v>
                </c:pt>
                <c:pt idx="55">
                  <c:v>36849.675226696738</c:v>
                </c:pt>
                <c:pt idx="56">
                  <c:v>40534.642749366416</c:v>
                </c:pt>
                <c:pt idx="57">
                  <c:v>44588.107024303055</c:v>
                </c:pt>
                <c:pt idx="58">
                  <c:v>49046.917726733365</c:v>
                </c:pt>
                <c:pt idx="59">
                  <c:v>53951.60949940671</c:v>
                </c:pt>
                <c:pt idx="60">
                  <c:v>59346.770449347387</c:v>
                </c:pt>
                <c:pt idx="61">
                  <c:v>65281.447494282133</c:v>
                </c:pt>
                <c:pt idx="62">
                  <c:v>71809.592243710344</c:v>
                </c:pt>
                <c:pt idx="63">
                  <c:v>78990.551468081394</c:v>
                </c:pt>
                <c:pt idx="64">
                  <c:v>86889.606614889533</c:v>
                </c:pt>
                <c:pt idx="65">
                  <c:v>95578.567276378497</c:v>
                </c:pt>
                <c:pt idx="66">
                  <c:v>105136.42400401636</c:v>
                </c:pt>
                <c:pt idx="67">
                  <c:v>115650.066404418</c:v>
                </c:pt>
                <c:pt idx="68">
                  <c:v>127215.07304485982</c:v>
                </c:pt>
                <c:pt idx="69">
                  <c:v>139936.58034934581</c:v>
                </c:pt>
                <c:pt idx="70">
                  <c:v>153930.23838428038</c:v>
                </c:pt>
                <c:pt idx="71">
                  <c:v>169323.26222270844</c:v>
                </c:pt>
                <c:pt idx="72">
                  <c:v>186255.58844497931</c:v>
                </c:pt>
                <c:pt idx="73">
                  <c:v>204881.14728947726</c:v>
                </c:pt>
                <c:pt idx="74">
                  <c:v>225369.26201842498</c:v>
                </c:pt>
                <c:pt idx="75">
                  <c:v>247906.1882202675</c:v>
                </c:pt>
                <c:pt idx="76">
                  <c:v>272696.8070422943</c:v>
                </c:pt>
                <c:pt idx="77">
                  <c:v>299966.48774652369</c:v>
                </c:pt>
                <c:pt idx="78">
                  <c:v>329963.13652117614</c:v>
                </c:pt>
                <c:pt idx="79">
                  <c:v>362959.45017329376</c:v>
                </c:pt>
                <c:pt idx="80">
                  <c:v>399255.39519062318</c:v>
                </c:pt>
                <c:pt idx="81">
                  <c:v>439180.93470968551</c:v>
                </c:pt>
                <c:pt idx="82">
                  <c:v>483099.0281806541</c:v>
                </c:pt>
                <c:pt idx="83">
                  <c:v>531408.93099871953</c:v>
                </c:pt>
                <c:pt idx="84">
                  <c:v>584549.82409859158</c:v>
                </c:pt>
                <c:pt idx="85">
                  <c:v>643004.80650845077</c:v>
                </c:pt>
                <c:pt idx="86">
                  <c:v>707305.28715929599</c:v>
                </c:pt>
                <c:pt idx="87">
                  <c:v>778035.8158752257</c:v>
                </c:pt>
                <c:pt idx="88">
                  <c:v>855839.39746274834</c:v>
                </c:pt>
                <c:pt idx="89">
                  <c:v>941423.3372090233</c:v>
                </c:pt>
                <c:pt idx="90">
                  <c:v>1035565.6709299257</c:v>
                </c:pt>
                <c:pt idx="91">
                  <c:v>1139122.2380229183</c:v>
                </c:pt>
                <c:pt idx="92">
                  <c:v>1253034.4618252101</c:v>
                </c:pt>
                <c:pt idx="93">
                  <c:v>1378337.9080077314</c:v>
                </c:pt>
                <c:pt idx="94">
                  <c:v>1516171.6988085047</c:v>
                </c:pt>
                <c:pt idx="95">
                  <c:v>1667788.8686893554</c:v>
                </c:pt>
                <c:pt idx="96">
                  <c:v>1834567.755558291</c:v>
                </c:pt>
                <c:pt idx="97">
                  <c:v>2018024.5311141205</c:v>
                </c:pt>
                <c:pt idx="98">
                  <c:v>2219826.9842255325</c:v>
                </c:pt>
                <c:pt idx="99">
                  <c:v>2441809.682648086</c:v>
                </c:pt>
                <c:pt idx="100">
                  <c:v>2685990.6509128949</c:v>
                </c:pt>
                <c:pt idx="101">
                  <c:v>2954589.7160041844</c:v>
                </c:pt>
                <c:pt idx="102">
                  <c:v>3250048.6876046034</c:v>
                </c:pt>
                <c:pt idx="103">
                  <c:v>3575053.5563650639</c:v>
                </c:pt>
                <c:pt idx="104">
                  <c:v>3932558.9120015702</c:v>
                </c:pt>
                <c:pt idx="105">
                  <c:v>4204813.9349784479</c:v>
                </c:pt>
                <c:pt idx="106">
                  <c:v>4204813.9349784479</c:v>
                </c:pt>
                <c:pt idx="107">
                  <c:v>4204813.9349784479</c:v>
                </c:pt>
                <c:pt idx="108">
                  <c:v>4204813.9349784479</c:v>
                </c:pt>
                <c:pt idx="109">
                  <c:v>4204813.9349784479</c:v>
                </c:pt>
                <c:pt idx="110">
                  <c:v>4204813.9349784479</c:v>
                </c:pt>
                <c:pt idx="111">
                  <c:v>4204813.9349784479</c:v>
                </c:pt>
                <c:pt idx="112">
                  <c:v>4204813.9349784479</c:v>
                </c:pt>
                <c:pt idx="113">
                  <c:v>4204813.9349784479</c:v>
                </c:pt>
                <c:pt idx="114">
                  <c:v>4204813.9349784479</c:v>
                </c:pt>
                <c:pt idx="115">
                  <c:v>4204813.9349784479</c:v>
                </c:pt>
                <c:pt idx="116">
                  <c:v>4204813.9349784479</c:v>
                </c:pt>
                <c:pt idx="117">
                  <c:v>4204813.9349784479</c:v>
                </c:pt>
                <c:pt idx="118">
                  <c:v>4204813.9349784479</c:v>
                </c:pt>
                <c:pt idx="119">
                  <c:v>4204813.9349784479</c:v>
                </c:pt>
                <c:pt idx="120">
                  <c:v>4204813.9349784479</c:v>
                </c:pt>
                <c:pt idx="121">
                  <c:v>4204813.9349784479</c:v>
                </c:pt>
                <c:pt idx="122">
                  <c:v>4204813.9349784479</c:v>
                </c:pt>
                <c:pt idx="123">
                  <c:v>4204813.9349784479</c:v>
                </c:pt>
                <c:pt idx="124">
                  <c:v>4204813.9349784479</c:v>
                </c:pt>
                <c:pt idx="125">
                  <c:v>4204813.9349784479</c:v>
                </c:pt>
                <c:pt idx="126">
                  <c:v>4204813.9349784479</c:v>
                </c:pt>
                <c:pt idx="127">
                  <c:v>4204813.9349784479</c:v>
                </c:pt>
                <c:pt idx="128">
                  <c:v>4204813.9349784479</c:v>
                </c:pt>
                <c:pt idx="129">
                  <c:v>4204813.9349784479</c:v>
                </c:pt>
                <c:pt idx="130">
                  <c:v>4204813.9349784479</c:v>
                </c:pt>
                <c:pt idx="131">
                  <c:v>4204813.9349784479</c:v>
                </c:pt>
                <c:pt idx="132">
                  <c:v>4204813.9349784479</c:v>
                </c:pt>
                <c:pt idx="133">
                  <c:v>4204813.9349784479</c:v>
                </c:pt>
                <c:pt idx="134">
                  <c:v>4204813.9349784479</c:v>
                </c:pt>
                <c:pt idx="135">
                  <c:v>4204813.9349784479</c:v>
                </c:pt>
                <c:pt idx="136">
                  <c:v>4204813.9349784479</c:v>
                </c:pt>
                <c:pt idx="137">
                  <c:v>4204813.9349784479</c:v>
                </c:pt>
                <c:pt idx="138">
                  <c:v>4204813.9349784479</c:v>
                </c:pt>
                <c:pt idx="139">
                  <c:v>4204813.9349784479</c:v>
                </c:pt>
                <c:pt idx="140">
                  <c:v>4204813.9349784479</c:v>
                </c:pt>
                <c:pt idx="141">
                  <c:v>4204813.9349784479</c:v>
                </c:pt>
                <c:pt idx="142">
                  <c:v>4204813.9349784479</c:v>
                </c:pt>
                <c:pt idx="143">
                  <c:v>4204813.9349784479</c:v>
                </c:pt>
                <c:pt idx="144">
                  <c:v>4204813.9349784479</c:v>
                </c:pt>
                <c:pt idx="145">
                  <c:v>4204813.9349784479</c:v>
                </c:pt>
                <c:pt idx="146">
                  <c:v>4204813.9349784479</c:v>
                </c:pt>
                <c:pt idx="147">
                  <c:v>4204813.9349784479</c:v>
                </c:pt>
                <c:pt idx="148">
                  <c:v>4204813.9349784479</c:v>
                </c:pt>
                <c:pt idx="149">
                  <c:v>4204813.9349784479</c:v>
                </c:pt>
                <c:pt idx="150">
                  <c:v>4204813.9349784479</c:v>
                </c:pt>
                <c:pt idx="151">
                  <c:v>4204813.9349784479</c:v>
                </c:pt>
                <c:pt idx="152">
                  <c:v>4204813.9349784479</c:v>
                </c:pt>
                <c:pt idx="153">
                  <c:v>4204813.9349784479</c:v>
                </c:pt>
                <c:pt idx="154">
                  <c:v>4204813.9349784479</c:v>
                </c:pt>
                <c:pt idx="155">
                  <c:v>4204813.9349784479</c:v>
                </c:pt>
                <c:pt idx="156">
                  <c:v>4204813.9349784479</c:v>
                </c:pt>
                <c:pt idx="157">
                  <c:v>4204813.9349784479</c:v>
                </c:pt>
                <c:pt idx="158">
                  <c:v>4204813.9349784479</c:v>
                </c:pt>
                <c:pt idx="159">
                  <c:v>4204813.9349784479</c:v>
                </c:pt>
                <c:pt idx="160">
                  <c:v>4204813.9349784479</c:v>
                </c:pt>
                <c:pt idx="161">
                  <c:v>4204813.9349784479</c:v>
                </c:pt>
                <c:pt idx="162">
                  <c:v>4204813.9349784479</c:v>
                </c:pt>
                <c:pt idx="163">
                  <c:v>4204813.9349784479</c:v>
                </c:pt>
                <c:pt idx="164">
                  <c:v>4204813.9349784479</c:v>
                </c:pt>
                <c:pt idx="165">
                  <c:v>4204813.9349784479</c:v>
                </c:pt>
                <c:pt idx="166">
                  <c:v>4204813.9349784479</c:v>
                </c:pt>
                <c:pt idx="167">
                  <c:v>4204813.9349784479</c:v>
                </c:pt>
                <c:pt idx="168">
                  <c:v>4204813.9349784479</c:v>
                </c:pt>
                <c:pt idx="169">
                  <c:v>4204813.9349784479</c:v>
                </c:pt>
                <c:pt idx="170">
                  <c:v>4204813.9349784479</c:v>
                </c:pt>
                <c:pt idx="171">
                  <c:v>4204813.9349784479</c:v>
                </c:pt>
                <c:pt idx="172">
                  <c:v>4204813.9349784479</c:v>
                </c:pt>
                <c:pt idx="173">
                  <c:v>4204813.9349784479</c:v>
                </c:pt>
                <c:pt idx="174">
                  <c:v>4204813.9349784479</c:v>
                </c:pt>
                <c:pt idx="175">
                  <c:v>4204813.9349784479</c:v>
                </c:pt>
                <c:pt idx="176">
                  <c:v>4204813.9349784479</c:v>
                </c:pt>
                <c:pt idx="177">
                  <c:v>4204813.9349784479</c:v>
                </c:pt>
                <c:pt idx="178">
                  <c:v>4204813.9349784479</c:v>
                </c:pt>
                <c:pt idx="179">
                  <c:v>4204813.9349784479</c:v>
                </c:pt>
                <c:pt idx="180">
                  <c:v>4204813.9349784479</c:v>
                </c:pt>
                <c:pt idx="181">
                  <c:v>4204813.9349784479</c:v>
                </c:pt>
                <c:pt idx="182">
                  <c:v>4204813.9349784479</c:v>
                </c:pt>
                <c:pt idx="183">
                  <c:v>4204813.9349784479</c:v>
                </c:pt>
                <c:pt idx="184">
                  <c:v>4204813.9349784479</c:v>
                </c:pt>
                <c:pt idx="185">
                  <c:v>4204813.9349784479</c:v>
                </c:pt>
                <c:pt idx="186">
                  <c:v>4204813.9349784479</c:v>
                </c:pt>
                <c:pt idx="187">
                  <c:v>4204813.9349784479</c:v>
                </c:pt>
                <c:pt idx="188">
                  <c:v>4204813.9349784479</c:v>
                </c:pt>
                <c:pt idx="189">
                  <c:v>4204813.9349784479</c:v>
                </c:pt>
                <c:pt idx="190">
                  <c:v>4204813.9349784479</c:v>
                </c:pt>
                <c:pt idx="191">
                  <c:v>4204813.9349784479</c:v>
                </c:pt>
                <c:pt idx="192">
                  <c:v>4204813.9349784479</c:v>
                </c:pt>
                <c:pt idx="193">
                  <c:v>4204813.9349784479</c:v>
                </c:pt>
                <c:pt idx="194">
                  <c:v>4204813.9349784479</c:v>
                </c:pt>
                <c:pt idx="195">
                  <c:v>4204813.9349784479</c:v>
                </c:pt>
                <c:pt idx="196">
                  <c:v>4204813.9349784479</c:v>
                </c:pt>
                <c:pt idx="197">
                  <c:v>4204813.9349784479</c:v>
                </c:pt>
                <c:pt idx="198">
                  <c:v>4204813.9349784479</c:v>
                </c:pt>
                <c:pt idx="199">
                  <c:v>4204813.9349784479</c:v>
                </c:pt>
                <c:pt idx="200">
                  <c:v>4204813.9349784479</c:v>
                </c:pt>
                <c:pt idx="201">
                  <c:v>4204813.9349784479</c:v>
                </c:pt>
                <c:pt idx="202">
                  <c:v>4204813.9349784479</c:v>
                </c:pt>
                <c:pt idx="203">
                  <c:v>4204813.9349784479</c:v>
                </c:pt>
                <c:pt idx="204">
                  <c:v>4204813.9349784479</c:v>
                </c:pt>
                <c:pt idx="205">
                  <c:v>4204813.9349784479</c:v>
                </c:pt>
                <c:pt idx="206">
                  <c:v>4204813.9349784479</c:v>
                </c:pt>
                <c:pt idx="207">
                  <c:v>4204813.9349784479</c:v>
                </c:pt>
                <c:pt idx="208">
                  <c:v>4204813.9349784479</c:v>
                </c:pt>
                <c:pt idx="209">
                  <c:v>4204813.9349784479</c:v>
                </c:pt>
                <c:pt idx="210">
                  <c:v>4204813.9349784479</c:v>
                </c:pt>
                <c:pt idx="211">
                  <c:v>4204813.9349784479</c:v>
                </c:pt>
                <c:pt idx="212">
                  <c:v>4204813.9349784479</c:v>
                </c:pt>
                <c:pt idx="213">
                  <c:v>4204813.9349784479</c:v>
                </c:pt>
                <c:pt idx="214">
                  <c:v>4204813.9349784479</c:v>
                </c:pt>
                <c:pt idx="215">
                  <c:v>4204813.9349784479</c:v>
                </c:pt>
                <c:pt idx="216">
                  <c:v>4204813.9349784479</c:v>
                </c:pt>
                <c:pt idx="217">
                  <c:v>4204813.9349784479</c:v>
                </c:pt>
                <c:pt idx="218">
                  <c:v>4204813.9349784479</c:v>
                </c:pt>
                <c:pt idx="219">
                  <c:v>4204813.9349784479</c:v>
                </c:pt>
                <c:pt idx="220">
                  <c:v>4204813.9349784479</c:v>
                </c:pt>
                <c:pt idx="221">
                  <c:v>4204813.9349784479</c:v>
                </c:pt>
                <c:pt idx="222">
                  <c:v>4204813.9349784479</c:v>
                </c:pt>
                <c:pt idx="223">
                  <c:v>4204813.9349784479</c:v>
                </c:pt>
                <c:pt idx="224">
                  <c:v>4204813.9349784479</c:v>
                </c:pt>
                <c:pt idx="225">
                  <c:v>4204813.9349784479</c:v>
                </c:pt>
                <c:pt idx="226">
                  <c:v>4204813.9349784479</c:v>
                </c:pt>
                <c:pt idx="227">
                  <c:v>4204813.9349784479</c:v>
                </c:pt>
                <c:pt idx="228">
                  <c:v>4204813.9349784479</c:v>
                </c:pt>
                <c:pt idx="229">
                  <c:v>4204813.9349784479</c:v>
                </c:pt>
                <c:pt idx="230">
                  <c:v>4204813.9349784479</c:v>
                </c:pt>
                <c:pt idx="231">
                  <c:v>4204813.9349784479</c:v>
                </c:pt>
                <c:pt idx="232">
                  <c:v>4204813.9349784479</c:v>
                </c:pt>
                <c:pt idx="233">
                  <c:v>4204813.9349784479</c:v>
                </c:pt>
                <c:pt idx="234">
                  <c:v>4204813.9349784479</c:v>
                </c:pt>
                <c:pt idx="235">
                  <c:v>4204813.9349784479</c:v>
                </c:pt>
                <c:pt idx="236">
                  <c:v>4204813.9349784479</c:v>
                </c:pt>
                <c:pt idx="237">
                  <c:v>4204813.9349784479</c:v>
                </c:pt>
                <c:pt idx="238">
                  <c:v>4204813.9349784479</c:v>
                </c:pt>
                <c:pt idx="239">
                  <c:v>4204813.9349784479</c:v>
                </c:pt>
                <c:pt idx="240">
                  <c:v>4204813.9349784479</c:v>
                </c:pt>
                <c:pt idx="241">
                  <c:v>4204813.9349784479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3.7474627682623667</c:v>
                </c:pt>
                <c:pt idx="1">
                  <c:v>4.7319656989075645</c:v>
                </c:pt>
                <c:pt idx="2">
                  <c:v>6.8597623554633147</c:v>
                </c:pt>
                <c:pt idx="3">
                  <c:v>8.2253631947453645</c:v>
                </c:pt>
                <c:pt idx="4">
                  <c:v>12.576230985016078</c:v>
                </c:pt>
                <c:pt idx="5">
                  <c:v>16.133144798960018</c:v>
                </c:pt>
                <c:pt idx="6">
                  <c:v>18.165666978356555</c:v>
                </c:pt>
                <c:pt idx="7">
                  <c:v>29.916185827992791</c:v>
                </c:pt>
                <c:pt idx="8">
                  <c:v>39.888247770657053</c:v>
                </c:pt>
                <c:pt idx="9">
                  <c:v>51.892831892717858</c:v>
                </c:pt>
                <c:pt idx="10">
                  <c:v>68.057734850730938</c:v>
                </c:pt>
                <c:pt idx="11">
                  <c:v>77.743973361917568</c:v>
                </c:pt>
                <c:pt idx="12">
                  <c:v>103.75390562638265</c:v>
                </c:pt>
                <c:pt idx="13">
                  <c:v>135.7661299518781</c:v>
                </c:pt>
                <c:pt idx="14">
                  <c:v>191.24763381759297</c:v>
                </c:pt>
                <c:pt idx="15">
                  <c:v>226.84853011608547</c:v>
                </c:pt>
                <c:pt idx="16">
                  <c:v>408.66399069491638</c:v>
                </c:pt>
                <c:pt idx="17">
                  <c:v>578.98299769653568</c:v>
                </c:pt>
                <c:pt idx="18">
                  <c:v>758.4165963463862</c:v>
                </c:pt>
                <c:pt idx="19">
                  <c:v>994.03037836111923</c:v>
                </c:pt>
                <c:pt idx="20">
                  <c:v>1311.2626291422446</c:v>
                </c:pt>
                <c:pt idx="21">
                  <c:v>1639.0782864278056</c:v>
                </c:pt>
                <c:pt idx="22">
                  <c:v>2048.8478580347569</c:v>
                </c:pt>
                <c:pt idx="23">
                  <c:v>2561.0598225434464</c:v>
                </c:pt>
                <c:pt idx="24">
                  <c:v>3201.3247781793079</c:v>
                </c:pt>
                <c:pt idx="25">
                  <c:v>4001.6559727241347</c:v>
                </c:pt>
                <c:pt idx="26">
                  <c:v>5002.0699659051688</c:v>
                </c:pt>
                <c:pt idx="27">
                  <c:v>6252.5874573814608</c:v>
                </c:pt>
                <c:pt idx="28">
                  <c:v>7815.7343217268262</c:v>
                </c:pt>
                <c:pt idx="29">
                  <c:v>9769.6679021585333</c:v>
                </c:pt>
                <c:pt idx="30">
                  <c:v>12212.084877698166</c:v>
                </c:pt>
                <c:pt idx="31">
                  <c:v>15265.106097122707</c:v>
                </c:pt>
                <c:pt idx="32">
                  <c:v>19081.382621403383</c:v>
                </c:pt>
                <c:pt idx="33">
                  <c:v>23851.728276754231</c:v>
                </c:pt>
                <c:pt idx="34">
                  <c:v>29814.660345942786</c:v>
                </c:pt>
                <c:pt idx="35">
                  <c:v>37268.325432428486</c:v>
                </c:pt>
                <c:pt idx="36">
                  <c:v>46585.406790535606</c:v>
                </c:pt>
                <c:pt idx="37">
                  <c:v>58231.7584881695</c:v>
                </c:pt>
                <c:pt idx="38">
                  <c:v>72789.698110211888</c:v>
                </c:pt>
                <c:pt idx="39">
                  <c:v>90987.122637764856</c:v>
                </c:pt>
                <c:pt idx="40">
                  <c:v>113733.90329720607</c:v>
                </c:pt>
                <c:pt idx="41">
                  <c:v>142167.37912150761</c:v>
                </c:pt>
                <c:pt idx="42">
                  <c:v>177709.22390188448</c:v>
                </c:pt>
                <c:pt idx="43">
                  <c:v>222136.52987735564</c:v>
                </c:pt>
                <c:pt idx="44">
                  <c:v>277670.66234669456</c:v>
                </c:pt>
                <c:pt idx="45">
                  <c:v>347088.32793336816</c:v>
                </c:pt>
                <c:pt idx="46">
                  <c:v>433860.40991671022</c:v>
                </c:pt>
                <c:pt idx="47">
                  <c:v>542325.51239588775</c:v>
                </c:pt>
                <c:pt idx="48">
                  <c:v>677906.89049485954</c:v>
                </c:pt>
                <c:pt idx="49">
                  <c:v>847383.61311857449</c:v>
                </c:pt>
                <c:pt idx="50">
                  <c:v>1059229.5163982182</c:v>
                </c:pt>
                <c:pt idx="51">
                  <c:v>1324036.8954977726</c:v>
                </c:pt>
                <c:pt idx="52">
                  <c:v>1655046.1193722158</c:v>
                </c:pt>
                <c:pt idx="53">
                  <c:v>2068807.6492152696</c:v>
                </c:pt>
                <c:pt idx="54">
                  <c:v>2586009.5615190868</c:v>
                </c:pt>
                <c:pt idx="55">
                  <c:v>3232511.9518988584</c:v>
                </c:pt>
                <c:pt idx="56">
                  <c:v>4040639.9398735734</c:v>
                </c:pt>
                <c:pt idx="57">
                  <c:v>4204813.9349784479</c:v>
                </c:pt>
                <c:pt idx="58">
                  <c:v>4204813.9349784479</c:v>
                </c:pt>
                <c:pt idx="59">
                  <c:v>4204813.9349784479</c:v>
                </c:pt>
                <c:pt idx="60">
                  <c:v>4204813.9349784479</c:v>
                </c:pt>
                <c:pt idx="61">
                  <c:v>4204813.9349784479</c:v>
                </c:pt>
                <c:pt idx="62">
                  <c:v>4204813.9349784479</c:v>
                </c:pt>
                <c:pt idx="63">
                  <c:v>4204813.9349784479</c:v>
                </c:pt>
                <c:pt idx="64">
                  <c:v>4204813.9349784479</c:v>
                </c:pt>
                <c:pt idx="65">
                  <c:v>4204813.9349784479</c:v>
                </c:pt>
                <c:pt idx="66">
                  <c:v>4204813.9349784479</c:v>
                </c:pt>
                <c:pt idx="67">
                  <c:v>4204813.9349784479</c:v>
                </c:pt>
                <c:pt idx="68">
                  <c:v>4204813.9349784479</c:v>
                </c:pt>
                <c:pt idx="69">
                  <c:v>4204813.9349784479</c:v>
                </c:pt>
                <c:pt idx="70">
                  <c:v>4204813.9349784479</c:v>
                </c:pt>
                <c:pt idx="71">
                  <c:v>4204813.9349784479</c:v>
                </c:pt>
                <c:pt idx="72">
                  <c:v>4204813.9349784479</c:v>
                </c:pt>
                <c:pt idx="73">
                  <c:v>4204813.9349784479</c:v>
                </c:pt>
                <c:pt idx="74">
                  <c:v>4204813.9349784479</c:v>
                </c:pt>
                <c:pt idx="75">
                  <c:v>4204813.9349784479</c:v>
                </c:pt>
                <c:pt idx="76">
                  <c:v>4204813.9349784479</c:v>
                </c:pt>
                <c:pt idx="77">
                  <c:v>4204813.9349784479</c:v>
                </c:pt>
                <c:pt idx="78">
                  <c:v>4204813.9349784479</c:v>
                </c:pt>
                <c:pt idx="79">
                  <c:v>4204813.9349784479</c:v>
                </c:pt>
                <c:pt idx="80">
                  <c:v>4204813.9349784479</c:v>
                </c:pt>
                <c:pt idx="81">
                  <c:v>4204813.9349784479</c:v>
                </c:pt>
                <c:pt idx="82">
                  <c:v>4204813.9349784479</c:v>
                </c:pt>
                <c:pt idx="83">
                  <c:v>4204813.9349784479</c:v>
                </c:pt>
                <c:pt idx="84">
                  <c:v>4204813.9349784479</c:v>
                </c:pt>
                <c:pt idx="85">
                  <c:v>4204813.9349784479</c:v>
                </c:pt>
                <c:pt idx="86">
                  <c:v>4204813.9349784479</c:v>
                </c:pt>
                <c:pt idx="87">
                  <c:v>4204813.9349784479</c:v>
                </c:pt>
                <c:pt idx="88">
                  <c:v>4204813.9349784479</c:v>
                </c:pt>
                <c:pt idx="89">
                  <c:v>4204813.9349784479</c:v>
                </c:pt>
                <c:pt idx="90">
                  <c:v>4204813.9349784479</c:v>
                </c:pt>
                <c:pt idx="91">
                  <c:v>4204813.9349784479</c:v>
                </c:pt>
                <c:pt idx="92">
                  <c:v>4204813.9349784479</c:v>
                </c:pt>
                <c:pt idx="93">
                  <c:v>4204813.9349784479</c:v>
                </c:pt>
                <c:pt idx="94">
                  <c:v>4204813.9349784479</c:v>
                </c:pt>
                <c:pt idx="95">
                  <c:v>4204813.9349784479</c:v>
                </c:pt>
                <c:pt idx="96">
                  <c:v>4204813.9349784479</c:v>
                </c:pt>
                <c:pt idx="97">
                  <c:v>4204813.9349784479</c:v>
                </c:pt>
                <c:pt idx="98">
                  <c:v>4204813.9349784479</c:v>
                </c:pt>
                <c:pt idx="99">
                  <c:v>4204813.9349784479</c:v>
                </c:pt>
                <c:pt idx="100">
                  <c:v>4204813.9349784479</c:v>
                </c:pt>
                <c:pt idx="101">
                  <c:v>4204813.9349784479</c:v>
                </c:pt>
                <c:pt idx="102">
                  <c:v>4204813.9349784479</c:v>
                </c:pt>
                <c:pt idx="103">
                  <c:v>4204813.9349784479</c:v>
                </c:pt>
                <c:pt idx="104">
                  <c:v>4204813.9349784479</c:v>
                </c:pt>
                <c:pt idx="105">
                  <c:v>4204813.9349784479</c:v>
                </c:pt>
                <c:pt idx="106">
                  <c:v>4204813.9349784479</c:v>
                </c:pt>
                <c:pt idx="107">
                  <c:v>4204813.9349784479</c:v>
                </c:pt>
                <c:pt idx="108">
                  <c:v>4204813.9349784479</c:v>
                </c:pt>
                <c:pt idx="109">
                  <c:v>4204813.9349784479</c:v>
                </c:pt>
                <c:pt idx="110">
                  <c:v>4204813.9349784479</c:v>
                </c:pt>
                <c:pt idx="111">
                  <c:v>4204813.9349784479</c:v>
                </c:pt>
                <c:pt idx="112">
                  <c:v>4204813.9349784479</c:v>
                </c:pt>
                <c:pt idx="113">
                  <c:v>4204813.9349784479</c:v>
                </c:pt>
                <c:pt idx="114">
                  <c:v>4204813.9349784479</c:v>
                </c:pt>
                <c:pt idx="115">
                  <c:v>4204813.9349784479</c:v>
                </c:pt>
                <c:pt idx="116">
                  <c:v>4204813.9349784479</c:v>
                </c:pt>
                <c:pt idx="117">
                  <c:v>4204813.9349784479</c:v>
                </c:pt>
                <c:pt idx="118">
                  <c:v>4204813.9349784479</c:v>
                </c:pt>
                <c:pt idx="119">
                  <c:v>4204813.9349784479</c:v>
                </c:pt>
                <c:pt idx="120">
                  <c:v>4204813.9349784479</c:v>
                </c:pt>
                <c:pt idx="121">
                  <c:v>4204813.9349784479</c:v>
                </c:pt>
                <c:pt idx="122">
                  <c:v>4204813.9349784479</c:v>
                </c:pt>
                <c:pt idx="123">
                  <c:v>4204813.9349784479</c:v>
                </c:pt>
                <c:pt idx="124">
                  <c:v>4204813.9349784479</c:v>
                </c:pt>
                <c:pt idx="125">
                  <c:v>4204813.9349784479</c:v>
                </c:pt>
                <c:pt idx="126">
                  <c:v>4204813.9349784479</c:v>
                </c:pt>
                <c:pt idx="127">
                  <c:v>4204813.9349784479</c:v>
                </c:pt>
                <c:pt idx="128">
                  <c:v>4204813.9349784479</c:v>
                </c:pt>
                <c:pt idx="129">
                  <c:v>4204813.9349784479</c:v>
                </c:pt>
                <c:pt idx="130">
                  <c:v>4204813.9349784479</c:v>
                </c:pt>
                <c:pt idx="131">
                  <c:v>4204813.9349784479</c:v>
                </c:pt>
                <c:pt idx="132">
                  <c:v>4204813.9349784479</c:v>
                </c:pt>
                <c:pt idx="133">
                  <c:v>4204813.9349784479</c:v>
                </c:pt>
                <c:pt idx="134">
                  <c:v>4204813.9349784479</c:v>
                </c:pt>
                <c:pt idx="135">
                  <c:v>4204813.9349784479</c:v>
                </c:pt>
                <c:pt idx="136">
                  <c:v>4204813.9349784479</c:v>
                </c:pt>
                <c:pt idx="137">
                  <c:v>4204813.9349784479</c:v>
                </c:pt>
                <c:pt idx="138">
                  <c:v>4204813.9349784479</c:v>
                </c:pt>
                <c:pt idx="139">
                  <c:v>4204813.9349784479</c:v>
                </c:pt>
                <c:pt idx="140">
                  <c:v>4204813.9349784479</c:v>
                </c:pt>
                <c:pt idx="141">
                  <c:v>4204813.9349784479</c:v>
                </c:pt>
                <c:pt idx="142">
                  <c:v>4204813.9349784479</c:v>
                </c:pt>
                <c:pt idx="143">
                  <c:v>4204813.9349784479</c:v>
                </c:pt>
                <c:pt idx="144">
                  <c:v>4204813.9349784479</c:v>
                </c:pt>
                <c:pt idx="145">
                  <c:v>4204813.9349784479</c:v>
                </c:pt>
                <c:pt idx="146">
                  <c:v>4204813.9349784479</c:v>
                </c:pt>
                <c:pt idx="147">
                  <c:v>4204813.9349784479</c:v>
                </c:pt>
                <c:pt idx="148">
                  <c:v>4204813.9349784479</c:v>
                </c:pt>
                <c:pt idx="149">
                  <c:v>4204813.9349784479</c:v>
                </c:pt>
                <c:pt idx="150">
                  <c:v>4204813.9349784479</c:v>
                </c:pt>
                <c:pt idx="151">
                  <c:v>4204813.9349784479</c:v>
                </c:pt>
                <c:pt idx="152">
                  <c:v>4204813.9349784479</c:v>
                </c:pt>
                <c:pt idx="153">
                  <c:v>4204813.9349784479</c:v>
                </c:pt>
                <c:pt idx="154">
                  <c:v>4204813.9349784479</c:v>
                </c:pt>
                <c:pt idx="155">
                  <c:v>4204813.9349784479</c:v>
                </c:pt>
                <c:pt idx="156">
                  <c:v>4204813.9349784479</c:v>
                </c:pt>
                <c:pt idx="157">
                  <c:v>4204813.9349784479</c:v>
                </c:pt>
                <c:pt idx="158">
                  <c:v>4204813.9349784479</c:v>
                </c:pt>
                <c:pt idx="159">
                  <c:v>4204813.9349784479</c:v>
                </c:pt>
                <c:pt idx="160">
                  <c:v>4204813.9349784479</c:v>
                </c:pt>
                <c:pt idx="161">
                  <c:v>4204813.9349784479</c:v>
                </c:pt>
                <c:pt idx="162">
                  <c:v>4204813.9349784479</c:v>
                </c:pt>
                <c:pt idx="163">
                  <c:v>4204813.9349784479</c:v>
                </c:pt>
                <c:pt idx="164">
                  <c:v>4204813.9349784479</c:v>
                </c:pt>
                <c:pt idx="165">
                  <c:v>4204813.9349784479</c:v>
                </c:pt>
                <c:pt idx="166">
                  <c:v>4204813.9349784479</c:v>
                </c:pt>
                <c:pt idx="167">
                  <c:v>4204813.9349784479</c:v>
                </c:pt>
                <c:pt idx="168">
                  <c:v>4204813.9349784479</c:v>
                </c:pt>
                <c:pt idx="169">
                  <c:v>4204813.9349784479</c:v>
                </c:pt>
                <c:pt idx="170">
                  <c:v>4204813.9349784479</c:v>
                </c:pt>
                <c:pt idx="171">
                  <c:v>4204813.9349784479</c:v>
                </c:pt>
                <c:pt idx="172">
                  <c:v>4204813.9349784479</c:v>
                </c:pt>
                <c:pt idx="173">
                  <c:v>4204813.9349784479</c:v>
                </c:pt>
                <c:pt idx="174">
                  <c:v>4204813.9349784479</c:v>
                </c:pt>
                <c:pt idx="175">
                  <c:v>4204813.9349784479</c:v>
                </c:pt>
                <c:pt idx="176">
                  <c:v>4204813.9349784479</c:v>
                </c:pt>
                <c:pt idx="177">
                  <c:v>4204813.9349784479</c:v>
                </c:pt>
                <c:pt idx="178">
                  <c:v>4204813.9349784479</c:v>
                </c:pt>
                <c:pt idx="179">
                  <c:v>4204813.9349784479</c:v>
                </c:pt>
                <c:pt idx="180">
                  <c:v>4204813.9349784479</c:v>
                </c:pt>
                <c:pt idx="181">
                  <c:v>4204813.9349784479</c:v>
                </c:pt>
                <c:pt idx="182">
                  <c:v>4204813.9349784479</c:v>
                </c:pt>
                <c:pt idx="183">
                  <c:v>4204813.9349784479</c:v>
                </c:pt>
                <c:pt idx="184">
                  <c:v>4204813.9349784479</c:v>
                </c:pt>
                <c:pt idx="185">
                  <c:v>4204813.9349784479</c:v>
                </c:pt>
                <c:pt idx="186">
                  <c:v>4204813.9349784479</c:v>
                </c:pt>
                <c:pt idx="187">
                  <c:v>4204813.9349784479</c:v>
                </c:pt>
                <c:pt idx="188">
                  <c:v>4204813.9349784479</c:v>
                </c:pt>
                <c:pt idx="189">
                  <c:v>4204813.9349784479</c:v>
                </c:pt>
                <c:pt idx="190">
                  <c:v>4204813.9349784479</c:v>
                </c:pt>
                <c:pt idx="191">
                  <c:v>4204813.9349784479</c:v>
                </c:pt>
                <c:pt idx="192">
                  <c:v>4204813.9349784479</c:v>
                </c:pt>
                <c:pt idx="193">
                  <c:v>4204813.9349784479</c:v>
                </c:pt>
                <c:pt idx="194">
                  <c:v>4204813.9349784479</c:v>
                </c:pt>
                <c:pt idx="195">
                  <c:v>4204813.9349784479</c:v>
                </c:pt>
                <c:pt idx="196">
                  <c:v>4204813.9349784479</c:v>
                </c:pt>
                <c:pt idx="197">
                  <c:v>4204813.9349784479</c:v>
                </c:pt>
                <c:pt idx="198">
                  <c:v>4204813.9349784479</c:v>
                </c:pt>
                <c:pt idx="199">
                  <c:v>4204813.9349784479</c:v>
                </c:pt>
                <c:pt idx="200">
                  <c:v>4204813.9349784479</c:v>
                </c:pt>
                <c:pt idx="201">
                  <c:v>4204813.9349784479</c:v>
                </c:pt>
                <c:pt idx="202">
                  <c:v>4204813.9349784479</c:v>
                </c:pt>
                <c:pt idx="203">
                  <c:v>4204813.9349784479</c:v>
                </c:pt>
                <c:pt idx="204">
                  <c:v>4204813.9349784479</c:v>
                </c:pt>
                <c:pt idx="205">
                  <c:v>4204813.9349784479</c:v>
                </c:pt>
                <c:pt idx="206">
                  <c:v>4204813.9349784479</c:v>
                </c:pt>
                <c:pt idx="207">
                  <c:v>4204813.9349784479</c:v>
                </c:pt>
                <c:pt idx="208">
                  <c:v>4204813.9349784479</c:v>
                </c:pt>
                <c:pt idx="209">
                  <c:v>4204813.9349784479</c:v>
                </c:pt>
                <c:pt idx="210">
                  <c:v>4204813.9349784479</c:v>
                </c:pt>
                <c:pt idx="211">
                  <c:v>4204813.9349784479</c:v>
                </c:pt>
                <c:pt idx="212">
                  <c:v>4204813.9349784479</c:v>
                </c:pt>
                <c:pt idx="213">
                  <c:v>4204813.9349784479</c:v>
                </c:pt>
                <c:pt idx="214">
                  <c:v>4204813.9349784479</c:v>
                </c:pt>
                <c:pt idx="215">
                  <c:v>4204813.9349784479</c:v>
                </c:pt>
                <c:pt idx="216">
                  <c:v>4204813.9349784479</c:v>
                </c:pt>
                <c:pt idx="217">
                  <c:v>4204813.9349784479</c:v>
                </c:pt>
                <c:pt idx="218">
                  <c:v>4204813.9349784479</c:v>
                </c:pt>
                <c:pt idx="219">
                  <c:v>4204813.9349784479</c:v>
                </c:pt>
                <c:pt idx="220">
                  <c:v>4204813.9349784479</c:v>
                </c:pt>
                <c:pt idx="221">
                  <c:v>4204813.9349784479</c:v>
                </c:pt>
                <c:pt idx="222">
                  <c:v>4204813.9349784479</c:v>
                </c:pt>
                <c:pt idx="223">
                  <c:v>4204813.9349784479</c:v>
                </c:pt>
                <c:pt idx="224">
                  <c:v>4204813.9349784479</c:v>
                </c:pt>
                <c:pt idx="225">
                  <c:v>4204813.9349784479</c:v>
                </c:pt>
                <c:pt idx="226">
                  <c:v>4204813.9349784479</c:v>
                </c:pt>
                <c:pt idx="227">
                  <c:v>4204813.9349784479</c:v>
                </c:pt>
                <c:pt idx="228">
                  <c:v>4204813.9349784479</c:v>
                </c:pt>
                <c:pt idx="229">
                  <c:v>4204813.9349784479</c:v>
                </c:pt>
                <c:pt idx="230">
                  <c:v>4204813.9349784479</c:v>
                </c:pt>
                <c:pt idx="231">
                  <c:v>4204813.9349784479</c:v>
                </c:pt>
                <c:pt idx="232">
                  <c:v>4204813.9349784479</c:v>
                </c:pt>
                <c:pt idx="233">
                  <c:v>4204813.9349784479</c:v>
                </c:pt>
                <c:pt idx="234">
                  <c:v>4204813.9349784479</c:v>
                </c:pt>
                <c:pt idx="235">
                  <c:v>4204813.9349784479</c:v>
                </c:pt>
                <c:pt idx="236">
                  <c:v>4204813.9349784479</c:v>
                </c:pt>
                <c:pt idx="237">
                  <c:v>4204813.9349784479</c:v>
                </c:pt>
                <c:pt idx="238">
                  <c:v>4204813.9349784479</c:v>
                </c:pt>
                <c:pt idx="239">
                  <c:v>4204813.9349784479</c:v>
                </c:pt>
                <c:pt idx="240">
                  <c:v>4204813.9349784479</c:v>
                </c:pt>
                <c:pt idx="241">
                  <c:v>4204813.9349784479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3.7474627682623667</c:v>
                </c:pt>
                <c:pt idx="1">
                  <c:v>4.7319656989075645</c:v>
                </c:pt>
                <c:pt idx="2">
                  <c:v>6.8597623554633147</c:v>
                </c:pt>
                <c:pt idx="3">
                  <c:v>8.2253631947453645</c:v>
                </c:pt>
                <c:pt idx="4">
                  <c:v>12.576230985016078</c:v>
                </c:pt>
                <c:pt idx="5">
                  <c:v>16.133144798960018</c:v>
                </c:pt>
                <c:pt idx="6">
                  <c:v>18.165666978356555</c:v>
                </c:pt>
                <c:pt idx="7">
                  <c:v>29.916185827992791</c:v>
                </c:pt>
                <c:pt idx="8">
                  <c:v>39.888247770657053</c:v>
                </c:pt>
                <c:pt idx="9">
                  <c:v>51.892831892717858</c:v>
                </c:pt>
                <c:pt idx="10">
                  <c:v>68.057734850730938</c:v>
                </c:pt>
                <c:pt idx="11">
                  <c:v>77.743973361917568</c:v>
                </c:pt>
                <c:pt idx="12">
                  <c:v>103.75390562638265</c:v>
                </c:pt>
                <c:pt idx="13">
                  <c:v>135.7661299518781</c:v>
                </c:pt>
                <c:pt idx="14">
                  <c:v>191.24763381759297</c:v>
                </c:pt>
                <c:pt idx="15">
                  <c:v>226.84853011608547</c:v>
                </c:pt>
                <c:pt idx="16">
                  <c:v>408.66399069491638</c:v>
                </c:pt>
                <c:pt idx="17">
                  <c:v>578.98299769653568</c:v>
                </c:pt>
                <c:pt idx="18">
                  <c:v>758.4165963463862</c:v>
                </c:pt>
                <c:pt idx="19">
                  <c:v>994.03037836111923</c:v>
                </c:pt>
                <c:pt idx="20">
                  <c:v>1311.2626291422446</c:v>
                </c:pt>
                <c:pt idx="21">
                  <c:v>1835.7676807991422</c:v>
                </c:pt>
                <c:pt idx="22">
                  <c:v>2570.074753118799</c:v>
                </c:pt>
                <c:pt idx="23">
                  <c:v>3598.1046543663183</c:v>
                </c:pt>
                <c:pt idx="24">
                  <c:v>5037.3465161128452</c:v>
                </c:pt>
                <c:pt idx="25">
                  <c:v>7052.2851225579816</c:v>
                </c:pt>
                <c:pt idx="26">
                  <c:v>9873.1991715811746</c:v>
                </c:pt>
                <c:pt idx="27">
                  <c:v>13822.478840213644</c:v>
                </c:pt>
                <c:pt idx="28">
                  <c:v>19351.470376299098</c:v>
                </c:pt>
                <c:pt idx="29">
                  <c:v>27092.058526818739</c:v>
                </c:pt>
                <c:pt idx="30">
                  <c:v>37928.881937546226</c:v>
                </c:pt>
                <c:pt idx="31">
                  <c:v>53100.434712564718</c:v>
                </c:pt>
                <c:pt idx="32">
                  <c:v>74340.608597590588</c:v>
                </c:pt>
                <c:pt idx="33">
                  <c:v>104076.85203662683</c:v>
                </c:pt>
                <c:pt idx="34">
                  <c:v>145707.59285127756</c:v>
                </c:pt>
                <c:pt idx="35">
                  <c:v>203990.62999178859</c:v>
                </c:pt>
                <c:pt idx="36">
                  <c:v>285586.88198850397</c:v>
                </c:pt>
                <c:pt idx="37">
                  <c:v>399821.63478390558</c:v>
                </c:pt>
                <c:pt idx="38">
                  <c:v>559750.28869746777</c:v>
                </c:pt>
                <c:pt idx="39">
                  <c:v>783650.40417645476</c:v>
                </c:pt>
                <c:pt idx="40">
                  <c:v>1097110.5658470367</c:v>
                </c:pt>
                <c:pt idx="41">
                  <c:v>1535954.7921858511</c:v>
                </c:pt>
                <c:pt idx="42">
                  <c:v>2150336.7090601912</c:v>
                </c:pt>
                <c:pt idx="43">
                  <c:v>3010471.3926842674</c:v>
                </c:pt>
                <c:pt idx="44">
                  <c:v>4204813.9349784479</c:v>
                </c:pt>
                <c:pt idx="45">
                  <c:v>4204813.9349784479</c:v>
                </c:pt>
                <c:pt idx="46">
                  <c:v>4204813.9349784479</c:v>
                </c:pt>
                <c:pt idx="47">
                  <c:v>4204813.9349784479</c:v>
                </c:pt>
                <c:pt idx="48">
                  <c:v>4204813.9349784479</c:v>
                </c:pt>
                <c:pt idx="49">
                  <c:v>4204813.9349784479</c:v>
                </c:pt>
                <c:pt idx="50">
                  <c:v>4204813.9349784479</c:v>
                </c:pt>
                <c:pt idx="51">
                  <c:v>4204813.9349784479</c:v>
                </c:pt>
                <c:pt idx="52">
                  <c:v>4204813.9349784479</c:v>
                </c:pt>
                <c:pt idx="53">
                  <c:v>4204813.9349784479</c:v>
                </c:pt>
                <c:pt idx="54">
                  <c:v>4204813.9349784479</c:v>
                </c:pt>
                <c:pt idx="55">
                  <c:v>4204813.9349784479</c:v>
                </c:pt>
                <c:pt idx="56">
                  <c:v>4204813.9349784479</c:v>
                </c:pt>
                <c:pt idx="57">
                  <c:v>4204813.9349784479</c:v>
                </c:pt>
                <c:pt idx="58">
                  <c:v>4204813.9349784479</c:v>
                </c:pt>
                <c:pt idx="59">
                  <c:v>4204813.9349784479</c:v>
                </c:pt>
                <c:pt idx="60">
                  <c:v>4204813.9349784479</c:v>
                </c:pt>
                <c:pt idx="61">
                  <c:v>4204813.9349784479</c:v>
                </c:pt>
                <c:pt idx="62">
                  <c:v>4204813.9349784479</c:v>
                </c:pt>
                <c:pt idx="63">
                  <c:v>4204813.9349784479</c:v>
                </c:pt>
                <c:pt idx="64">
                  <c:v>4204813.9349784479</c:v>
                </c:pt>
                <c:pt idx="65">
                  <c:v>4204813.9349784479</c:v>
                </c:pt>
                <c:pt idx="66">
                  <c:v>4204813.9349784479</c:v>
                </c:pt>
                <c:pt idx="67">
                  <c:v>4204813.9349784479</c:v>
                </c:pt>
                <c:pt idx="68">
                  <c:v>4204813.9349784479</c:v>
                </c:pt>
                <c:pt idx="69">
                  <c:v>4204813.9349784479</c:v>
                </c:pt>
                <c:pt idx="70">
                  <c:v>4204813.9349784479</c:v>
                </c:pt>
                <c:pt idx="71">
                  <c:v>4204813.9349784479</c:v>
                </c:pt>
                <c:pt idx="72">
                  <c:v>4204813.9349784479</c:v>
                </c:pt>
                <c:pt idx="73">
                  <c:v>4204813.9349784479</c:v>
                </c:pt>
                <c:pt idx="74">
                  <c:v>4204813.9349784479</c:v>
                </c:pt>
                <c:pt idx="75">
                  <c:v>4204813.9349784479</c:v>
                </c:pt>
                <c:pt idx="76">
                  <c:v>4204813.9349784479</c:v>
                </c:pt>
                <c:pt idx="77">
                  <c:v>4204813.9349784479</c:v>
                </c:pt>
                <c:pt idx="78">
                  <c:v>4204813.9349784479</c:v>
                </c:pt>
                <c:pt idx="79">
                  <c:v>4204813.9349784479</c:v>
                </c:pt>
                <c:pt idx="80">
                  <c:v>4204813.9349784479</c:v>
                </c:pt>
                <c:pt idx="81">
                  <c:v>4204813.9349784479</c:v>
                </c:pt>
                <c:pt idx="82">
                  <c:v>4204813.9349784479</c:v>
                </c:pt>
                <c:pt idx="83">
                  <c:v>4204813.9349784479</c:v>
                </c:pt>
                <c:pt idx="84">
                  <c:v>4204813.9349784479</c:v>
                </c:pt>
                <c:pt idx="85">
                  <c:v>4204813.9349784479</c:v>
                </c:pt>
                <c:pt idx="86">
                  <c:v>4204813.9349784479</c:v>
                </c:pt>
                <c:pt idx="87">
                  <c:v>4204813.9349784479</c:v>
                </c:pt>
                <c:pt idx="88">
                  <c:v>4204813.9349784479</c:v>
                </c:pt>
                <c:pt idx="89">
                  <c:v>4204813.9349784479</c:v>
                </c:pt>
                <c:pt idx="90">
                  <c:v>4204813.9349784479</c:v>
                </c:pt>
                <c:pt idx="91">
                  <c:v>4204813.9349784479</c:v>
                </c:pt>
                <c:pt idx="92">
                  <c:v>4204813.9349784479</c:v>
                </c:pt>
                <c:pt idx="93">
                  <c:v>4204813.9349784479</c:v>
                </c:pt>
                <c:pt idx="94">
                  <c:v>4204813.9349784479</c:v>
                </c:pt>
                <c:pt idx="95">
                  <c:v>4204813.9349784479</c:v>
                </c:pt>
                <c:pt idx="96">
                  <c:v>4204813.9349784479</c:v>
                </c:pt>
                <c:pt idx="97">
                  <c:v>4204813.9349784479</c:v>
                </c:pt>
                <c:pt idx="98">
                  <c:v>4204813.9349784479</c:v>
                </c:pt>
                <c:pt idx="99">
                  <c:v>4204813.9349784479</c:v>
                </c:pt>
                <c:pt idx="100">
                  <c:v>4204813.9349784479</c:v>
                </c:pt>
                <c:pt idx="101">
                  <c:v>4204813.9349784479</c:v>
                </c:pt>
                <c:pt idx="102">
                  <c:v>4204813.9349784479</c:v>
                </c:pt>
                <c:pt idx="103">
                  <c:v>4204813.9349784479</c:v>
                </c:pt>
                <c:pt idx="104">
                  <c:v>4204813.9349784479</c:v>
                </c:pt>
                <c:pt idx="105">
                  <c:v>4204813.9349784479</c:v>
                </c:pt>
                <c:pt idx="106">
                  <c:v>4204813.9349784479</c:v>
                </c:pt>
                <c:pt idx="107">
                  <c:v>4204813.9349784479</c:v>
                </c:pt>
                <c:pt idx="108">
                  <c:v>4204813.9349784479</c:v>
                </c:pt>
                <c:pt idx="109">
                  <c:v>4204813.9349784479</c:v>
                </c:pt>
                <c:pt idx="110">
                  <c:v>4204813.9349784479</c:v>
                </c:pt>
                <c:pt idx="111">
                  <c:v>4204813.9349784479</c:v>
                </c:pt>
                <c:pt idx="112">
                  <c:v>4204813.9349784479</c:v>
                </c:pt>
                <c:pt idx="113">
                  <c:v>4204813.9349784479</c:v>
                </c:pt>
                <c:pt idx="114">
                  <c:v>4204813.9349784479</c:v>
                </c:pt>
                <c:pt idx="115">
                  <c:v>4204813.9349784479</c:v>
                </c:pt>
                <c:pt idx="116">
                  <c:v>4204813.9349784479</c:v>
                </c:pt>
                <c:pt idx="117">
                  <c:v>4204813.9349784479</c:v>
                </c:pt>
                <c:pt idx="118">
                  <c:v>4204813.9349784479</c:v>
                </c:pt>
                <c:pt idx="119">
                  <c:v>4204813.9349784479</c:v>
                </c:pt>
                <c:pt idx="120">
                  <c:v>4204813.9349784479</c:v>
                </c:pt>
                <c:pt idx="121">
                  <c:v>4204813.9349784479</c:v>
                </c:pt>
                <c:pt idx="122">
                  <c:v>4204813.9349784479</c:v>
                </c:pt>
                <c:pt idx="123">
                  <c:v>4204813.9349784479</c:v>
                </c:pt>
                <c:pt idx="124">
                  <c:v>4204813.9349784479</c:v>
                </c:pt>
                <c:pt idx="125">
                  <c:v>4204813.9349784479</c:v>
                </c:pt>
                <c:pt idx="126">
                  <c:v>4204813.9349784479</c:v>
                </c:pt>
                <c:pt idx="127">
                  <c:v>4204813.9349784479</c:v>
                </c:pt>
                <c:pt idx="128">
                  <c:v>4204813.9349784479</c:v>
                </c:pt>
                <c:pt idx="129">
                  <c:v>4204813.9349784479</c:v>
                </c:pt>
                <c:pt idx="130">
                  <c:v>4204813.9349784479</c:v>
                </c:pt>
                <c:pt idx="131">
                  <c:v>4204813.9349784479</c:v>
                </c:pt>
                <c:pt idx="132">
                  <c:v>4204813.9349784479</c:v>
                </c:pt>
                <c:pt idx="133">
                  <c:v>4204813.9349784479</c:v>
                </c:pt>
                <c:pt idx="134">
                  <c:v>4204813.9349784479</c:v>
                </c:pt>
                <c:pt idx="135">
                  <c:v>4204813.9349784479</c:v>
                </c:pt>
                <c:pt idx="136">
                  <c:v>4204813.9349784479</c:v>
                </c:pt>
                <c:pt idx="137">
                  <c:v>4204813.9349784479</c:v>
                </c:pt>
                <c:pt idx="138">
                  <c:v>4204813.9349784479</c:v>
                </c:pt>
                <c:pt idx="139">
                  <c:v>4204813.9349784479</c:v>
                </c:pt>
                <c:pt idx="140">
                  <c:v>4204813.9349784479</c:v>
                </c:pt>
                <c:pt idx="141">
                  <c:v>4204813.9349784479</c:v>
                </c:pt>
                <c:pt idx="142">
                  <c:v>4204813.9349784479</c:v>
                </c:pt>
                <c:pt idx="143">
                  <c:v>4204813.9349784479</c:v>
                </c:pt>
                <c:pt idx="144">
                  <c:v>4204813.9349784479</c:v>
                </c:pt>
                <c:pt idx="145">
                  <c:v>4204813.9349784479</c:v>
                </c:pt>
                <c:pt idx="146">
                  <c:v>4204813.9349784479</c:v>
                </c:pt>
                <c:pt idx="147">
                  <c:v>4204813.9349784479</c:v>
                </c:pt>
                <c:pt idx="148">
                  <c:v>4204813.9349784479</c:v>
                </c:pt>
                <c:pt idx="149">
                  <c:v>4204813.9349784479</c:v>
                </c:pt>
                <c:pt idx="150">
                  <c:v>4204813.9349784479</c:v>
                </c:pt>
                <c:pt idx="151">
                  <c:v>4204813.9349784479</c:v>
                </c:pt>
                <c:pt idx="152">
                  <c:v>4204813.9349784479</c:v>
                </c:pt>
                <c:pt idx="153">
                  <c:v>4204813.9349784479</c:v>
                </c:pt>
                <c:pt idx="154">
                  <c:v>4204813.9349784479</c:v>
                </c:pt>
                <c:pt idx="155">
                  <c:v>4204813.9349784479</c:v>
                </c:pt>
                <c:pt idx="156">
                  <c:v>4204813.9349784479</c:v>
                </c:pt>
                <c:pt idx="157">
                  <c:v>4204813.9349784479</c:v>
                </c:pt>
                <c:pt idx="158">
                  <c:v>4204813.9349784479</c:v>
                </c:pt>
                <c:pt idx="159">
                  <c:v>4204813.9349784479</c:v>
                </c:pt>
                <c:pt idx="160">
                  <c:v>4204813.9349784479</c:v>
                </c:pt>
                <c:pt idx="161">
                  <c:v>4204813.9349784479</c:v>
                </c:pt>
                <c:pt idx="162">
                  <c:v>4204813.9349784479</c:v>
                </c:pt>
                <c:pt idx="163">
                  <c:v>4204813.9349784479</c:v>
                </c:pt>
                <c:pt idx="164">
                  <c:v>4204813.9349784479</c:v>
                </c:pt>
                <c:pt idx="165">
                  <c:v>4204813.9349784479</c:v>
                </c:pt>
                <c:pt idx="166">
                  <c:v>4204813.9349784479</c:v>
                </c:pt>
                <c:pt idx="167">
                  <c:v>4204813.9349784479</c:v>
                </c:pt>
                <c:pt idx="168">
                  <c:v>4204813.9349784479</c:v>
                </c:pt>
                <c:pt idx="169">
                  <c:v>4204813.9349784479</c:v>
                </c:pt>
                <c:pt idx="170">
                  <c:v>4204813.9349784479</c:v>
                </c:pt>
                <c:pt idx="171">
                  <c:v>4204813.9349784479</c:v>
                </c:pt>
                <c:pt idx="172">
                  <c:v>4204813.9349784479</c:v>
                </c:pt>
                <c:pt idx="173">
                  <c:v>4204813.9349784479</c:v>
                </c:pt>
                <c:pt idx="174">
                  <c:v>4204813.9349784479</c:v>
                </c:pt>
                <c:pt idx="175">
                  <c:v>4204813.9349784479</c:v>
                </c:pt>
                <c:pt idx="176">
                  <c:v>4204813.9349784479</c:v>
                </c:pt>
                <c:pt idx="177">
                  <c:v>4204813.9349784479</c:v>
                </c:pt>
                <c:pt idx="178">
                  <c:v>4204813.9349784479</c:v>
                </c:pt>
                <c:pt idx="179">
                  <c:v>4204813.9349784479</c:v>
                </c:pt>
                <c:pt idx="180">
                  <c:v>4204813.9349784479</c:v>
                </c:pt>
                <c:pt idx="181">
                  <c:v>4204813.9349784479</c:v>
                </c:pt>
                <c:pt idx="182">
                  <c:v>4204813.9349784479</c:v>
                </c:pt>
                <c:pt idx="183">
                  <c:v>4204813.9349784479</c:v>
                </c:pt>
                <c:pt idx="184">
                  <c:v>4204813.9349784479</c:v>
                </c:pt>
                <c:pt idx="185">
                  <c:v>4204813.9349784479</c:v>
                </c:pt>
                <c:pt idx="186">
                  <c:v>4204813.9349784479</c:v>
                </c:pt>
                <c:pt idx="187">
                  <c:v>4204813.9349784479</c:v>
                </c:pt>
                <c:pt idx="188">
                  <c:v>4204813.9349784479</c:v>
                </c:pt>
                <c:pt idx="189">
                  <c:v>4204813.9349784479</c:v>
                </c:pt>
                <c:pt idx="190">
                  <c:v>4204813.9349784479</c:v>
                </c:pt>
                <c:pt idx="191">
                  <c:v>4204813.9349784479</c:v>
                </c:pt>
                <c:pt idx="192">
                  <c:v>4204813.9349784479</c:v>
                </c:pt>
                <c:pt idx="193">
                  <c:v>4204813.9349784479</c:v>
                </c:pt>
                <c:pt idx="194">
                  <c:v>4204813.9349784479</c:v>
                </c:pt>
                <c:pt idx="195">
                  <c:v>4204813.9349784479</c:v>
                </c:pt>
                <c:pt idx="196">
                  <c:v>4204813.9349784479</c:v>
                </c:pt>
                <c:pt idx="197">
                  <c:v>4204813.9349784479</c:v>
                </c:pt>
                <c:pt idx="198">
                  <c:v>4204813.9349784479</c:v>
                </c:pt>
                <c:pt idx="199">
                  <c:v>4204813.9349784479</c:v>
                </c:pt>
                <c:pt idx="200">
                  <c:v>4204813.9349784479</c:v>
                </c:pt>
                <c:pt idx="201">
                  <c:v>4204813.9349784479</c:v>
                </c:pt>
                <c:pt idx="202">
                  <c:v>4204813.9349784479</c:v>
                </c:pt>
                <c:pt idx="203">
                  <c:v>4204813.9349784479</c:v>
                </c:pt>
                <c:pt idx="204">
                  <c:v>4204813.9349784479</c:v>
                </c:pt>
                <c:pt idx="205">
                  <c:v>4204813.9349784479</c:v>
                </c:pt>
                <c:pt idx="206">
                  <c:v>4204813.9349784479</c:v>
                </c:pt>
                <c:pt idx="207">
                  <c:v>4204813.9349784479</c:v>
                </c:pt>
                <c:pt idx="208">
                  <c:v>4204813.9349784479</c:v>
                </c:pt>
                <c:pt idx="209">
                  <c:v>4204813.9349784479</c:v>
                </c:pt>
                <c:pt idx="210">
                  <c:v>4204813.9349784479</c:v>
                </c:pt>
                <c:pt idx="211">
                  <c:v>4204813.9349784479</c:v>
                </c:pt>
                <c:pt idx="212">
                  <c:v>4204813.9349784479</c:v>
                </c:pt>
                <c:pt idx="213">
                  <c:v>4204813.9349784479</c:v>
                </c:pt>
                <c:pt idx="214">
                  <c:v>4204813.9349784479</c:v>
                </c:pt>
                <c:pt idx="215">
                  <c:v>4204813.9349784479</c:v>
                </c:pt>
                <c:pt idx="216">
                  <c:v>4204813.9349784479</c:v>
                </c:pt>
                <c:pt idx="217">
                  <c:v>4204813.9349784479</c:v>
                </c:pt>
                <c:pt idx="218">
                  <c:v>4204813.9349784479</c:v>
                </c:pt>
                <c:pt idx="219">
                  <c:v>4204813.9349784479</c:v>
                </c:pt>
                <c:pt idx="220">
                  <c:v>4204813.9349784479</c:v>
                </c:pt>
                <c:pt idx="221">
                  <c:v>4204813.9349784479</c:v>
                </c:pt>
                <c:pt idx="222">
                  <c:v>4204813.9349784479</c:v>
                </c:pt>
                <c:pt idx="223">
                  <c:v>4204813.9349784479</c:v>
                </c:pt>
                <c:pt idx="224">
                  <c:v>4204813.9349784479</c:v>
                </c:pt>
                <c:pt idx="225">
                  <c:v>4204813.9349784479</c:v>
                </c:pt>
                <c:pt idx="226">
                  <c:v>4204813.9349784479</c:v>
                </c:pt>
                <c:pt idx="227">
                  <c:v>4204813.9349784479</c:v>
                </c:pt>
                <c:pt idx="228">
                  <c:v>4204813.9349784479</c:v>
                </c:pt>
                <c:pt idx="229">
                  <c:v>4204813.9349784479</c:v>
                </c:pt>
                <c:pt idx="230">
                  <c:v>4204813.9349784479</c:v>
                </c:pt>
                <c:pt idx="231">
                  <c:v>4204813.9349784479</c:v>
                </c:pt>
                <c:pt idx="232">
                  <c:v>4204813.9349784479</c:v>
                </c:pt>
                <c:pt idx="233">
                  <c:v>4204813.9349784479</c:v>
                </c:pt>
                <c:pt idx="234">
                  <c:v>4204813.9349784479</c:v>
                </c:pt>
                <c:pt idx="235">
                  <c:v>4204813.9349784479</c:v>
                </c:pt>
                <c:pt idx="236">
                  <c:v>4204813.9349784479</c:v>
                </c:pt>
                <c:pt idx="237">
                  <c:v>4204813.9349784479</c:v>
                </c:pt>
                <c:pt idx="238">
                  <c:v>4204813.9349784479</c:v>
                </c:pt>
                <c:pt idx="239">
                  <c:v>4204813.9349784479</c:v>
                </c:pt>
                <c:pt idx="240">
                  <c:v>4204813.9349784479</c:v>
                </c:pt>
                <c:pt idx="241">
                  <c:v>4204813.9349784479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3.7474627682623667</c:v>
                </c:pt>
                <c:pt idx="1">
                  <c:v>4.7319656989075645</c:v>
                </c:pt>
                <c:pt idx="2">
                  <c:v>6.8597623554633147</c:v>
                </c:pt>
                <c:pt idx="3">
                  <c:v>8.2253631947453645</c:v>
                </c:pt>
                <c:pt idx="4">
                  <c:v>12.576230985016078</c:v>
                </c:pt>
                <c:pt idx="5">
                  <c:v>16.133144798960018</c:v>
                </c:pt>
                <c:pt idx="6">
                  <c:v>18.165666978356555</c:v>
                </c:pt>
                <c:pt idx="7">
                  <c:v>29.916185827992791</c:v>
                </c:pt>
                <c:pt idx="8">
                  <c:v>39.888247770657053</c:v>
                </c:pt>
                <c:pt idx="9">
                  <c:v>51.892831892717858</c:v>
                </c:pt>
                <c:pt idx="10">
                  <c:v>68.057734850730938</c:v>
                </c:pt>
                <c:pt idx="11">
                  <c:v>77.743973361917568</c:v>
                </c:pt>
                <c:pt idx="12">
                  <c:v>103.75390562638265</c:v>
                </c:pt>
                <c:pt idx="13">
                  <c:v>135.7661299518781</c:v>
                </c:pt>
                <c:pt idx="14">
                  <c:v>191.24763381759297</c:v>
                </c:pt>
                <c:pt idx="15">
                  <c:v>226.84853011608547</c:v>
                </c:pt>
                <c:pt idx="16">
                  <c:v>408.66399069491638</c:v>
                </c:pt>
                <c:pt idx="17">
                  <c:v>578.98299769653568</c:v>
                </c:pt>
                <c:pt idx="18">
                  <c:v>758.4165963463862</c:v>
                </c:pt>
                <c:pt idx="19">
                  <c:v>994.03037836111923</c:v>
                </c:pt>
                <c:pt idx="20">
                  <c:v>1311.2626291422446</c:v>
                </c:pt>
                <c:pt idx="21">
                  <c:v>1862.4320082299419</c:v>
                </c:pt>
                <c:pt idx="22">
                  <c:v>2645.2770849943422</c:v>
                </c:pt>
                <c:pt idx="23">
                  <c:v>3757.1792288120041</c:v>
                </c:pt>
                <c:pt idx="24">
                  <c:v>5336.4525922419807</c:v>
                </c:pt>
                <c:pt idx="25">
                  <c:v>7579.5495862598564</c:v>
                </c:pt>
                <c:pt idx="26">
                  <c:v>10765.498416324526</c:v>
                </c:pt>
                <c:pt idx="27">
                  <c:v>15290.612566475073</c:v>
                </c:pt>
                <c:pt idx="28">
                  <c:v>21717.789889180862</c:v>
                </c:pt>
                <c:pt idx="29">
                  <c:v>30846.533820674675</c:v>
                </c:pt>
                <c:pt idx="30">
                  <c:v>43812.40695325259</c:v>
                </c:pt>
                <c:pt idx="31">
                  <c:v>62228.288409859095</c:v>
                </c:pt>
                <c:pt idx="32">
                  <c:v>88385.006615874197</c:v>
                </c:pt>
                <c:pt idx="33">
                  <c:v>125536.30501671412</c:v>
                </c:pt>
                <c:pt idx="34">
                  <c:v>178303.58881728083</c:v>
                </c:pt>
                <c:pt idx="35">
                  <c:v>253250.80088098097</c:v>
                </c:pt>
                <c:pt idx="36">
                  <c:v>359700.93800289417</c:v>
                </c:pt>
                <c:pt idx="37">
                  <c:v>510895.77742724784</c:v>
                </c:pt>
                <c:pt idx="38">
                  <c:v>725643.07683537877</c:v>
                </c:pt>
                <c:pt idx="39">
                  <c:v>1030656.1498917416</c:v>
                </c:pt>
                <c:pt idx="40">
                  <c:v>1463876.8469235371</c:v>
                </c:pt>
                <c:pt idx="41">
                  <c:v>2079195.3001822066</c:v>
                </c:pt>
                <c:pt idx="42">
                  <c:v>2953153.5425162595</c:v>
                </c:pt>
                <c:pt idx="43">
                  <c:v>4194466.8905860232</c:v>
                </c:pt>
                <c:pt idx="44">
                  <c:v>4204813.9349784479</c:v>
                </c:pt>
                <c:pt idx="45">
                  <c:v>4204813.9349784479</c:v>
                </c:pt>
                <c:pt idx="46">
                  <c:v>4204813.9349784479</c:v>
                </c:pt>
                <c:pt idx="47">
                  <c:v>4204813.9349784479</c:v>
                </c:pt>
                <c:pt idx="48">
                  <c:v>4204813.9349784479</c:v>
                </c:pt>
                <c:pt idx="49">
                  <c:v>4204813.9349784479</c:v>
                </c:pt>
                <c:pt idx="50">
                  <c:v>4204813.9349784479</c:v>
                </c:pt>
                <c:pt idx="51">
                  <c:v>4204813.9349784479</c:v>
                </c:pt>
                <c:pt idx="52">
                  <c:v>4204813.9349784479</c:v>
                </c:pt>
                <c:pt idx="53">
                  <c:v>4204813.9349784479</c:v>
                </c:pt>
                <c:pt idx="54">
                  <c:v>4204813.9349784479</c:v>
                </c:pt>
                <c:pt idx="55">
                  <c:v>4204813.9349784479</c:v>
                </c:pt>
                <c:pt idx="56">
                  <c:v>4204813.9349784479</c:v>
                </c:pt>
                <c:pt idx="57">
                  <c:v>4204813.9349784479</c:v>
                </c:pt>
                <c:pt idx="58">
                  <c:v>4204813.9349784479</c:v>
                </c:pt>
                <c:pt idx="59">
                  <c:v>4204813.9349784479</c:v>
                </c:pt>
                <c:pt idx="60">
                  <c:v>4204813.9349784479</c:v>
                </c:pt>
                <c:pt idx="61">
                  <c:v>4204813.9349784479</c:v>
                </c:pt>
                <c:pt idx="62">
                  <c:v>4204813.9349784479</c:v>
                </c:pt>
                <c:pt idx="63">
                  <c:v>4204813.9349784479</c:v>
                </c:pt>
                <c:pt idx="64">
                  <c:v>4204813.9349784479</c:v>
                </c:pt>
                <c:pt idx="65">
                  <c:v>4204813.9349784479</c:v>
                </c:pt>
                <c:pt idx="66">
                  <c:v>4204813.9349784479</c:v>
                </c:pt>
                <c:pt idx="67">
                  <c:v>4204813.9349784479</c:v>
                </c:pt>
                <c:pt idx="68">
                  <c:v>4204813.9349784479</c:v>
                </c:pt>
                <c:pt idx="69">
                  <c:v>4204813.9349784479</c:v>
                </c:pt>
                <c:pt idx="70">
                  <c:v>4204813.9349784479</c:v>
                </c:pt>
                <c:pt idx="71">
                  <c:v>4204813.9349784479</c:v>
                </c:pt>
                <c:pt idx="72">
                  <c:v>4204813.9349784479</c:v>
                </c:pt>
                <c:pt idx="73">
                  <c:v>4204813.9349784479</c:v>
                </c:pt>
                <c:pt idx="74">
                  <c:v>4204813.9349784479</c:v>
                </c:pt>
                <c:pt idx="75">
                  <c:v>4204813.9349784479</c:v>
                </c:pt>
                <c:pt idx="76">
                  <c:v>4204813.9349784479</c:v>
                </c:pt>
                <c:pt idx="77">
                  <c:v>4204813.9349784479</c:v>
                </c:pt>
                <c:pt idx="78">
                  <c:v>4204813.9349784479</c:v>
                </c:pt>
                <c:pt idx="79">
                  <c:v>4204813.9349784479</c:v>
                </c:pt>
                <c:pt idx="80">
                  <c:v>4204813.9349784479</c:v>
                </c:pt>
                <c:pt idx="81">
                  <c:v>4204813.9349784479</c:v>
                </c:pt>
                <c:pt idx="82">
                  <c:v>4204813.9349784479</c:v>
                </c:pt>
                <c:pt idx="83">
                  <c:v>4204813.9349784479</c:v>
                </c:pt>
                <c:pt idx="84">
                  <c:v>4204813.9349784479</c:v>
                </c:pt>
                <c:pt idx="85">
                  <c:v>4204813.9349784479</c:v>
                </c:pt>
                <c:pt idx="86">
                  <c:v>4204813.9349784479</c:v>
                </c:pt>
                <c:pt idx="87">
                  <c:v>4204813.9349784479</c:v>
                </c:pt>
                <c:pt idx="88">
                  <c:v>4204813.9349784479</c:v>
                </c:pt>
                <c:pt idx="89">
                  <c:v>4204813.9349784479</c:v>
                </c:pt>
                <c:pt idx="90">
                  <c:v>4204813.9349784479</c:v>
                </c:pt>
                <c:pt idx="91">
                  <c:v>4204813.9349784479</c:v>
                </c:pt>
                <c:pt idx="92">
                  <c:v>4204813.9349784479</c:v>
                </c:pt>
                <c:pt idx="93">
                  <c:v>4204813.9349784479</c:v>
                </c:pt>
                <c:pt idx="94">
                  <c:v>4204813.9349784479</c:v>
                </c:pt>
                <c:pt idx="95">
                  <c:v>4204813.9349784479</c:v>
                </c:pt>
                <c:pt idx="96">
                  <c:v>4204813.9349784479</c:v>
                </c:pt>
                <c:pt idx="97">
                  <c:v>4204813.9349784479</c:v>
                </c:pt>
                <c:pt idx="98">
                  <c:v>4204813.9349784479</c:v>
                </c:pt>
                <c:pt idx="99">
                  <c:v>4204813.9349784479</c:v>
                </c:pt>
                <c:pt idx="100">
                  <c:v>4204813.9349784479</c:v>
                </c:pt>
                <c:pt idx="101">
                  <c:v>4204813.9349784479</c:v>
                </c:pt>
                <c:pt idx="102">
                  <c:v>4204813.9349784479</c:v>
                </c:pt>
                <c:pt idx="103">
                  <c:v>4204813.9349784479</c:v>
                </c:pt>
                <c:pt idx="104">
                  <c:v>4204813.9349784479</c:v>
                </c:pt>
                <c:pt idx="105">
                  <c:v>4204813.9349784479</c:v>
                </c:pt>
                <c:pt idx="106">
                  <c:v>4204813.9349784479</c:v>
                </c:pt>
                <c:pt idx="107">
                  <c:v>4204813.9349784479</c:v>
                </c:pt>
                <c:pt idx="108">
                  <c:v>4204813.9349784479</c:v>
                </c:pt>
                <c:pt idx="109">
                  <c:v>4204813.9349784479</c:v>
                </c:pt>
                <c:pt idx="110">
                  <c:v>4204813.9349784479</c:v>
                </c:pt>
                <c:pt idx="111">
                  <c:v>4204813.9349784479</c:v>
                </c:pt>
                <c:pt idx="112">
                  <c:v>4204813.9349784479</c:v>
                </c:pt>
                <c:pt idx="113">
                  <c:v>4204813.9349784479</c:v>
                </c:pt>
                <c:pt idx="114">
                  <c:v>4204813.9349784479</c:v>
                </c:pt>
                <c:pt idx="115">
                  <c:v>4204813.9349784479</c:v>
                </c:pt>
                <c:pt idx="116">
                  <c:v>4204813.9349784479</c:v>
                </c:pt>
                <c:pt idx="117">
                  <c:v>4204813.9349784479</c:v>
                </c:pt>
                <c:pt idx="118">
                  <c:v>4204813.9349784479</c:v>
                </c:pt>
                <c:pt idx="119">
                  <c:v>4204813.9349784479</c:v>
                </c:pt>
                <c:pt idx="120">
                  <c:v>4204813.9349784479</c:v>
                </c:pt>
                <c:pt idx="121">
                  <c:v>4204813.9349784479</c:v>
                </c:pt>
                <c:pt idx="122">
                  <c:v>4204813.9349784479</c:v>
                </c:pt>
                <c:pt idx="123">
                  <c:v>4204813.9349784479</c:v>
                </c:pt>
                <c:pt idx="124">
                  <c:v>4204813.9349784479</c:v>
                </c:pt>
                <c:pt idx="125">
                  <c:v>4204813.9349784479</c:v>
                </c:pt>
                <c:pt idx="126">
                  <c:v>4204813.9349784479</c:v>
                </c:pt>
                <c:pt idx="127">
                  <c:v>4204813.9349784479</c:v>
                </c:pt>
                <c:pt idx="128">
                  <c:v>4204813.9349784479</c:v>
                </c:pt>
                <c:pt idx="129">
                  <c:v>4204813.9349784479</c:v>
                </c:pt>
                <c:pt idx="130">
                  <c:v>4204813.9349784479</c:v>
                </c:pt>
                <c:pt idx="131">
                  <c:v>4204813.9349784479</c:v>
                </c:pt>
                <c:pt idx="132">
                  <c:v>4204813.9349784479</c:v>
                </c:pt>
                <c:pt idx="133">
                  <c:v>4204813.9349784479</c:v>
                </c:pt>
                <c:pt idx="134">
                  <c:v>4204813.9349784479</c:v>
                </c:pt>
                <c:pt idx="135">
                  <c:v>4204813.9349784479</c:v>
                </c:pt>
                <c:pt idx="136">
                  <c:v>4204813.9349784479</c:v>
                </c:pt>
                <c:pt idx="137">
                  <c:v>4204813.9349784479</c:v>
                </c:pt>
                <c:pt idx="138">
                  <c:v>4204813.9349784479</c:v>
                </c:pt>
                <c:pt idx="139">
                  <c:v>4204813.9349784479</c:v>
                </c:pt>
                <c:pt idx="140">
                  <c:v>4204813.9349784479</c:v>
                </c:pt>
                <c:pt idx="141">
                  <c:v>4204813.9349784479</c:v>
                </c:pt>
                <c:pt idx="142">
                  <c:v>4204813.9349784479</c:v>
                </c:pt>
                <c:pt idx="143">
                  <c:v>4204813.9349784479</c:v>
                </c:pt>
                <c:pt idx="144">
                  <c:v>4204813.9349784479</c:v>
                </c:pt>
                <c:pt idx="145">
                  <c:v>4204813.9349784479</c:v>
                </c:pt>
                <c:pt idx="146">
                  <c:v>4204813.9349784479</c:v>
                </c:pt>
                <c:pt idx="147">
                  <c:v>4204813.9349784479</c:v>
                </c:pt>
                <c:pt idx="148">
                  <c:v>4204813.9349784479</c:v>
                </c:pt>
                <c:pt idx="149">
                  <c:v>4204813.9349784479</c:v>
                </c:pt>
                <c:pt idx="150">
                  <c:v>4204813.9349784479</c:v>
                </c:pt>
                <c:pt idx="151">
                  <c:v>4204813.9349784479</c:v>
                </c:pt>
                <c:pt idx="152">
                  <c:v>4204813.9349784479</c:v>
                </c:pt>
                <c:pt idx="153">
                  <c:v>4204813.9349784479</c:v>
                </c:pt>
                <c:pt idx="154">
                  <c:v>4204813.9349784479</c:v>
                </c:pt>
                <c:pt idx="155">
                  <c:v>4204813.9349784479</c:v>
                </c:pt>
                <c:pt idx="156">
                  <c:v>4204813.9349784479</c:v>
                </c:pt>
                <c:pt idx="157">
                  <c:v>4204813.9349784479</c:v>
                </c:pt>
                <c:pt idx="158">
                  <c:v>4204813.9349784479</c:v>
                </c:pt>
                <c:pt idx="159">
                  <c:v>4204813.9349784479</c:v>
                </c:pt>
                <c:pt idx="160">
                  <c:v>4204813.9349784479</c:v>
                </c:pt>
                <c:pt idx="161">
                  <c:v>4204813.9349784479</c:v>
                </c:pt>
                <c:pt idx="162">
                  <c:v>4204813.9349784479</c:v>
                </c:pt>
                <c:pt idx="163">
                  <c:v>4204813.9349784479</c:v>
                </c:pt>
                <c:pt idx="164">
                  <c:v>4204813.9349784479</c:v>
                </c:pt>
                <c:pt idx="165">
                  <c:v>4204813.9349784479</c:v>
                </c:pt>
                <c:pt idx="166">
                  <c:v>4204813.9349784479</c:v>
                </c:pt>
                <c:pt idx="167">
                  <c:v>4204813.9349784479</c:v>
                </c:pt>
                <c:pt idx="168">
                  <c:v>4204813.9349784479</c:v>
                </c:pt>
                <c:pt idx="169">
                  <c:v>4204813.9349784479</c:v>
                </c:pt>
                <c:pt idx="170">
                  <c:v>4204813.9349784479</c:v>
                </c:pt>
                <c:pt idx="171">
                  <c:v>4204813.9349784479</c:v>
                </c:pt>
                <c:pt idx="172">
                  <c:v>4204813.9349784479</c:v>
                </c:pt>
                <c:pt idx="173">
                  <c:v>4204813.9349784479</c:v>
                </c:pt>
                <c:pt idx="174">
                  <c:v>4204813.9349784479</c:v>
                </c:pt>
                <c:pt idx="175">
                  <c:v>4204813.9349784479</c:v>
                </c:pt>
                <c:pt idx="176">
                  <c:v>4204813.9349784479</c:v>
                </c:pt>
                <c:pt idx="177">
                  <c:v>4204813.9349784479</c:v>
                </c:pt>
                <c:pt idx="178">
                  <c:v>4204813.9349784479</c:v>
                </c:pt>
                <c:pt idx="179">
                  <c:v>4204813.9349784479</c:v>
                </c:pt>
                <c:pt idx="180">
                  <c:v>4204813.9349784479</c:v>
                </c:pt>
                <c:pt idx="181">
                  <c:v>4204813.9349784479</c:v>
                </c:pt>
                <c:pt idx="182">
                  <c:v>4204813.9349784479</c:v>
                </c:pt>
                <c:pt idx="183">
                  <c:v>4204813.9349784479</c:v>
                </c:pt>
                <c:pt idx="184">
                  <c:v>4204813.9349784479</c:v>
                </c:pt>
                <c:pt idx="185">
                  <c:v>4204813.9349784479</c:v>
                </c:pt>
                <c:pt idx="186">
                  <c:v>4204813.9349784479</c:v>
                </c:pt>
                <c:pt idx="187">
                  <c:v>4204813.9349784479</c:v>
                </c:pt>
                <c:pt idx="188">
                  <c:v>4204813.9349784479</c:v>
                </c:pt>
                <c:pt idx="189">
                  <c:v>4204813.9349784479</c:v>
                </c:pt>
                <c:pt idx="190">
                  <c:v>4204813.9349784479</c:v>
                </c:pt>
                <c:pt idx="191">
                  <c:v>4204813.9349784479</c:v>
                </c:pt>
                <c:pt idx="192">
                  <c:v>4204813.9349784479</c:v>
                </c:pt>
                <c:pt idx="193">
                  <c:v>4204813.9349784479</c:v>
                </c:pt>
                <c:pt idx="194">
                  <c:v>4204813.9349784479</c:v>
                </c:pt>
                <c:pt idx="195">
                  <c:v>4204813.9349784479</c:v>
                </c:pt>
                <c:pt idx="196">
                  <c:v>4204813.9349784479</c:v>
                </c:pt>
                <c:pt idx="197">
                  <c:v>4204813.9349784479</c:v>
                </c:pt>
                <c:pt idx="198">
                  <c:v>4204813.9349784479</c:v>
                </c:pt>
                <c:pt idx="199">
                  <c:v>4204813.9349784479</c:v>
                </c:pt>
                <c:pt idx="200">
                  <c:v>4204813.9349784479</c:v>
                </c:pt>
                <c:pt idx="201">
                  <c:v>4204813.9349784479</c:v>
                </c:pt>
                <c:pt idx="202">
                  <c:v>4204813.9349784479</c:v>
                </c:pt>
                <c:pt idx="203">
                  <c:v>4204813.9349784479</c:v>
                </c:pt>
                <c:pt idx="204">
                  <c:v>4204813.9349784479</c:v>
                </c:pt>
                <c:pt idx="205">
                  <c:v>4204813.9349784479</c:v>
                </c:pt>
                <c:pt idx="206">
                  <c:v>4204813.9349784479</c:v>
                </c:pt>
                <c:pt idx="207">
                  <c:v>4204813.9349784479</c:v>
                </c:pt>
                <c:pt idx="208">
                  <c:v>4204813.9349784479</c:v>
                </c:pt>
                <c:pt idx="209">
                  <c:v>4204813.9349784479</c:v>
                </c:pt>
                <c:pt idx="210">
                  <c:v>4204813.9349784479</c:v>
                </c:pt>
                <c:pt idx="211">
                  <c:v>4204813.9349784479</c:v>
                </c:pt>
                <c:pt idx="212">
                  <c:v>4204813.9349784479</c:v>
                </c:pt>
                <c:pt idx="213">
                  <c:v>4204813.9349784479</c:v>
                </c:pt>
                <c:pt idx="214">
                  <c:v>4204813.9349784479</c:v>
                </c:pt>
                <c:pt idx="215">
                  <c:v>4204813.9349784479</c:v>
                </c:pt>
                <c:pt idx="216">
                  <c:v>4204813.9349784479</c:v>
                </c:pt>
                <c:pt idx="217">
                  <c:v>4204813.9349784479</c:v>
                </c:pt>
                <c:pt idx="218">
                  <c:v>4204813.9349784479</c:v>
                </c:pt>
                <c:pt idx="219">
                  <c:v>4204813.9349784479</c:v>
                </c:pt>
                <c:pt idx="220">
                  <c:v>4204813.9349784479</c:v>
                </c:pt>
                <c:pt idx="221">
                  <c:v>4204813.9349784479</c:v>
                </c:pt>
                <c:pt idx="222">
                  <c:v>4204813.9349784479</c:v>
                </c:pt>
                <c:pt idx="223">
                  <c:v>4204813.9349784479</c:v>
                </c:pt>
                <c:pt idx="224">
                  <c:v>4204813.9349784479</c:v>
                </c:pt>
                <c:pt idx="225">
                  <c:v>4204813.9349784479</c:v>
                </c:pt>
                <c:pt idx="226">
                  <c:v>4204813.9349784479</c:v>
                </c:pt>
                <c:pt idx="227">
                  <c:v>4204813.9349784479</c:v>
                </c:pt>
                <c:pt idx="228">
                  <c:v>4204813.9349784479</c:v>
                </c:pt>
                <c:pt idx="229">
                  <c:v>4204813.9349784479</c:v>
                </c:pt>
                <c:pt idx="230">
                  <c:v>4204813.9349784479</c:v>
                </c:pt>
                <c:pt idx="231">
                  <c:v>4204813.9349784479</c:v>
                </c:pt>
                <c:pt idx="232">
                  <c:v>4204813.9349784479</c:v>
                </c:pt>
                <c:pt idx="233">
                  <c:v>4204813.9349784479</c:v>
                </c:pt>
                <c:pt idx="234">
                  <c:v>4204813.9349784479</c:v>
                </c:pt>
                <c:pt idx="235">
                  <c:v>4204813.9349784479</c:v>
                </c:pt>
                <c:pt idx="236">
                  <c:v>4204813.9349784479</c:v>
                </c:pt>
                <c:pt idx="237">
                  <c:v>4204813.9349784479</c:v>
                </c:pt>
                <c:pt idx="238">
                  <c:v>4204813.9349784479</c:v>
                </c:pt>
                <c:pt idx="239">
                  <c:v>4204813.9349784479</c:v>
                </c:pt>
                <c:pt idx="240">
                  <c:v>4204813.9349784479</c:v>
                </c:pt>
                <c:pt idx="241">
                  <c:v>4204813.9349784479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1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30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32577.509923811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Days_Since_100!$I$20:$CT$20</c:f>
              <c:numCache>
                <c:formatCode>General</c:formatCode>
                <c:ptCount val="90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Cruise Ship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Days_Since_100!$H$53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Days_Since_100!$H$54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Days_Since_100!$H$55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208035001406"/>
          <c:y val="7.8034561373258995E-2"/>
          <c:w val="0.1737299119555645"/>
          <c:h val="0.763223173745617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827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ED7D31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FFC000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Deaths_since_10!$H$15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Deaths_since_10!$H$16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Deaths_since_10!$H$17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Deaths_since_10!$H$18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8702960656323"/>
          <c:y val="0.10493380998229521"/>
          <c:w val="0.15564547865384992"/>
          <c:h val="0.810542107702251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134469</xdr:colOff>
      <xdr:row>0</xdr:row>
      <xdr:rowOff>164353</xdr:rowOff>
    </xdr:from>
    <xdr:to>
      <xdr:col>20</xdr:col>
      <xdr:colOff>343646</xdr:colOff>
      <xdr:row>27</xdr:row>
      <xdr:rowOff>134471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27</xdr:row>
      <xdr:rowOff>119529</xdr:rowOff>
    </xdr:from>
    <xdr:to>
      <xdr:col>20</xdr:col>
      <xdr:colOff>343647</xdr:colOff>
      <xdr:row>51</xdr:row>
      <xdr:rowOff>164351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0.60456</cdr:x>
      <cdr:y>0.09345</cdr:y>
    </cdr:from>
    <cdr:to>
      <cdr:x>0.85736</cdr:x>
      <cdr:y>0.15868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B59C65-B7CB-4344-9F87-6CA7D41CC124}"/>
            </a:ext>
          </a:extLst>
        </cdr:cNvPr>
        <cdr:cNvSpPr txBox="1"/>
      </cdr:nvSpPr>
      <cdr:spPr>
        <a:xfrm xmlns:a="http://schemas.openxmlformats.org/drawingml/2006/main">
          <a:off x="6371188" y="494447"/>
          <a:ext cx="2664240" cy="3451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0">
              <a:solidFill>
                <a:srgbClr val="C00000"/>
              </a:solidFill>
              <a:latin typeface="Verdana" panose="020B0604030504040204" pitchFamily="34" charset="0"/>
              <a:ea typeface="Verdana" panose="020B0604030504040204" pitchFamily="34" charset="0"/>
            </a:rPr>
            <a:t>Rate of increase - deaths</a:t>
          </a:r>
        </a:p>
      </cdr:txBody>
    </cdr:sp>
  </cdr:relSizeAnchor>
  <cdr:relSizeAnchor xmlns:cdr="http://schemas.openxmlformats.org/drawingml/2006/chartDrawing">
    <cdr:from>
      <cdr:x>0.24303</cdr:x>
      <cdr:y>0.71179</cdr:y>
    </cdr:from>
    <cdr:to>
      <cdr:x>0.35437</cdr:x>
      <cdr:y>0.7718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561190" y="3766077"/>
          <a:ext cx="117337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0.15265</cdr:x>
      <cdr:y>0.23695</cdr:y>
    </cdr:from>
    <cdr:to>
      <cdr:x>0.29673</cdr:x>
      <cdr:y>0.30478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608690" y="1253685"/>
          <a:ext cx="1518478" cy="3589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38100</xdr:colOff>
      <xdr:row>6</xdr:row>
      <xdr:rowOff>99060</xdr:rowOff>
    </xdr:from>
    <xdr:ext cx="449290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2123420" y="1562100"/>
          <a:ext cx="44929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97970</xdr:colOff>
      <xdr:row>56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69" zoomScaleNormal="69" workbookViewId="0"/>
  </sheetViews>
  <sheetFormatPr defaultRowHeight="13.8" x14ac:dyDescent="0.25"/>
  <cols>
    <col min="1" max="1" width="3.21875" style="39" customWidth="1"/>
    <col min="2" max="2" width="32.44140625" style="39" bestFit="1" customWidth="1"/>
    <col min="3" max="3" width="18.33203125" style="39" customWidth="1"/>
    <col min="4" max="16384" width="8.88671875" style="39"/>
  </cols>
  <sheetData>
    <row r="1" spans="1:32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37" t="str">
        <f>C7&amp;" Covid-19 Active Case Projections"</f>
        <v>US Covid-19 Active Case Projections</v>
      </c>
      <c r="C2" s="138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39"/>
      <c r="C3" s="14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93" t="s">
        <v>544</v>
      </c>
      <c r="X3" s="94"/>
      <c r="Y3" s="95"/>
      <c r="Z3" s="102" t="s">
        <v>38</v>
      </c>
      <c r="AA3" s="116"/>
      <c r="AB3" s="116"/>
      <c r="AC3" s="103"/>
    </row>
    <row r="4" spans="1:32" x14ac:dyDescent="0.25">
      <c r="A4" s="46"/>
      <c r="B4" s="139"/>
      <c r="C4" s="140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96"/>
      <c r="X4" s="97"/>
      <c r="Y4" s="98"/>
      <c r="Z4" s="104"/>
      <c r="AA4" s="117"/>
      <c r="AB4" s="117"/>
      <c r="AC4" s="105"/>
    </row>
    <row r="5" spans="1:32" x14ac:dyDescent="0.25">
      <c r="A5" s="46"/>
      <c r="B5" s="141"/>
      <c r="C5" s="142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99"/>
      <c r="X5" s="100"/>
      <c r="Y5" s="101"/>
      <c r="Z5" s="106"/>
      <c r="AA5" s="118"/>
      <c r="AB5" s="118"/>
      <c r="AC5" s="107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27" t="s">
        <v>477</v>
      </c>
      <c r="C7" s="150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28"/>
      <c r="C8" s="151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93" t="s">
        <v>543</v>
      </c>
      <c r="X8" s="94"/>
      <c r="Y8" s="95"/>
      <c r="Z8" s="102">
        <v>5</v>
      </c>
      <c r="AA8" s="103"/>
      <c r="AB8" s="119" t="s">
        <v>552</v>
      </c>
      <c r="AC8" s="120"/>
      <c r="AD8" s="120"/>
      <c r="AE8" s="120"/>
      <c r="AF8" s="120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96"/>
      <c r="X9" s="97"/>
      <c r="Y9" s="98"/>
      <c r="Z9" s="104"/>
      <c r="AA9" s="105"/>
      <c r="AB9" s="119"/>
      <c r="AC9" s="120"/>
      <c r="AD9" s="120"/>
      <c r="AE9" s="120"/>
      <c r="AF9" s="120"/>
    </row>
    <row r="10" spans="1:32" ht="15.6" customHeight="1" x14ac:dyDescent="0.25">
      <c r="A10" s="46"/>
      <c r="B10" s="127" t="s">
        <v>506</v>
      </c>
      <c r="C10" s="158">
        <f>Projections_Data!C4</f>
        <v>43847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99"/>
      <c r="X10" s="100"/>
      <c r="Y10" s="101"/>
      <c r="Z10" s="106"/>
      <c r="AA10" s="107"/>
      <c r="AB10" s="119"/>
      <c r="AC10" s="120"/>
      <c r="AD10" s="120"/>
      <c r="AE10" s="120"/>
      <c r="AF10" s="120"/>
    </row>
    <row r="11" spans="1:32" ht="15.6" customHeight="1" x14ac:dyDescent="0.25">
      <c r="A11" s="46"/>
      <c r="B11" s="128"/>
      <c r="C11" s="159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5.6" customHeight="1" x14ac:dyDescent="0.25">
      <c r="A12" s="46"/>
      <c r="B12" s="127" t="s">
        <v>592</v>
      </c>
      <c r="C12" s="156">
        <f ca="1">Projections_Data!C6</f>
        <v>41289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5.6" customHeight="1" x14ac:dyDescent="0.25">
      <c r="A13" s="46"/>
      <c r="B13" s="128"/>
      <c r="C13" s="15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12" t="s">
        <v>545</v>
      </c>
      <c r="X13" s="112"/>
      <c r="Y13" s="112"/>
      <c r="Z13" s="112"/>
      <c r="AA13" s="112"/>
    </row>
    <row r="14" spans="1:32" ht="15.6" customHeight="1" x14ac:dyDescent="0.25">
      <c r="A14" s="46"/>
      <c r="B14" s="127" t="s">
        <v>593</v>
      </c>
      <c r="C14" s="154">
        <f ca="1">Projections_Data!C7</f>
        <v>2001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12"/>
      <c r="X14" s="112"/>
      <c r="Y14" s="112"/>
      <c r="Z14" s="112"/>
      <c r="AA14" s="112"/>
    </row>
    <row r="15" spans="1:32" ht="15.6" customHeight="1" x14ac:dyDescent="0.25">
      <c r="A15" s="46"/>
      <c r="B15" s="128"/>
      <c r="C15" s="155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33" t="s">
        <v>546</v>
      </c>
      <c r="X15" s="133"/>
      <c r="Y15" s="133"/>
      <c r="Z15" s="113">
        <v>0.4</v>
      </c>
      <c r="AA15" s="114"/>
    </row>
    <row r="16" spans="1:32" ht="15.6" customHeight="1" x14ac:dyDescent="0.25">
      <c r="A16" s="46"/>
      <c r="B16" s="127" t="s">
        <v>515</v>
      </c>
      <c r="C16" s="152">
        <f>Projections_Data!C8</f>
        <v>557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33"/>
      <c r="X16" s="133"/>
      <c r="Y16" s="133"/>
      <c r="Z16" s="114"/>
      <c r="AA16" s="114"/>
    </row>
    <row r="17" spans="1:42" ht="15.6" customHeight="1" x14ac:dyDescent="0.25">
      <c r="A17" s="46"/>
      <c r="B17" s="128"/>
      <c r="C17" s="153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33" t="s">
        <v>547</v>
      </c>
      <c r="X17" s="133"/>
      <c r="Y17" s="133"/>
      <c r="Z17" s="113">
        <v>0.25</v>
      </c>
      <c r="AA17" s="114"/>
    </row>
    <row r="18" spans="1:42" ht="15.6" customHeight="1" x14ac:dyDescent="0.25">
      <c r="A18" s="46"/>
      <c r="B18" s="127" t="s">
        <v>508</v>
      </c>
      <c r="C18" s="129">
        <f>Projections_Data!C14</f>
        <v>61958.151919852811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33"/>
      <c r="X18" s="133"/>
      <c r="Y18" s="133"/>
      <c r="Z18" s="114"/>
      <c r="AA18" s="114"/>
    </row>
    <row r="19" spans="1:42" ht="15.6" customHeight="1" x14ac:dyDescent="0.25">
      <c r="A19" s="46"/>
      <c r="B19" s="128"/>
      <c r="C19" s="13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33" t="s">
        <v>548</v>
      </c>
      <c r="X19" s="133"/>
      <c r="Y19" s="133"/>
      <c r="Z19" s="113">
        <v>0.1</v>
      </c>
      <c r="AA19" s="114"/>
    </row>
    <row r="20" spans="1:42" ht="19.8" customHeight="1" x14ac:dyDescent="0.25">
      <c r="A20" s="46"/>
      <c r="B20" s="123" t="s">
        <v>590</v>
      </c>
      <c r="C20" s="125">
        <f ca="1">Projections_Data!C11</f>
        <v>0.42033484889921846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33"/>
      <c r="X20" s="133"/>
      <c r="Y20" s="133"/>
      <c r="Z20" s="114"/>
      <c r="AA20" s="114"/>
    </row>
    <row r="21" spans="1:42" ht="19.8" customHeight="1" x14ac:dyDescent="0.25">
      <c r="A21" s="46"/>
      <c r="B21" s="124"/>
      <c r="C21" s="126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9.8" customHeight="1" x14ac:dyDescent="0.25">
      <c r="A22" s="46"/>
      <c r="B22" s="135" t="s">
        <v>505</v>
      </c>
      <c r="C22" s="160">
        <f>Projections_Data!C23</f>
        <v>43904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9.8" customHeight="1" x14ac:dyDescent="0.25">
      <c r="A23" s="46"/>
      <c r="B23" s="136"/>
      <c r="C23" s="161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27" t="s">
        <v>504</v>
      </c>
      <c r="C24" s="160" t="str">
        <f>Projections_Data!C24</f>
        <v>Not initiated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28"/>
      <c r="C25" s="161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</row>
    <row r="26" spans="1:42" ht="15.6" customHeight="1" x14ac:dyDescent="0.25">
      <c r="A26" s="46"/>
      <c r="B26" s="131" t="s">
        <v>530</v>
      </c>
      <c r="C26" s="131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15.6" customHeight="1" x14ac:dyDescent="0.25">
      <c r="A27" s="46"/>
      <c r="B27" s="132"/>
      <c r="C27" s="132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x14ac:dyDescent="0.25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</row>
    <row r="29" spans="1:42" ht="15.6" customHeight="1" x14ac:dyDescent="0.25">
      <c r="A29" s="46"/>
      <c r="B29" s="137" t="str">
        <f>Projections_Data!B35</f>
        <v xml:space="preserve">US critically ill projections </v>
      </c>
      <c r="C29" s="138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39"/>
      <c r="C30" s="140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39"/>
      <c r="C31" s="14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1"/>
      <c r="C32" s="142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12" t="s">
        <v>549</v>
      </c>
      <c r="X32" s="112"/>
      <c r="Y32" s="112"/>
      <c r="Z32" s="115"/>
      <c r="AA32" s="115"/>
      <c r="AB32" s="108" t="s">
        <v>550</v>
      </c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12"/>
      <c r="X33" s="112"/>
      <c r="Y33" s="112"/>
      <c r="Z33" s="115"/>
      <c r="AA33" s="115"/>
      <c r="AB33" s="108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</row>
    <row r="34" spans="1:43" ht="15.6" customHeight="1" x14ac:dyDescent="0.25">
      <c r="A34" s="46"/>
      <c r="B34" s="122" t="s">
        <v>465</v>
      </c>
      <c r="C34" s="121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12"/>
      <c r="X34" s="112"/>
      <c r="Y34" s="112"/>
      <c r="Z34" s="115"/>
      <c r="AA34" s="115"/>
      <c r="AB34" s="108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</row>
    <row r="35" spans="1:43" ht="18" customHeight="1" x14ac:dyDescent="0.25">
      <c r="A35" s="46"/>
      <c r="B35" s="122"/>
      <c r="C35" s="121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12"/>
      <c r="X35" s="112"/>
      <c r="Y35" s="112"/>
      <c r="Z35" s="115"/>
      <c r="AA35" s="115"/>
      <c r="AB35" s="108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</row>
    <row r="36" spans="1:43" ht="18" customHeight="1" x14ac:dyDescent="0.25">
      <c r="A36" s="46"/>
      <c r="B36" s="134" t="s">
        <v>520</v>
      </c>
      <c r="C36" s="162">
        <f>Projections_Data!C15</f>
        <v>3.1758159053070903E-2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12"/>
      <c r="X36" s="112"/>
      <c r="Y36" s="112"/>
      <c r="Z36" s="115"/>
      <c r="AA36" s="115"/>
      <c r="AB36" s="108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</row>
    <row r="37" spans="1:43" ht="20.399999999999999" customHeight="1" x14ac:dyDescent="0.25">
      <c r="A37" s="46"/>
      <c r="B37" s="134"/>
      <c r="C37" s="162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4" t="s">
        <v>519</v>
      </c>
      <c r="C38" s="121">
        <f ca="1">Projections!C12*Projections!C36</f>
        <v>1311.2626291422446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4"/>
      <c r="C39" s="121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12" t="s">
        <v>465</v>
      </c>
      <c r="X39" s="112"/>
      <c r="Y39" s="112"/>
      <c r="Z39" s="111"/>
      <c r="AA39" s="111"/>
      <c r="AB39" s="110" t="s">
        <v>551</v>
      </c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</row>
    <row r="40" spans="1:43" ht="20.399999999999999" customHeight="1" x14ac:dyDescent="0.25">
      <c r="A40" s="46"/>
      <c r="B40" s="134" t="s">
        <v>488</v>
      </c>
      <c r="C40" s="146">
        <f ca="1">Projections_Data!D31</f>
        <v>43926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12"/>
      <c r="X40" s="112"/>
      <c r="Y40" s="112"/>
      <c r="Z40" s="111"/>
      <c r="AA40" s="111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</row>
    <row r="41" spans="1:43" ht="20.399999999999999" customHeight="1" x14ac:dyDescent="0.25">
      <c r="A41" s="46"/>
      <c r="B41" s="134"/>
      <c r="C41" s="146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12"/>
      <c r="X41" s="112"/>
      <c r="Y41" s="112"/>
      <c r="Z41" s="111"/>
      <c r="AA41" s="111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</row>
    <row r="42" spans="1:43" ht="20.399999999999999" customHeight="1" x14ac:dyDescent="0.25">
      <c r="A42" s="46"/>
      <c r="B42" s="122" t="s">
        <v>489</v>
      </c>
      <c r="C42" s="145">
        <f ca="1">IFERROR(C40-TODAY(),"N/A")</f>
        <v>11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12"/>
      <c r="X42" s="112"/>
      <c r="Y42" s="112"/>
      <c r="Z42" s="111"/>
      <c r="AA42" s="111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</row>
    <row r="43" spans="1:43" ht="18" customHeight="1" x14ac:dyDescent="0.25">
      <c r="A43" s="46"/>
      <c r="B43" s="122"/>
      <c r="C43" s="145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3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3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4"/>
      <c r="C45" s="144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93" t="s">
        <v>543</v>
      </c>
      <c r="X45" s="94"/>
      <c r="Y45" s="95"/>
      <c r="Z45" s="102"/>
      <c r="AA45" s="103"/>
    </row>
    <row r="46" spans="1:43" ht="15.6" customHeight="1" x14ac:dyDescent="0.25">
      <c r="A46" s="46"/>
      <c r="B46" s="144"/>
      <c r="C46" s="144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96"/>
      <c r="X46" s="97"/>
      <c r="Y46" s="98"/>
      <c r="Z46" s="104"/>
      <c r="AA46" s="105"/>
    </row>
    <row r="47" spans="1:43" ht="13.8" customHeight="1" x14ac:dyDescent="0.25">
      <c r="A47" s="46"/>
      <c r="B47" s="144"/>
      <c r="C47" s="144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99"/>
      <c r="X47" s="100"/>
      <c r="Y47" s="101"/>
      <c r="Z47" s="106"/>
      <c r="AA47" s="107"/>
    </row>
    <row r="48" spans="1:43" ht="14.4" customHeight="1" x14ac:dyDescent="0.25">
      <c r="A48" s="46"/>
      <c r="B48" s="144"/>
      <c r="C48" s="144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7" t="str">
        <f>"Source: Analysis of John Hopkins University and WHO data.
Data updated: "&amp;TEXT(Projections_Data!C2,"DD/MM/YYYY")&amp;"."</f>
        <v>Source: Analysis of John Hopkins University and WHO data.
Data updated: 23/03/2020.</v>
      </c>
      <c r="C49" s="1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8"/>
      <c r="C50" s="148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8"/>
      <c r="C51" s="148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8"/>
      <c r="C52" s="148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15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3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Z19:AA20"/>
    <mergeCell ref="W32:Y36"/>
    <mergeCell ref="Z32:AA36"/>
    <mergeCell ref="Z8:AA10"/>
    <mergeCell ref="W8:Y10"/>
    <mergeCell ref="W45:Y47"/>
    <mergeCell ref="Z45:AA47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Days_Since_100!$C$5:$C$55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A1:Q81"/>
  <sheetViews>
    <sheetView workbookViewId="0">
      <selection activeCell="C3" sqref="C3:M3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7" ht="8.4" customHeight="1" x14ac:dyDescent="0.2"/>
    <row r="2" spans="2:17" ht="30.6" customHeight="1" thickBot="1" x14ac:dyDescent="0.25">
      <c r="B2" s="163" t="s">
        <v>560</v>
      </c>
      <c r="C2" s="163"/>
      <c r="D2" s="163"/>
      <c r="E2" s="163"/>
      <c r="F2" s="163"/>
      <c r="G2" s="163"/>
      <c r="H2" s="163"/>
    </row>
    <row r="3" spans="2:17" ht="34.799999999999997" thickBot="1" x14ac:dyDescent="0.25">
      <c r="B3" s="63" t="s">
        <v>512</v>
      </c>
      <c r="C3" s="64" t="s">
        <v>477</v>
      </c>
      <c r="D3" s="64" t="s">
        <v>559</v>
      </c>
      <c r="E3" s="64" t="s">
        <v>503</v>
      </c>
      <c r="F3" s="64" t="s">
        <v>566</v>
      </c>
      <c r="G3" s="64" t="s">
        <v>568</v>
      </c>
      <c r="H3" s="65" t="s">
        <v>569</v>
      </c>
      <c r="J3" s="72" t="s">
        <v>541</v>
      </c>
      <c r="K3" s="64" t="s">
        <v>516</v>
      </c>
      <c r="L3" s="64" t="s">
        <v>478</v>
      </c>
      <c r="M3" s="65" t="s">
        <v>517</v>
      </c>
      <c r="Q3" s="73" t="s">
        <v>542</v>
      </c>
    </row>
    <row r="4" spans="2:17" s="59" customFormat="1" ht="13.8" customHeight="1" x14ac:dyDescent="0.2">
      <c r="B4" s="83">
        <v>1</v>
      </c>
      <c r="C4" s="78" t="s">
        <v>78</v>
      </c>
      <c r="D4" s="79">
        <f>VLOOKUP(C4,Country_Data!B:F,5,FALSE)</f>
        <v>4474</v>
      </c>
      <c r="E4" s="79">
        <f>D4*Projections_Data!$C$15</f>
        <v>142.08600360343922</v>
      </c>
      <c r="F4" s="79">
        <f>VLOOKUP(C4,Country_Data!C:G,5,FALSE)</f>
        <v>21</v>
      </c>
      <c r="G4" s="80">
        <f>IFERROR(VLOOKUP(C4,Days_Since_100!C:G,5,FALSE)-1,0)</f>
        <v>0.22138682159956513</v>
      </c>
      <c r="H4" s="84">
        <f>IFERROR(VLOOKUP(C4,Deaths_since_10!C:G,5,FALSE)-1,0)</f>
        <v>0.62018517460196509</v>
      </c>
      <c r="I4" s="58"/>
      <c r="J4" s="68" t="str">
        <f>IFERROR(LOG((M4/E4),1+G4),"")</f>
        <v/>
      </c>
      <c r="K4" s="67">
        <v>12.2</v>
      </c>
      <c r="L4" s="61">
        <f>VLOOKUP(C4,Country_Data!C:J,8,FALSE)</f>
        <v>9006398</v>
      </c>
      <c r="M4" s="60"/>
      <c r="O4" s="59">
        <f t="array" ref="O4">IF(OR(C4=$Q$4:$Q$22),1,0)</f>
        <v>0</v>
      </c>
      <c r="Q4" s="59" t="s">
        <v>41</v>
      </c>
    </row>
    <row r="5" spans="2:17" s="59" customFormat="1" ht="13.8" customHeight="1" x14ac:dyDescent="0.3">
      <c r="B5" s="66">
        <f t="shared" ref="B5:B36" si="0">B4+1</f>
        <v>2</v>
      </c>
      <c r="C5" s="62" t="s">
        <v>81</v>
      </c>
      <c r="D5" s="75">
        <f>VLOOKUP(C5,Country_Data!B:F,5,FALSE)</f>
        <v>1924</v>
      </c>
      <c r="E5" s="75">
        <f>D5*Projections_Data!$C$15</f>
        <v>61.10269801810842</v>
      </c>
      <c r="F5" s="75">
        <f>VLOOKUP(C5,Country_Data!C:G,5,FALSE)</f>
        <v>34</v>
      </c>
      <c r="G5" s="76">
        <f>IFERROR(VLOOKUP(C5,Days_Since_100!C:G,5,FALSE)-1,0)</f>
        <v>0.38909652721168797</v>
      </c>
      <c r="H5" s="77">
        <f>IFERROR(VLOOKUP(C5,Deaths_since_10!C:G,5,FALSE)-1,0)</f>
        <v>0.4566730228453515</v>
      </c>
      <c r="J5" s="68">
        <f>IFERROR(LOG((M5/E5),1+G5),"")</f>
        <v>15.165924946210851</v>
      </c>
      <c r="K5" s="67">
        <v>4.2</v>
      </c>
      <c r="L5" s="61">
        <f>VLOOKUP(C5,Country_Data!C:J,8,FALSE)</f>
        <v>212559417</v>
      </c>
      <c r="M5" s="60">
        <f>(L5/100000)*K5</f>
        <v>8927.4955140000002</v>
      </c>
      <c r="O5" s="59">
        <f t="array" ref="O5">IF(OR(C5=$Q$4:$Q$22),1,0)</f>
        <v>0</v>
      </c>
      <c r="Q5" s="59" t="s">
        <v>38</v>
      </c>
    </row>
    <row r="6" spans="2:17" s="59" customFormat="1" ht="13.8" customHeight="1" x14ac:dyDescent="0.3">
      <c r="B6" s="66">
        <f t="shared" si="0"/>
        <v>3</v>
      </c>
      <c r="C6" s="62" t="s">
        <v>63</v>
      </c>
      <c r="D6" s="75">
        <f>VLOOKUP(C6,Country_Data!B:F,5,FALSE)</f>
        <v>3743</v>
      </c>
      <c r="E6" s="75">
        <f>D6*Projections_Data!$C$15</f>
        <v>118.87078933564439</v>
      </c>
      <c r="F6" s="75">
        <f>VLOOKUP(C6,Country_Data!C:G,5,FALSE)</f>
        <v>88</v>
      </c>
      <c r="G6" s="76">
        <f>IFERROR(VLOOKUP(C6,Days_Since_100!C:G,5,FALSE)-1,0)</f>
        <v>0.20292957787925414</v>
      </c>
      <c r="H6" s="77">
        <f>IFERROR(VLOOKUP(C6,Deaths_since_10!C:G,5,FALSE)-1,0)</f>
        <v>0.44434494998395646</v>
      </c>
      <c r="J6" s="68">
        <f>IFERROR(LOG((M6/E6),1+G6),"")</f>
        <v>4.370901156584595</v>
      </c>
      <c r="K6" s="67">
        <v>2.2999999999999998</v>
      </c>
      <c r="L6" s="61">
        <f>VLOOKUP(C6,Country_Data!C:J,8,FALSE)</f>
        <v>11589623</v>
      </c>
      <c r="M6" s="60">
        <f>(L6/100000)*K6</f>
        <v>266.561329</v>
      </c>
      <c r="O6" s="59">
        <f t="array" ref="O6">IF(OR(C6=$Q$4:$Q$22),1,0)</f>
        <v>0</v>
      </c>
      <c r="Q6" s="59" t="s">
        <v>349</v>
      </c>
    </row>
    <row r="7" spans="2:17" s="59" customFormat="1" ht="13.8" customHeight="1" x14ac:dyDescent="0.3">
      <c r="B7" s="66">
        <f t="shared" si="0"/>
        <v>4</v>
      </c>
      <c r="C7" s="62" t="s">
        <v>108</v>
      </c>
      <c r="D7" s="75">
        <f>VLOOKUP(C7,Country_Data!B:F,5,FALSE)</f>
        <v>2060</v>
      </c>
      <c r="E7" s="75">
        <f>D7*Projections_Data!$C$15</f>
        <v>65.421807649326055</v>
      </c>
      <c r="F7" s="75">
        <f>VLOOKUP(C7,Country_Data!C:G,5,FALSE)</f>
        <v>23</v>
      </c>
      <c r="G7" s="76">
        <f>IFERROR(VLOOKUP(C7,Days_Since_100!C:G,5,FALSE)-1,0)</f>
        <v>0.35680626818384908</v>
      </c>
      <c r="H7" s="77">
        <f>IFERROR(VLOOKUP(C7,Deaths_since_10!C:G,5,FALSE)-1,0)</f>
        <v>0.38443731048634588</v>
      </c>
      <c r="J7" s="68">
        <f>IFERROR(LOG((M7/E7),1+G7),"")</f>
        <v>9.4869902999064575</v>
      </c>
      <c r="K7" s="67">
        <v>11.6</v>
      </c>
      <c r="L7" s="61">
        <f>VLOOKUP(C7,Country_Data!C:J,8,FALSE)</f>
        <v>10196709</v>
      </c>
      <c r="M7" s="60">
        <f>(L7/100000)*K7</f>
        <v>1182.818244</v>
      </c>
      <c r="O7" s="59">
        <f t="array" ref="O7">IF(OR(C7=$Q$4:$Q$22),1,0)</f>
        <v>0</v>
      </c>
      <c r="Q7" s="59" t="s">
        <v>58</v>
      </c>
    </row>
    <row r="8" spans="2:17" s="59" customFormat="1" ht="13.8" customHeight="1" x14ac:dyDescent="0.3">
      <c r="B8" s="66">
        <f t="shared" si="0"/>
        <v>5</v>
      </c>
      <c r="C8" s="62" t="s">
        <v>38</v>
      </c>
      <c r="D8" s="75">
        <f>VLOOKUP(C8,Country_Data!B:F,5,FALSE)</f>
        <v>43847</v>
      </c>
      <c r="E8" s="75">
        <f>D8*Projections_Data!$C$15</f>
        <v>1392.4999999999998</v>
      </c>
      <c r="F8" s="75">
        <f>VLOOKUP(C8,Country_Data!C:G,5,FALSE)</f>
        <v>557</v>
      </c>
      <c r="G8" s="76">
        <f>IFERROR(VLOOKUP(C8,Days_Since_100!C:G,5,FALSE)-1,0)</f>
        <v>0.41305338836984995</v>
      </c>
      <c r="H8" s="77">
        <f>IFERROR(VLOOKUP(C8,Deaths_since_10!C:G,5,FALSE)-1,0)</f>
        <v>0.3639380262552574</v>
      </c>
      <c r="J8" s="68" t="str">
        <f>IFERROR(LOG((M8/E8),1+G8),"")</f>
        <v/>
      </c>
      <c r="K8" s="67"/>
      <c r="L8" s="61">
        <f>VLOOKUP(C8,Country_Data!C:J,8,FALSE)</f>
        <v>331002651</v>
      </c>
      <c r="M8" s="60">
        <f>(L8/100000)*K8</f>
        <v>0</v>
      </c>
      <c r="O8" s="59">
        <f t="array" ref="O8">IF(OR(C8=$Q$4:$Q$22),1,0)</f>
        <v>1</v>
      </c>
      <c r="Q8" s="59" t="s">
        <v>60</v>
      </c>
    </row>
    <row r="9" spans="2:17" s="59" customFormat="1" ht="13.8" customHeight="1" x14ac:dyDescent="0.3">
      <c r="B9" s="66">
        <f t="shared" si="0"/>
        <v>6</v>
      </c>
      <c r="C9" s="62" t="s">
        <v>53</v>
      </c>
      <c r="D9" s="75">
        <f>VLOOKUP(C9,Country_Data!B:F,5,FALSE)</f>
        <v>29056</v>
      </c>
      <c r="E9" s="75">
        <f>D9*Projections_Data!$C$15</f>
        <v>922.76506944602818</v>
      </c>
      <c r="F9" s="75">
        <f>VLOOKUP(C9,Country_Data!C:G,5,FALSE)</f>
        <v>123</v>
      </c>
      <c r="G9" s="76">
        <f>IFERROR(VLOOKUP(C9,Days_Since_100!C:G,5,FALSE)-1,0)</f>
        <v>0.18706824157354807</v>
      </c>
      <c r="H9" s="77">
        <f>IFERROR(VLOOKUP(C9,Deaths_since_10!C:G,5,FALSE)-1,0)</f>
        <v>0.34446473733680305</v>
      </c>
      <c r="J9" s="68" t="str">
        <f>IFERROR(LOG((M9/E9),1+G9),"")</f>
        <v/>
      </c>
      <c r="K9" s="67"/>
      <c r="L9" s="61">
        <f>VLOOKUP(C9,Country_Data!C:J,8,FALSE)</f>
        <v>83783942</v>
      </c>
      <c r="M9" s="60">
        <f>(L9/100000)*K9</f>
        <v>0</v>
      </c>
      <c r="O9" s="59">
        <f t="array" ref="O9">IF(OR(C9=$Q$4:$Q$22),1,0)</f>
        <v>1</v>
      </c>
      <c r="Q9" s="59" t="s">
        <v>53</v>
      </c>
    </row>
    <row r="10" spans="2:17" s="59" customFormat="1" ht="13.8" customHeight="1" x14ac:dyDescent="0.3">
      <c r="B10" s="66">
        <f t="shared" si="0"/>
        <v>7</v>
      </c>
      <c r="C10" s="62" t="s">
        <v>77</v>
      </c>
      <c r="D10" s="75">
        <f>VLOOKUP(C10,Country_Data!B:F,5,FALSE)</f>
        <v>8795</v>
      </c>
      <c r="E10" s="75">
        <f>D10*Projections_Data!$C$15</f>
        <v>279.3130088717586</v>
      </c>
      <c r="F10" s="75">
        <f>VLOOKUP(C10,Country_Data!C:G,5,FALSE)</f>
        <v>120</v>
      </c>
      <c r="G10" s="76">
        <f>IFERROR(VLOOKUP(C10,Days_Since_100!C:G,5,FALSE)-1,0)</f>
        <v>0.23770172035347992</v>
      </c>
      <c r="H10" s="77">
        <f>IFERROR(VLOOKUP(C10,Deaths_since_10!C:G,5,FALSE)-1,0)</f>
        <v>0.33784143607921546</v>
      </c>
      <c r="J10" s="68" t="str">
        <f>IFERROR(LOG((M10/E10),1+G10),"")</f>
        <v/>
      </c>
      <c r="K10" s="67"/>
      <c r="L10" s="61">
        <f>VLOOKUP(C10,Country_Data!C:J,8,FALSE)</f>
        <v>8654622</v>
      </c>
      <c r="M10" s="60">
        <f>(L10/100000)*K10</f>
        <v>0</v>
      </c>
      <c r="O10" s="59">
        <f t="array" ref="O10">IF(OR(C10=$Q$4:$Q$22),1,0)</f>
        <v>0</v>
      </c>
    </row>
    <row r="11" spans="2:17" s="59" customFormat="1" ht="13.8" customHeight="1" x14ac:dyDescent="0.3">
      <c r="B11" s="66">
        <f t="shared" si="0"/>
        <v>8</v>
      </c>
      <c r="C11" s="62" t="s">
        <v>60</v>
      </c>
      <c r="D11" s="75">
        <f>VLOOKUP(C11,Country_Data!B:F,5,FALSE)</f>
        <v>35136</v>
      </c>
      <c r="E11" s="75">
        <f>D11*Projections_Data!$C$15</f>
        <v>1115.8546764886992</v>
      </c>
      <c r="F11" s="75">
        <f>VLOOKUP(C11,Country_Data!C:G,5,FALSE)</f>
        <v>2311</v>
      </c>
      <c r="G11" s="76">
        <f>IFERROR(VLOOKUP(C11,Days_Since_100!C:G,5,FALSE)-1,0)</f>
        <v>0.20360792238196068</v>
      </c>
      <c r="H11" s="77">
        <f>IFERROR(VLOOKUP(C11,Deaths_since_10!C:G,5,FALSE)-1,0)</f>
        <v>0.29975764257287185</v>
      </c>
      <c r="J11" s="68">
        <f>IFERROR(LOG((M11/E11),1+G11),"")</f>
        <v>5.4887505750925625</v>
      </c>
      <c r="K11" s="67">
        <v>6.6</v>
      </c>
      <c r="L11" s="61">
        <f>VLOOKUP(C11,Country_Data!C:J,8,FALSE)</f>
        <v>46754778</v>
      </c>
      <c r="M11" s="60">
        <f>(L11/100000)*K11</f>
        <v>3085.8153479999996</v>
      </c>
      <c r="O11" s="59">
        <f t="array" ref="O11">IF(OR(C11=$Q$4:$Q$22),1,0)</f>
        <v>1</v>
      </c>
    </row>
    <row r="12" spans="2:17" s="59" customFormat="1" ht="13.8" customHeight="1" x14ac:dyDescent="0.3">
      <c r="B12" s="66">
        <f t="shared" si="0"/>
        <v>9</v>
      </c>
      <c r="C12" s="62" t="s">
        <v>89</v>
      </c>
      <c r="D12" s="75">
        <f>VLOOKUP(C12,Country_Data!B:F,5,FALSE)</f>
        <v>4764</v>
      </c>
      <c r="E12" s="75">
        <f>D12*Projections_Data!$C$15</f>
        <v>151.29586972882979</v>
      </c>
      <c r="F12" s="75">
        <f>VLOOKUP(C12,Country_Data!C:G,5,FALSE)</f>
        <v>214</v>
      </c>
      <c r="G12" s="76">
        <f>IFERROR(VLOOKUP(C12,Days_Since_100!C:G,5,FALSE)-1,0)</f>
        <v>0.18278355188472539</v>
      </c>
      <c r="H12" s="77">
        <f>IFERROR(VLOOKUP(C12,Deaths_since_10!C:G,5,FALSE)-1,0)</f>
        <v>0.29836606504148122</v>
      </c>
      <c r="J12" s="68" t="str">
        <f>IFERROR(LOG((M12/E12),1+G12),"")</f>
        <v/>
      </c>
      <c r="K12" s="67"/>
      <c r="L12" s="61">
        <f>VLOOKUP(C12,Country_Data!C:J,8,FALSE)</f>
        <v>17134872</v>
      </c>
      <c r="M12" s="60">
        <f>(L12/100000)*K12</f>
        <v>0</v>
      </c>
      <c r="O12" s="59">
        <f t="array" ref="O12">IF(OR(C12=$Q$4:$Q$22),1,0)</f>
        <v>0</v>
      </c>
    </row>
    <row r="13" spans="2:17" s="59" customFormat="1" ht="13.8" customHeight="1" x14ac:dyDescent="0.3">
      <c r="B13" s="66">
        <f t="shared" si="0"/>
        <v>10</v>
      </c>
      <c r="C13" s="62" t="s">
        <v>103</v>
      </c>
      <c r="D13" s="75">
        <f>VLOOKUP(C13,Country_Data!B:F,5,FALSE)</f>
        <v>981</v>
      </c>
      <c r="E13" s="75">
        <f>D13*Projections_Data!$C$15</f>
        <v>31.154754031062556</v>
      </c>
      <c r="F13" s="75">
        <f>VLOOKUP(C13,Country_Data!C:G,5,FALSE)</f>
        <v>18</v>
      </c>
      <c r="G13" s="76">
        <f>IFERROR(VLOOKUP(C13,Days_Since_100!C:G,5,FALSE)-1,0)</f>
        <v>0.54621259191190763</v>
      </c>
      <c r="H13" s="77">
        <f>IFERROR(VLOOKUP(C13,Deaths_since_10!C:G,5,FALSE)-1,0)</f>
        <v>0.28571428571428581</v>
      </c>
      <c r="J13" s="68" t="str">
        <f>IFERROR(LOG((M13/E13),1+G13),"")</f>
        <v/>
      </c>
      <c r="K13" s="67"/>
      <c r="L13" s="61">
        <f>VLOOKUP(C13,Country_Data!C:J,8,FALSE)</f>
        <v>17643054</v>
      </c>
      <c r="M13" s="60"/>
      <c r="O13" s="59">
        <f t="array" ref="O13">IF(OR(C13=$Q$4:$Q$22),1,0)</f>
        <v>0</v>
      </c>
    </row>
    <row r="14" spans="2:17" s="59" customFormat="1" ht="13.8" customHeight="1" x14ac:dyDescent="0.3">
      <c r="B14" s="66">
        <f t="shared" si="0"/>
        <v>11</v>
      </c>
      <c r="C14" s="62" t="s">
        <v>41</v>
      </c>
      <c r="D14" s="75">
        <f>VLOOKUP(C14,Country_Data!B:F,5,FALSE)</f>
        <v>20123</v>
      </c>
      <c r="E14" s="75">
        <f>D14*Projections_Data!$C$15</f>
        <v>639.06943462494576</v>
      </c>
      <c r="F14" s="75">
        <f>VLOOKUP(C14,Country_Data!C:G,5,FALSE)</f>
        <v>862</v>
      </c>
      <c r="G14" s="76">
        <f>IFERROR(VLOOKUP(C14,Days_Since_100!C:G,5,FALSE)-1,0)</f>
        <v>0.17138994045694989</v>
      </c>
      <c r="H14" s="77">
        <f>IFERROR(VLOOKUP(C14,Deaths_since_10!C:G,5,FALSE)-1,0)</f>
        <v>0.26701182390755895</v>
      </c>
      <c r="J14" s="68">
        <f>IFERROR(LOG((M14/E14),1+G14),"")</f>
        <v>11.868285528575818</v>
      </c>
      <c r="K14" s="67">
        <v>6.4</v>
      </c>
      <c r="L14" s="61">
        <f>VLOOKUP(C14,Country_Data!C:J,8,FALSE)</f>
        <v>65273511</v>
      </c>
      <c r="M14" s="60">
        <f>(L14/100000)*K14</f>
        <v>4177.5047039999999</v>
      </c>
      <c r="O14" s="59">
        <f t="array" ref="O14">IF(OR(C14=$Q$4:$Q$22),1,0)</f>
        <v>1</v>
      </c>
      <c r="Q14" s="59">
        <v>20</v>
      </c>
    </row>
    <row r="15" spans="2:17" s="59" customFormat="1" ht="13.8" customHeight="1" x14ac:dyDescent="0.3">
      <c r="B15" s="66">
        <f t="shared" si="0"/>
        <v>12</v>
      </c>
      <c r="C15" s="62" t="s">
        <v>349</v>
      </c>
      <c r="D15" s="75">
        <f>VLOOKUP(C15,Country_Data!B:F,5,FALSE)</f>
        <v>6726</v>
      </c>
      <c r="E15" s="75">
        <f>D15*Projections_Data!$C$15</f>
        <v>213.60537779095489</v>
      </c>
      <c r="F15" s="75">
        <f>VLOOKUP(C15,Country_Data!C:G,5,FALSE)</f>
        <v>336</v>
      </c>
      <c r="G15" s="76">
        <f>IFERROR(VLOOKUP(C15,Days_Since_100!C:G,5,FALSE)-1,0)</f>
        <v>0.20549332492930561</v>
      </c>
      <c r="H15" s="77">
        <f>IFERROR(VLOOKUP(C15,Deaths_since_10!C:G,5,FALSE)-1,0)</f>
        <v>0.26433216777748192</v>
      </c>
      <c r="J15" s="68">
        <f>IFERROR(LOG((M15/E15),1+G15),"")</f>
        <v>22.67761857277808</v>
      </c>
      <c r="K15" s="67">
        <v>21.8</v>
      </c>
      <c r="L15" s="61">
        <f>VLOOKUP(C15,Country_Data!C:J,8,FALSE)</f>
        <v>67886011</v>
      </c>
      <c r="M15" s="60">
        <f>(L15/100000)*K15</f>
        <v>14799.150398</v>
      </c>
      <c r="O15" s="59">
        <f t="array" ref="O15">IF(OR(C15=$Q$4:$Q$22),1,0)</f>
        <v>1</v>
      </c>
    </row>
    <row r="16" spans="2:17" s="59" customFormat="1" ht="13.8" customHeight="1" x14ac:dyDescent="0.3">
      <c r="B16" s="66">
        <f t="shared" si="0"/>
        <v>13</v>
      </c>
      <c r="C16" s="62" t="s">
        <v>45</v>
      </c>
      <c r="D16" s="75">
        <f>VLOOKUP(C16,Country_Data!B:F,5,FALSE)</f>
        <v>2088</v>
      </c>
      <c r="E16" s="75">
        <f>D16*Projections_Data!$C$15</f>
        <v>66.311036102812039</v>
      </c>
      <c r="F16" s="75">
        <f>VLOOKUP(C16,Country_Data!C:G,5,FALSE)</f>
        <v>25</v>
      </c>
      <c r="G16" s="76">
        <f>IFERROR(VLOOKUP(C16,Days_Since_100!C:G,5,FALSE)-1,0)</f>
        <v>0.26018128311649624</v>
      </c>
      <c r="H16" s="77">
        <f>IFERROR(VLOOKUP(C16,Deaths_since_10!C:G,5,FALSE)-1,0)</f>
        <v>0.25594321575479007</v>
      </c>
      <c r="J16" s="68">
        <f>IFERROR(LOG((M16/E16),1+G16),"")</f>
        <v>15.872169140127399</v>
      </c>
      <c r="K16" s="67">
        <v>6.9</v>
      </c>
      <c r="L16" s="61">
        <f>VLOOKUP(C16,Country_Data!C:J,8,FALSE)</f>
        <v>37742154</v>
      </c>
      <c r="M16" s="60">
        <f>(L16/100000)*K16</f>
        <v>2604.2086260000001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107</v>
      </c>
      <c r="D17" s="75">
        <f>VLOOKUP(C17,Country_Data!B:F,5,FALSE)</f>
        <v>579</v>
      </c>
      <c r="E17" s="75">
        <f>D17*Projections_Data!$C$15</f>
        <v>18.387974091728054</v>
      </c>
      <c r="F17" s="75">
        <f>VLOOKUP(C17,Country_Data!C:G,5,FALSE)</f>
        <v>49</v>
      </c>
      <c r="G17" s="76">
        <f>IFERROR(VLOOKUP(C17,Days_Since_100!C:G,5,FALSE)-1,0)</f>
        <v>0.20595344171699681</v>
      </c>
      <c r="H17" s="77">
        <f>IFERROR(VLOOKUP(C17,Deaths_since_10!C:G,5,FALSE)-1,0)</f>
        <v>0.20861643567402655</v>
      </c>
      <c r="J17" s="68" t="str">
        <f>IFERROR(LOG((M17/E17),1+G17),"")</f>
        <v/>
      </c>
      <c r="K17" s="67"/>
      <c r="L17" s="61">
        <f>VLOOKUP(C17,Country_Data!C:J,8,FALSE)</f>
        <v>273523615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58</v>
      </c>
      <c r="D18" s="75">
        <f>VLOOKUP(C18,Country_Data!B:F,5,FALSE)</f>
        <v>63927</v>
      </c>
      <c r="E18" s="75">
        <f>D18*Projections_Data!$C$15</f>
        <v>2030.2038337856636</v>
      </c>
      <c r="F18" s="75">
        <f>VLOOKUP(C18,Country_Data!C:G,5,FALSE)</f>
        <v>6077</v>
      </c>
      <c r="G18" s="76">
        <f>IFERROR(VLOOKUP(C18,Days_Since_100!C:G,5,FALSE)-1,0)</f>
        <v>0.12349617470848573</v>
      </c>
      <c r="H18" s="77">
        <f>IFERROR(VLOOKUP(C18,Deaths_since_10!C:G,5,FALSE)-1,0)</f>
        <v>0.15332819337264647</v>
      </c>
      <c r="J18" s="68">
        <f>IFERROR(LOG((M18/E18),1+G18),"")</f>
        <v>4.9848704723622044</v>
      </c>
      <c r="K18" s="67">
        <v>6</v>
      </c>
      <c r="L18" s="61">
        <f>VLOOKUP(C18,Country_Data!C:J,8,FALSE)</f>
        <v>60461826</v>
      </c>
      <c r="M18" s="60">
        <f>(L18/100000)*K18</f>
        <v>3627.7095599999998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0"/>
        <v>16</v>
      </c>
      <c r="C19" s="62" t="s">
        <v>56</v>
      </c>
      <c r="D19" s="75">
        <f>VLOOKUP(C19,Country_Data!B:F,5,FALSE)</f>
        <v>462</v>
      </c>
      <c r="E19" s="75">
        <f>D19*Projections_Data!$C$15</f>
        <v>14.672269482518757</v>
      </c>
      <c r="F19" s="75">
        <f>VLOOKUP(C19,Country_Data!C:G,5,FALSE)</f>
        <v>33</v>
      </c>
      <c r="G19" s="76">
        <f>IFERROR(VLOOKUP(C19,Days_Since_100!C:G,5,FALSE)-1,0)</f>
        <v>0.17993510208976993</v>
      </c>
      <c r="H19" s="77">
        <f>IFERROR(VLOOKUP(C19,Deaths_since_10!C:G,5,FALSE)-1,0)</f>
        <v>0.11673998861554979</v>
      </c>
      <c r="J19" s="68">
        <f>IFERROR(LOG((M19/E19),1+G19),"")</f>
        <v>41.33350880851733</v>
      </c>
      <c r="K19" s="67">
        <v>12.5</v>
      </c>
      <c r="L19" s="61">
        <f>VLOOKUP(C19,Country_Data!C:J,8,FALSE)</f>
        <v>109581078</v>
      </c>
      <c r="M19" s="60">
        <f>(L19/100000)*K19</f>
        <v>13697.634750000001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99</v>
      </c>
      <c r="D20" s="75">
        <f>VLOOKUP(C20,Country_Data!B:F,5,FALSE)</f>
        <v>875</v>
      </c>
      <c r="E20" s="75">
        <f>D20*Projections_Data!$C$15</f>
        <v>27.788389171437039</v>
      </c>
      <c r="F20" s="75">
        <f>VLOOKUP(C20,Country_Data!C:G,5,FALSE)</f>
        <v>8</v>
      </c>
      <c r="G20" s="76">
        <f>IFERROR(VLOOKUP(C20,Days_Since_100!C:G,5,FALSE)-1,0)</f>
        <v>0.33937566194267554</v>
      </c>
      <c r="H20" s="77">
        <f>IFERROR(VLOOKUP(C20,Deaths_since_10!C:G,5,FALSE)-1,0)</f>
        <v>0</v>
      </c>
      <c r="J20" s="68">
        <f>IFERROR(LOG((M20/E20),1+G20),"")</f>
        <v>5.8875747091478852</v>
      </c>
      <c r="K20" s="67">
        <v>24.8</v>
      </c>
      <c r="L20" s="61">
        <f>VLOOKUP(C20,Country_Data!C:J,8,FALSE)</f>
        <v>625978</v>
      </c>
      <c r="M20" s="60">
        <f>(L20/100000)*K20</f>
        <v>155.24254400000001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57</v>
      </c>
      <c r="D21" s="75">
        <f>VLOOKUP(C21,Country_Data!B:F,5,FALSE)</f>
        <v>499</v>
      </c>
      <c r="E21" s="75">
        <f>D21*Projections_Data!$C$15</f>
        <v>15.847321367482381</v>
      </c>
      <c r="F21" s="75">
        <f>VLOOKUP(C21,Country_Data!C:G,5,FALSE)</f>
        <v>10</v>
      </c>
      <c r="G21" s="76">
        <f>IFERROR(VLOOKUP(C21,Days_Since_100!C:G,5,FALSE)-1,0)</f>
        <v>0.26181355779311843</v>
      </c>
      <c r="H21" s="77">
        <f>IFERROR(VLOOKUP(C21,Deaths_since_10!C:G,5,FALSE)-1,0)</f>
        <v>0</v>
      </c>
      <c r="J21" s="68" t="str">
        <f>IFERROR(LOG((M21/E21),1+G21),"")</f>
        <v/>
      </c>
      <c r="K21" s="67"/>
      <c r="L21" s="61">
        <f>VLOOKUP(C21,Country_Data!C:J,8,FALSE)</f>
        <v>1380004385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137</v>
      </c>
      <c r="D22" s="75">
        <f>VLOOKUP(C22,Country_Data!B:F,5,FALSE)</f>
        <v>749</v>
      </c>
      <c r="E22" s="75">
        <f>D22*Projections_Data!$C$15</f>
        <v>23.786861130750108</v>
      </c>
      <c r="F22" s="75">
        <f>VLOOKUP(C22,Country_Data!C:G,5,FALSE)</f>
        <v>8</v>
      </c>
      <c r="G22" s="76">
        <f>IFERROR(VLOOKUP(C22,Days_Since_100!C:G,5,FALSE)-1,0)</f>
        <v>0.24440463270542101</v>
      </c>
      <c r="H22" s="77">
        <f>IFERROR(VLOOKUP(C22,Deaths_since_10!C:G,5,FALSE)-1,0)</f>
        <v>0</v>
      </c>
      <c r="J22" s="68" t="str">
        <f>IFERROR(LOG((M22/E22),1+G22),"")</f>
        <v/>
      </c>
      <c r="K22" s="67"/>
      <c r="L22" s="61">
        <f>VLOOKUP(C22,Country_Data!C:J,8,FALSE)</f>
        <v>37846611</v>
      </c>
      <c r="M22" s="60">
        <f>(L22/100000)*K22</f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48</v>
      </c>
      <c r="D23" s="75">
        <f>VLOOKUP(C23,Country_Data!B:F,5,FALSE)</f>
        <v>1682</v>
      </c>
      <c r="E23" s="75">
        <f>D23*Projections_Data!$C$15</f>
        <v>53.417223527265257</v>
      </c>
      <c r="F23" s="75">
        <f>VLOOKUP(C23,Country_Data!C:G,5,FALSE)</f>
        <v>7</v>
      </c>
      <c r="G23" s="76">
        <f>IFERROR(VLOOKUP(C23,Days_Since_100!C:G,5,FALSE)-1,0)</f>
        <v>0.24249752167929595</v>
      </c>
      <c r="H23" s="77">
        <f>IFERROR(VLOOKUP(C23,Deaths_since_10!C:G,5,FALSE)-1,0)</f>
        <v>0</v>
      </c>
      <c r="J23" s="68" t="str">
        <f>IFERROR(LOG((M23/E23),1+G23),"")</f>
        <v/>
      </c>
      <c r="K23" s="67"/>
      <c r="L23" s="61">
        <f>VLOOKUP(C23,Country_Data!C:J,8,FALSE)</f>
        <v>25499884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5">
      <c r="B24" s="66">
        <f t="shared" si="0"/>
        <v>21</v>
      </c>
      <c r="C24" s="62" t="s">
        <v>98</v>
      </c>
      <c r="D24" s="75">
        <f>VLOOKUP(C24,Country_Data!B:F,5,FALSE)</f>
        <v>1125</v>
      </c>
      <c r="E24" s="75">
        <f>D24*Projections_Data!$C$15</f>
        <v>35.727928934704764</v>
      </c>
      <c r="F24" s="75">
        <f>VLOOKUP(C24,Country_Data!C:G,5,FALSE)</f>
        <v>6</v>
      </c>
      <c r="G24" s="76">
        <f>IFERROR(VLOOKUP(C24,Days_Since_100!C:G,5,FALSE)-1,0)</f>
        <v>0.30964604032014864</v>
      </c>
      <c r="H24" s="77">
        <f>IFERROR(VLOOKUP(C24,Deaths_since_10!C:G,5,FALSE)-1,0)</f>
        <v>0</v>
      </c>
      <c r="J24" s="68" t="str">
        <f t="shared" ref="J4:J35" si="1">IFERROR(LOG((M24/E24),1+G24),"")</f>
        <v/>
      </c>
      <c r="K24" s="67"/>
      <c r="L24" s="61">
        <f>VLOOKUP(C24,Country_Data!C:J,8,FALSE)</f>
        <v>4937786</v>
      </c>
      <c r="M24" s="60">
        <f t="shared" ref="M10:M27" si="2">(L24/100000)*K24</f>
        <v>0</v>
      </c>
      <c r="O24" s="59">
        <f t="array" ref="O24">IF(OR(C24=$Q$4:$Q$22),1,0)</f>
        <v>0</v>
      </c>
    </row>
    <row r="25" spans="2:15" s="59" customFormat="1" ht="13.8" hidden="1" customHeight="1" x14ac:dyDescent="0.35">
      <c r="B25" s="66">
        <f t="shared" si="0"/>
        <v>22</v>
      </c>
      <c r="C25" s="62" t="s">
        <v>35</v>
      </c>
      <c r="D25" s="75">
        <f>VLOOKUP(C25,Country_Data!B:F,5,FALSE)</f>
        <v>721</v>
      </c>
      <c r="E25" s="75">
        <f>D25*Projections_Data!$C$15</f>
        <v>22.89763267726412</v>
      </c>
      <c r="F25" s="75">
        <f>VLOOKUP(C25,Country_Data!C:G,5,FALSE)</f>
        <v>1</v>
      </c>
      <c r="G25" s="76">
        <f>IFERROR(VLOOKUP(C25,Days_Since_100!C:G,5,FALSE)-1,0)</f>
        <v>0.27737931954328565</v>
      </c>
      <c r="H25" s="77">
        <f>IFERROR(VLOOKUP(C25,Deaths_since_10!C:G,5,FALSE)-1,0)</f>
        <v>0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5">
      <c r="B26" s="66">
        <f t="shared" si="0"/>
        <v>23</v>
      </c>
      <c r="C26" s="62" t="s">
        <v>80</v>
      </c>
      <c r="D26" s="75">
        <f>VLOOKUP(C26,Country_Data!B:F,5,FALSE)</f>
        <v>875</v>
      </c>
      <c r="E26" s="75">
        <f>D26*Projections_Data!$C$15</f>
        <v>27.788389171437039</v>
      </c>
      <c r="F26" s="75">
        <f>VLOOKUP(C26,Country_Data!C:G,5,FALSE)</f>
        <v>6</v>
      </c>
      <c r="G26" s="76">
        <f>IFERROR(VLOOKUP(C26,Days_Since_100!C:G,5,FALSE)-1,0)</f>
        <v>0.23955948515663184</v>
      </c>
      <c r="H26" s="77">
        <f>IFERROR(VLOOKUP(C26,Deaths_since_10!C:G,5,FALSE)-1,0)</f>
        <v>0</v>
      </c>
      <c r="J26" s="68" t="str">
        <f t="shared" si="1"/>
        <v/>
      </c>
      <c r="K26" s="67"/>
      <c r="L26" s="61">
        <f>VLOOKUP(C26,Country_Data!C:J,8,FALSE)</f>
        <v>220892340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5">
      <c r="B27" s="66">
        <f t="shared" si="0"/>
        <v>24</v>
      </c>
      <c r="C27" s="62" t="s">
        <v>344</v>
      </c>
      <c r="D27" s="75">
        <f>VLOOKUP(C27,Country_Data!B:F,5,FALSE)</f>
        <v>438</v>
      </c>
      <c r="E27" s="75">
        <f>D27*Projections_Data!$C$15</f>
        <v>13.910073665245056</v>
      </c>
      <c r="F27" s="75">
        <f>VLOOKUP(C27,Country_Data!C:G,5,FALSE)</f>
        <v>1</v>
      </c>
      <c r="G27" s="76">
        <f>IFERROR(VLOOKUP(C27,Days_Since_100!C:G,5,FALSE)-1,0)</f>
        <v>0.24403143677798589</v>
      </c>
      <c r="H27" s="77">
        <f>IFERROR(VLOOKUP(C27,Deaths_since_10!C:G,5,FALSE)-1,0)</f>
        <v>0</v>
      </c>
      <c r="J27" s="68">
        <f t="shared" si="1"/>
        <v>29.881907556512441</v>
      </c>
      <c r="K27" s="67">
        <v>6.5</v>
      </c>
      <c r="L27" s="61">
        <f>VLOOKUP(C27,Country_Data!C:J,8,FALSE)</f>
        <v>145934462</v>
      </c>
      <c r="M27" s="60">
        <f t="shared" si="2"/>
        <v>9485.7400300000008</v>
      </c>
      <c r="O27" s="59">
        <f t="array" ref="O27">IF(OR(C27=$Q$4:$Q$22),1,0)</f>
        <v>0</v>
      </c>
    </row>
    <row r="28" spans="2:15" s="59" customFormat="1" ht="13.8" hidden="1" customHeight="1" x14ac:dyDescent="0.35">
      <c r="B28" s="66">
        <f t="shared" si="0"/>
        <v>25</v>
      </c>
      <c r="C28" s="62" t="s">
        <v>79</v>
      </c>
      <c r="D28" s="75">
        <f>VLOOKUP(C28,Country_Data!B:F,5,FALSE)</f>
        <v>1442</v>
      </c>
      <c r="E28" s="75">
        <f>D28*Projections_Data!$C$15</f>
        <v>45.79526535452824</v>
      </c>
      <c r="F28" s="75">
        <f>VLOOKUP(C28,Country_Data!C:G,5,FALSE)</f>
        <v>1</v>
      </c>
      <c r="G28" s="76">
        <f>IFERROR(VLOOKUP(C28,Days_Since_100!C:G,5,FALSE)-1,0)</f>
        <v>0.27202449011605423</v>
      </c>
      <c r="H28" s="77">
        <f>IFERROR(VLOOKUP(C28,Deaths_since_10!C:G,5,FALSE)-1,0)</f>
        <v>0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5">
      <c r="B29" s="66">
        <f t="shared" si="0"/>
        <v>26</v>
      </c>
      <c r="C29" s="62" t="s">
        <v>124</v>
      </c>
      <c r="D29" s="75">
        <f>VLOOKUP(C29,Country_Data!B:F,5,FALSE)</f>
        <v>746</v>
      </c>
      <c r="E29" s="75">
        <f>D29*Projections_Data!$C$15</f>
        <v>23.691586653590893</v>
      </c>
      <c r="F29" s="75">
        <f>VLOOKUP(C29,Country_Data!C:G,5,FALSE)</f>
        <v>2</v>
      </c>
      <c r="G29" s="76">
        <f>IFERROR(VLOOKUP(C29,Days_Since_100!C:G,5,FALSE)-1,0)</f>
        <v>0.2567021962956606</v>
      </c>
      <c r="H29" s="77">
        <f>IFERROR(VLOOKUP(C29,Deaths_since_10!C:G,5,FALSE)-1,0)</f>
        <v>0</v>
      </c>
      <c r="J29" s="68">
        <f t="shared" si="1"/>
        <v>23.905407028458352</v>
      </c>
      <c r="K29" s="67">
        <v>29.2</v>
      </c>
      <c r="L29" s="61">
        <f>VLOOKUP(C29,Country_Data!C:J,8,FALSE)</f>
        <v>19116201</v>
      </c>
      <c r="M29" s="60">
        <f t="shared" ref="M29:M35" si="3">(L29/100000)*K29</f>
        <v>5581.9306919999999</v>
      </c>
      <c r="O29" s="59">
        <f t="array" ref="O29">IF(OR(C29=$Q$4:$Q$22),1,0)</f>
        <v>0</v>
      </c>
    </row>
    <row r="30" spans="2:15" s="59" customFormat="1" ht="13.8" hidden="1" customHeight="1" x14ac:dyDescent="0.35">
      <c r="B30" s="66">
        <f t="shared" si="0"/>
        <v>27</v>
      </c>
      <c r="C30" s="62" t="s">
        <v>160</v>
      </c>
      <c r="D30" s="75">
        <f>VLOOKUP(C30,Country_Data!B:F,5,FALSE)</f>
        <v>395</v>
      </c>
      <c r="E30" s="75">
        <f>D30*Projections_Data!$C$15</f>
        <v>12.544472825963007</v>
      </c>
      <c r="F30" s="75">
        <f>VLOOKUP(C30,Country_Data!C:G,5,FALSE)</f>
        <v>5</v>
      </c>
      <c r="G30" s="76">
        <f>IFERROR(VLOOKUP(C30,Days_Since_100!C:G,5,FALSE)-1,0)</f>
        <v>0.22192856854630261</v>
      </c>
      <c r="H30" s="77">
        <f>IFERROR(VLOOKUP(C30,Deaths_since_10!C:G,5,FALSE)-1,0)</f>
        <v>0</v>
      </c>
      <c r="J30" s="68">
        <f t="shared" si="1"/>
        <v>33.16136969275928</v>
      </c>
      <c r="K30" s="67">
        <v>29.3</v>
      </c>
      <c r="L30" s="61">
        <f>VLOOKUP(C30,Country_Data!C:J,8,FALSE)</f>
        <v>32971854</v>
      </c>
      <c r="M30" s="60">
        <f t="shared" si="3"/>
        <v>9660.7532220000012</v>
      </c>
      <c r="O30" s="59">
        <f t="array" ref="O30">IF(OR(C30=$Q$4:$Q$22),1,0)</f>
        <v>0</v>
      </c>
    </row>
    <row r="31" spans="2:15" s="59" customFormat="1" ht="13.8" hidden="1" customHeight="1" x14ac:dyDescent="0.35">
      <c r="B31" s="66">
        <f t="shared" si="0"/>
        <v>28</v>
      </c>
      <c r="C31" s="62" t="s">
        <v>113</v>
      </c>
      <c r="D31" s="75">
        <f>VLOOKUP(C31,Country_Data!B:F,5,FALSE)</f>
        <v>562</v>
      </c>
      <c r="E31" s="75">
        <f>D31*Projections_Data!$C$15</f>
        <v>17.848085387825847</v>
      </c>
      <c r="F31" s="75">
        <f>VLOOKUP(C31,Country_Data!C:G,5,FALSE)</f>
        <v>0</v>
      </c>
      <c r="G31" s="76">
        <f>IFERROR(VLOOKUP(C31,Days_Since_100!C:G,5,FALSE)-1,0)</f>
        <v>0.26866816175614594</v>
      </c>
      <c r="H31" s="77">
        <f>IFERROR(VLOOKUP(C31,Deaths_since_10!C:G,5,FALSE)-1,0)</f>
        <v>0</v>
      </c>
      <c r="J31" s="68">
        <f t="shared" si="1"/>
        <v>22.031693994284741</v>
      </c>
      <c r="K31" s="67">
        <v>9.6999999999999993</v>
      </c>
      <c r="L31" s="61">
        <f>VLOOKUP(C31,Country_Data!C:J,8,FALSE)</f>
        <v>34813871</v>
      </c>
      <c r="M31" s="60">
        <f t="shared" si="3"/>
        <v>3376.945487</v>
      </c>
      <c r="O31" s="59">
        <f t="array" ref="O31">IF(OR(C31=$Q$4:$Q$22),1,0)</f>
        <v>0</v>
      </c>
    </row>
    <row r="32" spans="2:15" s="59" customFormat="1" ht="13.8" hidden="1" customHeight="1" x14ac:dyDescent="0.35">
      <c r="B32" s="66">
        <f t="shared" si="0"/>
        <v>29</v>
      </c>
      <c r="C32" s="62" t="s">
        <v>145</v>
      </c>
      <c r="D32" s="75">
        <f>VLOOKUP(C32,Country_Data!B:F,5,FALSE)</f>
        <v>402</v>
      </c>
      <c r="E32" s="75">
        <f>D32*Projections_Data!$C$15</f>
        <v>12.766779939334503</v>
      </c>
      <c r="F32" s="75">
        <f>VLOOKUP(C32,Country_Data!C:G,5,FALSE)</f>
        <v>0</v>
      </c>
      <c r="G32" s="76">
        <f>IFERROR(VLOOKUP(C32,Days_Since_100!C:G,5,FALSE)-1,0)</f>
        <v>0.28219362354743915</v>
      </c>
      <c r="H32" s="77">
        <f>IFERROR(VLOOKUP(C32,Deaths_since_10!C:G,5,FALSE)-1,0)</f>
        <v>0</v>
      </c>
      <c r="J32" s="68" t="str">
        <f t="shared" si="1"/>
        <v/>
      </c>
      <c r="K32" s="67"/>
      <c r="L32" s="61">
        <f>VLOOKUP(C32,Country_Data!C:J,8,FALSE)</f>
        <v>59308690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5">
      <c r="B33" s="66">
        <f t="shared" si="0"/>
        <v>30</v>
      </c>
      <c r="C33" s="62" t="s">
        <v>199</v>
      </c>
      <c r="D33" s="75">
        <f>VLOOKUP(C33,Country_Data!B:F,5,FALSE)</f>
        <v>201</v>
      </c>
      <c r="E33" s="75">
        <f>D33*Projections_Data!$C$15</f>
        <v>6.3833899696672516</v>
      </c>
      <c r="F33" s="75">
        <f>VLOOKUP(C33,Country_Data!C:G,5,FALSE)</f>
        <v>3</v>
      </c>
      <c r="G33" s="76">
        <f>IFERROR(VLOOKUP(C33,Days_Since_100!C:G,5,FALSE)-1,0)</f>
        <v>0.16537074665950424</v>
      </c>
      <c r="H33" s="77">
        <f>IFERROR(VLOOKUP(C33,Deaths_since_10!C:G,5,FALSE)-1,0)</f>
        <v>0</v>
      </c>
      <c r="J33" s="68" t="str">
        <f t="shared" si="1"/>
        <v/>
      </c>
      <c r="K33" s="67"/>
      <c r="L33" s="61">
        <f>VLOOKUP(C33,Country_Data!C:J,8,FALSE)</f>
        <v>6948445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5">
      <c r="B34" s="66">
        <f t="shared" si="0"/>
        <v>31</v>
      </c>
      <c r="C34" s="62" t="s">
        <v>86</v>
      </c>
      <c r="D34" s="75">
        <f>VLOOKUP(C34,Country_Data!B:F,5,FALSE)</f>
        <v>576</v>
      </c>
      <c r="E34" s="75">
        <f>D34*Projections_Data!$C$15</f>
        <v>18.292699614568839</v>
      </c>
      <c r="F34" s="75">
        <f>VLOOKUP(C34,Country_Data!C:G,5,FALSE)</f>
        <v>7</v>
      </c>
      <c r="G34" s="76">
        <f>IFERROR(VLOOKUP(C34,Days_Since_100!C:G,5,FALSE)-1,0)</f>
        <v>0.17243784108859606</v>
      </c>
      <c r="H34" s="77">
        <f>IFERROR(VLOOKUP(C34,Deaths_since_10!C:G,5,FALSE)-1,0)</f>
        <v>0</v>
      </c>
      <c r="J34" s="68" t="str">
        <f t="shared" si="1"/>
        <v/>
      </c>
      <c r="K34" s="67"/>
      <c r="L34" s="61">
        <f>VLOOKUP(C34,Country_Data!C:J,8,FALSE)</f>
        <v>19237691</v>
      </c>
      <c r="M34" s="60">
        <f t="shared" si="3"/>
        <v>0</v>
      </c>
      <c r="O34" s="59">
        <f t="array" ref="O34">IF(OR(C34=$Q$4:$Q$22),1,0)</f>
        <v>0</v>
      </c>
    </row>
    <row r="35" spans="2:15" s="59" customFormat="1" ht="13.8" hidden="1" customHeight="1" x14ac:dyDescent="0.35">
      <c r="B35" s="66">
        <f t="shared" si="0"/>
        <v>32</v>
      </c>
      <c r="C35" s="62" t="s">
        <v>67</v>
      </c>
      <c r="D35" s="75">
        <f>VLOOKUP(C35,Country_Data!B:F,5,FALSE)</f>
        <v>267</v>
      </c>
      <c r="E35" s="75">
        <f>D35*Projections_Data!$C$15</f>
        <v>8.4794284671699316</v>
      </c>
      <c r="F35" s="75">
        <f>VLOOKUP(C35,Country_Data!C:G,5,FALSE)</f>
        <v>4</v>
      </c>
      <c r="G35" s="76">
        <f>IFERROR(VLOOKUP(C35,Days_Since_100!C:G,5,FALSE)-1,0)</f>
        <v>0.14956074212120019</v>
      </c>
      <c r="H35" s="77">
        <f>IFERROR(VLOOKUP(C35,Deaths_since_10!C:G,5,FALSE)-1,0)</f>
        <v>0</v>
      </c>
      <c r="J35" s="68">
        <f t="shared" si="1"/>
        <v>27.937229013438916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25">
      <c r="B36" s="66">
        <f t="shared" si="0"/>
        <v>33</v>
      </c>
      <c r="C36" s="62" t="s">
        <v>162</v>
      </c>
      <c r="D36" s="75">
        <f>VLOOKUP(C36,Country_Data!B:F,5,FALSE)</f>
        <v>186</v>
      </c>
      <c r="E36" s="75">
        <f>D36*Projections_Data!$C$15</f>
        <v>5.9070175838711876</v>
      </c>
      <c r="F36" s="75">
        <f>VLOOKUP(C36,Country_Data!C:G,5,FALSE)</f>
        <v>1</v>
      </c>
      <c r="G36" s="76">
        <f>IFERROR(VLOOKUP(C36,Days_Since_100!C:G,5,FALSE)-1,0)</f>
        <v>0.12115260160214425</v>
      </c>
      <c r="H36" s="77">
        <f>IFERROR(VLOOKUP(C36,Deaths_since_10!C:G,5,FALSE)-1,0)</f>
        <v>0</v>
      </c>
      <c r="I36" s="58"/>
      <c r="J36" s="68" t="str">
        <f t="shared" ref="J36:J66" si="4">IFERROR(LOG((M36/E36),1+G36),"")</f>
        <v/>
      </c>
      <c r="K36" s="67">
        <v>9.1</v>
      </c>
      <c r="L36" s="61">
        <f>VLOOKUP(C36,Country_Data!C:J,8,FALSE)</f>
        <v>5459642</v>
      </c>
      <c r="M36" s="60"/>
      <c r="O36" s="59">
        <f t="array" ref="O36">IF(OR(C36=$Q$4:$Q$22),1,0)</f>
        <v>0</v>
      </c>
    </row>
    <row r="37" spans="2:15" s="59" customFormat="1" ht="13.8" hidden="1" customHeight="1" x14ac:dyDescent="0.25">
      <c r="B37" s="66">
        <f t="shared" ref="B37:B59" si="5">B36+1</f>
        <v>34</v>
      </c>
      <c r="C37" s="62" t="s">
        <v>54</v>
      </c>
      <c r="D37" s="75">
        <f>VLOOKUP(C37,Country_Data!B:F,5,FALSE)</f>
        <v>700</v>
      </c>
      <c r="E37" s="75">
        <f>D37*Projections_Data!$C$15</f>
        <v>22.230711337149632</v>
      </c>
      <c r="F37" s="75">
        <f>VLOOKUP(C37,Country_Data!C:G,5,FALSE)</f>
        <v>1</v>
      </c>
      <c r="G37" s="76">
        <f>IFERROR(VLOOKUP(C37,Days_Since_100!C:G,5,FALSE)-1,0)</f>
        <v>0.15811517561929445</v>
      </c>
      <c r="H37" s="77">
        <f>IFERROR(VLOOKUP(C37,Deaths_since_10!C:G,5,FALSE)-1,0)</f>
        <v>0</v>
      </c>
      <c r="I37" s="58"/>
      <c r="J37" s="68" t="str">
        <f t="shared" si="4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5">
      <c r="B38" s="66">
        <f t="shared" si="5"/>
        <v>35</v>
      </c>
      <c r="C38" s="62" t="s">
        <v>43</v>
      </c>
      <c r="D38" s="75">
        <f>VLOOKUP(C38,Country_Data!B:F,5,FALSE)</f>
        <v>1518</v>
      </c>
      <c r="E38" s="75">
        <f>D38*Projections_Data!$C$15</f>
        <v>48.20888544256163</v>
      </c>
      <c r="F38" s="75">
        <f>VLOOKUP(C38,Country_Data!C:G,5,FALSE)</f>
        <v>14</v>
      </c>
      <c r="G38" s="76">
        <f>IFERROR(VLOOKUP(C38,Days_Since_100!C:G,5,FALSE)-1,0)</f>
        <v>0.13953832521473242</v>
      </c>
      <c r="H38" s="77">
        <f>IFERROR(VLOOKUP(C38,Deaths_since_10!C:G,5,FALSE)-1,0)</f>
        <v>0.39999999999999991</v>
      </c>
      <c r="J38" s="68">
        <f t="shared" si="4"/>
        <v>38.029546273858081</v>
      </c>
      <c r="K38" s="67">
        <v>21.4</v>
      </c>
      <c r="L38" s="61">
        <f>VLOOKUP(C38,Country_Data!C:J,8,FALSE)</f>
        <v>32365999</v>
      </c>
      <c r="M38" s="60">
        <f>(L38/100000)*K38</f>
        <v>6926.323785999999</v>
      </c>
      <c r="O38" s="59">
        <f t="array" ref="O38">IF(OR(C38=$Q$4:$Q$22),1,0)</f>
        <v>0</v>
      </c>
    </row>
    <row r="39" spans="2:15" s="59" customFormat="1" ht="13.8" hidden="1" customHeight="1" x14ac:dyDescent="0.35">
      <c r="B39" s="66">
        <f t="shared" si="5"/>
        <v>36</v>
      </c>
      <c r="C39" s="62" t="s">
        <v>342</v>
      </c>
      <c r="D39" s="75">
        <f>VLOOKUP(C39,Country_Data!B:F,5,FALSE)</f>
        <v>195</v>
      </c>
      <c r="E39" s="75">
        <f>D39*Projections_Data!$C$15</f>
        <v>6.1928410153488258</v>
      </c>
      <c r="F39" s="75">
        <f>VLOOKUP(C39,Country_Data!C:G,5,FALSE)</f>
        <v>2</v>
      </c>
      <c r="G39" s="76">
        <f>IFERROR(VLOOKUP(C39,Days_Since_100!C:G,5,FALSE)-1,0)</f>
        <v>0.14289655141156077</v>
      </c>
      <c r="H39" s="77">
        <f>IFERROR(VLOOKUP(C39,Deaths_since_10!C:G,5,FALSE)-1,0)</f>
        <v>0</v>
      </c>
      <c r="J39" s="68" t="str">
        <f t="shared" si="4"/>
        <v/>
      </c>
      <c r="K39" s="67"/>
      <c r="L39" s="61">
        <f>VLOOKUP(C39,Country_Data!C:J,8,FALSE)</f>
        <v>23816775</v>
      </c>
      <c r="M39" s="60">
        <f>(L39/100000)*K39</f>
        <v>0</v>
      </c>
      <c r="O39" s="59">
        <f t="array" ref="O39">IF(OR(C39=$Q$4:$Q$22),1,0)</f>
        <v>0</v>
      </c>
    </row>
    <row r="40" spans="2:15" s="59" customFormat="1" ht="13.8" hidden="1" customHeight="1" x14ac:dyDescent="0.35">
      <c r="B40" s="66">
        <f t="shared" si="5"/>
        <v>37</v>
      </c>
      <c r="C40" s="62" t="s">
        <v>111</v>
      </c>
      <c r="D40" s="75">
        <f>VLOOKUP(C40,Country_Data!B:F,5,FALSE)</f>
        <v>180</v>
      </c>
      <c r="E40" s="75">
        <f>D40*Projections_Data!$C$15</f>
        <v>5.7164686295527627</v>
      </c>
      <c r="F40" s="75">
        <f>VLOOKUP(C40,Country_Data!C:G,5,FALSE)</f>
        <v>0</v>
      </c>
      <c r="G40" s="76">
        <f>IFERROR(VLOOKUP(C40,Days_Since_100!C:G,5,FALSE)-1,0)</f>
        <v>0.1748520403091145</v>
      </c>
      <c r="H40" s="77">
        <f>IFERROR(VLOOKUP(C40,Deaths_since_10!C:G,5,FALSE)-1,0)</f>
        <v>0</v>
      </c>
      <c r="J40" s="68">
        <f t="shared" si="4"/>
        <v>22.28895917988639</v>
      </c>
      <c r="K40" s="67">
        <v>11</v>
      </c>
      <c r="L40" s="61">
        <f>VLOOKUP(C40,Country_Data!C:J,8,FALSE)</f>
        <v>1886198</v>
      </c>
      <c r="M40" s="60">
        <f>(L40/100000)*K40</f>
        <v>207.48177999999999</v>
      </c>
      <c r="O40" s="59">
        <f t="array" ref="O40">IF(OR(C40=$Q$4:$Q$22),1,0)</f>
        <v>0</v>
      </c>
    </row>
    <row r="41" spans="2:15" s="59" customFormat="1" ht="13.8" hidden="1" customHeight="1" x14ac:dyDescent="0.35">
      <c r="B41" s="66">
        <f t="shared" si="5"/>
        <v>38</v>
      </c>
      <c r="C41" s="62" t="s">
        <v>40</v>
      </c>
      <c r="D41" s="75">
        <f>VLOOKUP(C41,Country_Data!B:F,5,FALSE)</f>
        <v>509</v>
      </c>
      <c r="E41" s="75">
        <f>D41*Projections_Data!$C$15</f>
        <v>16.164902958013091</v>
      </c>
      <c r="F41" s="75">
        <f>VLOOKUP(C41,Country_Data!C:G,5,FALSE)</f>
        <v>2</v>
      </c>
      <c r="G41" s="76">
        <f>IFERROR(VLOOKUP(C41,Days_Since_100!C:G,5,FALSE)-1,0)</f>
        <v>0.10213473266309636</v>
      </c>
      <c r="H41" s="77">
        <f>IFERROR(VLOOKUP(C41,Deaths_since_10!C:G,5,FALSE)-1,0)</f>
        <v>0</v>
      </c>
      <c r="J41" s="68" t="str">
        <f t="shared" si="4"/>
        <v/>
      </c>
      <c r="K41" s="67"/>
      <c r="L41" s="61">
        <f>VLOOKUP(C41,Country_Data!C:J,8,FALSE)</f>
        <v>5850342</v>
      </c>
      <c r="M41" s="60">
        <f>(L41/100000)*K41</f>
        <v>0</v>
      </c>
      <c r="O41" s="59">
        <f t="array" ref="O41">IF(OR(C41=$Q$4:$Q$22),1,0)</f>
        <v>0</v>
      </c>
    </row>
    <row r="42" spans="2:15" s="59" customFormat="1" ht="13.8" hidden="1" customHeight="1" x14ac:dyDescent="0.35">
      <c r="B42" s="66">
        <f t="shared" si="5"/>
        <v>39</v>
      </c>
      <c r="C42" s="62" t="s">
        <v>92</v>
      </c>
      <c r="D42" s="75">
        <f>VLOOKUP(C42,Country_Data!B:F,5,FALSE)</f>
        <v>588</v>
      </c>
      <c r="E42" s="75">
        <f>D42*Projections_Data!$C$15</f>
        <v>18.673797523205693</v>
      </c>
      <c r="F42" s="75">
        <f>VLOOKUP(C42,Country_Data!C:G,5,FALSE)</f>
        <v>5</v>
      </c>
      <c r="G42" s="76">
        <f>IFERROR(VLOOKUP(C42,Days_Since_100!C:G,5,FALSE)-1,0)</f>
        <v>0.18655387913657306</v>
      </c>
      <c r="H42" s="77">
        <f>IFERROR(VLOOKUP(C42,Deaths_since_10!C:G,5,FALSE)-1,0)</f>
        <v>0</v>
      </c>
      <c r="J42" s="68" t="str">
        <f t="shared" si="4"/>
        <v/>
      </c>
      <c r="K42" s="67"/>
      <c r="L42" s="61">
        <f>VLOOKUP(C42,Country_Data!C:J,8,FALSE)</f>
        <v>341243</v>
      </c>
      <c r="M42" s="60"/>
      <c r="O42" s="59">
        <f t="array" ref="O42">IF(OR(C42=$Q$4:$Q$22),1,0)</f>
        <v>0</v>
      </c>
    </row>
    <row r="43" spans="2:15" s="59" customFormat="1" ht="13.8" hidden="1" customHeight="1" x14ac:dyDescent="0.35">
      <c r="B43" s="66">
        <f t="shared" si="5"/>
        <v>40</v>
      </c>
      <c r="C43" s="62" t="s">
        <v>92</v>
      </c>
      <c r="D43" s="75">
        <f>VLOOKUP(C43,Country_Data!B:F,5,FALSE)</f>
        <v>588</v>
      </c>
      <c r="E43" s="75">
        <f>D43*Projections_Data!$C$15</f>
        <v>18.673797523205693</v>
      </c>
      <c r="F43" s="75">
        <f>VLOOKUP(C43,Country_Data!C:G,5,FALSE)</f>
        <v>5</v>
      </c>
      <c r="G43" s="76">
        <f>IFERROR(VLOOKUP(C43,Days_Since_100!C:G,5,FALSE)-1,0)</f>
        <v>0.18655387913657306</v>
      </c>
      <c r="H43" s="77">
        <f>IFERROR(VLOOKUP(C43,Deaths_since_10!C:G,5,FALSE)-1,0)</f>
        <v>0</v>
      </c>
      <c r="J43" s="68">
        <f t="shared" si="4"/>
        <v>6.2356178075348359</v>
      </c>
      <c r="K43" s="67">
        <v>15.9</v>
      </c>
      <c r="L43" s="61">
        <f>VLOOKUP(C43,Country_Data!C:J,8,FALSE)</f>
        <v>341243</v>
      </c>
      <c r="M43" s="60">
        <f>(L43/100000)*K43</f>
        <v>54.257637000000003</v>
      </c>
      <c r="O43" s="59">
        <f t="array" ref="O43">IF(OR(C43=$Q$4:$Q$22),1,0)</f>
        <v>0</v>
      </c>
    </row>
    <row r="44" spans="2:15" s="59" customFormat="1" ht="13.8" hidden="1" customHeight="1" x14ac:dyDescent="0.35">
      <c r="B44" s="66">
        <f t="shared" si="5"/>
        <v>41</v>
      </c>
      <c r="C44" s="62" t="s">
        <v>65</v>
      </c>
      <c r="D44" s="75">
        <f>VLOOKUP(C44,Country_Data!B:F,5,FALSE)</f>
        <v>366</v>
      </c>
      <c r="E44" s="75">
        <f>D44*Projections_Data!$C$15</f>
        <v>11.62348621342395</v>
      </c>
      <c r="F44" s="75">
        <f>VLOOKUP(C44,Country_Data!C:G,5,FALSE)</f>
        <v>19</v>
      </c>
      <c r="G44" s="76">
        <f>IFERROR(VLOOKUP(C44,Days_Since_100!C:G,5,FALSE)-1,0)</f>
        <v>0.13303937559334633</v>
      </c>
      <c r="H44" s="77">
        <f>IFERROR(VLOOKUP(C44,Deaths_since_10!C:G,5,FALSE)-1,0)</f>
        <v>0.33420082436097243</v>
      </c>
      <c r="J44" s="68">
        <f t="shared" si="4"/>
        <v>38.911507880439302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5">
      <c r="B45" s="66">
        <f t="shared" si="5"/>
        <v>42</v>
      </c>
      <c r="C45" s="62" t="s">
        <v>85</v>
      </c>
      <c r="D45" s="75">
        <f>VLOOKUP(C45,Country_Data!B:F,5,FALSE)</f>
        <v>2621</v>
      </c>
      <c r="E45" s="75">
        <f>D45*Projections_Data!$C$15</f>
        <v>83.238134878098833</v>
      </c>
      <c r="F45" s="75">
        <f>VLOOKUP(C45,Country_Data!C:G,5,FALSE)</f>
        <v>10</v>
      </c>
      <c r="G45" s="76">
        <f>IFERROR(VLOOKUP(C45,Days_Since_100!C:G,5,FALSE)-1,0)</f>
        <v>0.11077747568313945</v>
      </c>
      <c r="H45" s="77">
        <f>IFERROR(VLOOKUP(C45,Deaths_since_10!C:G,5,FALSE)-1,0)</f>
        <v>0</v>
      </c>
      <c r="J45" s="68">
        <f t="shared" si="4"/>
        <v>15.711428463845211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5">
      <c r="B46" s="66">
        <f t="shared" si="5"/>
        <v>43</v>
      </c>
      <c r="C46" s="62" t="s">
        <v>59</v>
      </c>
      <c r="D46" s="75">
        <f>VLOOKUP(C46,Country_Data!B:F,5,FALSE)</f>
        <v>2046</v>
      </c>
      <c r="E46" s="75">
        <f>D46*Projections_Data!$C$15</f>
        <v>64.977193422583071</v>
      </c>
      <c r="F46" s="75">
        <f>VLOOKUP(C46,Country_Data!C:G,5,FALSE)</f>
        <v>25</v>
      </c>
      <c r="G46" s="76">
        <f>IFERROR(VLOOKUP(C46,Days_Since_100!C:G,5,FALSE)-1,0)</f>
        <v>9.8517593875096399E-2</v>
      </c>
      <c r="H46" s="77">
        <f>IFERROR(VLOOKUP(C46,Deaths_since_10!C:G,5,FALSE)-1,0)</f>
        <v>0.20112443398143132</v>
      </c>
      <c r="J46" s="68">
        <f t="shared" si="4"/>
        <v>33.226679511621917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5">
      <c r="B47" s="66">
        <f t="shared" si="5"/>
        <v>44</v>
      </c>
      <c r="C47" s="62" t="s">
        <v>83</v>
      </c>
      <c r="D47" s="75">
        <f>VLOOKUP(C47,Country_Data!B:F,5,FALSE)</f>
        <v>695</v>
      </c>
      <c r="E47" s="75">
        <f>D47*Projections_Data!$C$15</f>
        <v>22.071920541884278</v>
      </c>
      <c r="F47" s="75">
        <f>VLOOKUP(C47,Country_Data!C:G,5,FALSE)</f>
        <v>17</v>
      </c>
      <c r="G47" s="76">
        <f>IFERROR(VLOOKUP(C47,Days_Since_100!C:G,5,FALSE)-1,0)</f>
        <v>0.10703589935391333</v>
      </c>
      <c r="H47" s="77">
        <f>IFERROR(VLOOKUP(C47,Deaths_since_10!C:G,5,FALSE)-1,0)</f>
        <v>0.1435437497937313</v>
      </c>
      <c r="J47" s="68" t="str">
        <f t="shared" si="4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5">
      <c r="B48" s="66">
        <f t="shared" si="5"/>
        <v>45</v>
      </c>
      <c r="C48" s="62" t="s">
        <v>70</v>
      </c>
      <c r="D48" s="75">
        <f>VLOOKUP(C48,Country_Data!B:F,5,FALSE)</f>
        <v>266</v>
      </c>
      <c r="E48" s="75">
        <f>D48*Projections_Data!$C$15</f>
        <v>8.4476703081168605</v>
      </c>
      <c r="F48" s="75">
        <f>VLOOKUP(C48,Country_Data!C:G,5,FALSE)</f>
        <v>23</v>
      </c>
      <c r="G48" s="76">
        <f>IFERROR(VLOOKUP(C48,Days_Since_100!C:G,5,FALSE)-1,0)</f>
        <v>0.10155847901004056</v>
      </c>
      <c r="H48" s="77">
        <f>IFERROR(VLOOKUP(C48,Deaths_since_10!C:G,5,FALSE)-1,0)</f>
        <v>0.13896221858789914</v>
      </c>
      <c r="J48" s="68">
        <f t="shared" si="4"/>
        <v>58.112400600170091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5">
      <c r="B49" s="66">
        <f t="shared" si="5"/>
        <v>46</v>
      </c>
      <c r="C49" s="62" t="s">
        <v>141</v>
      </c>
      <c r="D49" s="75">
        <f>VLOOKUP(C49,Country_Data!B:F,5,FALSE)</f>
        <v>442</v>
      </c>
      <c r="E49" s="75">
        <f>D49*Projections_Data!$C$15</f>
        <v>14.037106301457339</v>
      </c>
      <c r="F49" s="75">
        <f>VLOOKUP(C49,Country_Data!C:G,5,FALSE)</f>
        <v>3</v>
      </c>
      <c r="G49" s="76">
        <f>IFERROR(VLOOKUP(C49,Days_Since_100!C:G,5,FALSE)-1,0)</f>
        <v>9.9557423843058324E-2</v>
      </c>
      <c r="H49" s="77">
        <f>IFERROR(VLOOKUP(C49,Deaths_since_10!C:G,5,FALSE)-1,0)</f>
        <v>0</v>
      </c>
      <c r="J49" s="68" t="str">
        <f t="shared" si="4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5">
      <c r="B50" s="66">
        <f t="shared" si="5"/>
        <v>47</v>
      </c>
      <c r="C50" s="62" t="s">
        <v>87</v>
      </c>
      <c r="D50" s="75">
        <f>VLOOKUP(C50,Country_Data!B:F,5,FALSE)</f>
        <v>1572</v>
      </c>
      <c r="E50" s="75">
        <f>D50*Projections_Data!$C$15</f>
        <v>49.92382603142746</v>
      </c>
      <c r="F50" s="75">
        <f>VLOOKUP(C50,Country_Data!C:G,5,FALSE)</f>
        <v>24</v>
      </c>
      <c r="G50" s="76">
        <f>IFERROR(VLOOKUP(C50,Days_Since_100!C:G,5,FALSE)-1,0)</f>
        <v>7.0921578407852515E-2</v>
      </c>
      <c r="H50" s="77">
        <f>IFERROR(VLOOKUP(C50,Deaths_since_10!C:G,5,FALSE)-1,0)</f>
        <v>0.38672254870126932</v>
      </c>
      <c r="J50" s="68" t="str">
        <f t="shared" si="4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5">
      <c r="B51" s="66">
        <f t="shared" si="5"/>
        <v>48</v>
      </c>
      <c r="C51" s="62" t="s">
        <v>90</v>
      </c>
      <c r="D51" s="75">
        <f>VLOOKUP(C51,Country_Data!B:F,5,FALSE)</f>
        <v>187</v>
      </c>
      <c r="E51" s="75">
        <f>D51*Projections_Data!$C$15</f>
        <v>5.9387757429242587</v>
      </c>
      <c r="F51" s="75">
        <f>VLOOKUP(C51,Country_Data!C:G,5,FALSE)</f>
        <v>20</v>
      </c>
      <c r="G51" s="76">
        <f>IFERROR(VLOOKUP(C51,Days_Since_100!C:G,5,FALSE)-1,0)</f>
        <v>9.4608784223157549E-2</v>
      </c>
      <c r="H51" s="77">
        <f>IFERROR(VLOOKUP(C51,Deaths_since_10!C:G,5,FALSE)-1,0)</f>
        <v>0.12700920209792543</v>
      </c>
      <c r="J51" s="68" t="str">
        <f t="shared" si="4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5">
      <c r="B52" s="66">
        <f t="shared" si="5"/>
        <v>49</v>
      </c>
      <c r="C52" s="62" t="s">
        <v>55</v>
      </c>
      <c r="D52" s="75">
        <f>VLOOKUP(C52,Country_Data!B:F,5,FALSE)</f>
        <v>198</v>
      </c>
      <c r="E52" s="75">
        <f>D52*Projections_Data!$C$15</f>
        <v>6.2881154925080391</v>
      </c>
      <c r="F52" s="75">
        <f>VLOOKUP(C52,Country_Data!C:G,5,FALSE)</f>
        <v>2</v>
      </c>
      <c r="G52" s="76">
        <f>IFERROR(VLOOKUP(C52,Days_Since_100!C:G,5,FALSE)-1,0)</f>
        <v>0.11870955992043797</v>
      </c>
      <c r="H52" s="77">
        <f>IFERROR(VLOOKUP(C52,Deaths_since_10!C:G,5,FALSE)-1,0)</f>
        <v>0</v>
      </c>
      <c r="J52" s="68">
        <f t="shared" si="4"/>
        <v>41.520490416912615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5">
      <c r="B53" s="66">
        <f t="shared" si="5"/>
        <v>50</v>
      </c>
      <c r="C53" s="62" t="s">
        <v>73</v>
      </c>
      <c r="D53" s="75">
        <f>VLOOKUP(C53,Country_Data!B:F,5,FALSE)</f>
        <v>377</v>
      </c>
      <c r="E53" s="75">
        <f>D53*Projections_Data!$C$15</f>
        <v>11.972825963007731</v>
      </c>
      <c r="F53" s="75">
        <f>VLOOKUP(C53,Country_Data!C:G,5,FALSE)</f>
        <v>2</v>
      </c>
      <c r="G53" s="76">
        <f>IFERROR(VLOOKUP(C53,Days_Since_100!C:G,5,FALSE)-1,0)</f>
        <v>8.0488818642865834E-2</v>
      </c>
      <c r="H53" s="77">
        <f>IFERROR(VLOOKUP(C53,Deaths_since_10!C:G,5,FALSE)-1,0)</f>
        <v>0</v>
      </c>
      <c r="J53" s="68" t="str">
        <f t="shared" si="4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5">
      <c r="B54" s="66">
        <f t="shared" si="5"/>
        <v>51</v>
      </c>
      <c r="C54" s="62" t="s">
        <v>88</v>
      </c>
      <c r="D54" s="75">
        <f>VLOOKUP(C54,Country_Data!B:F,5,FALSE)</f>
        <v>352</v>
      </c>
      <c r="E54" s="75">
        <f>D54*Projections_Data!$C$15</f>
        <v>11.178871986680958</v>
      </c>
      <c r="F54" s="75">
        <f>VLOOKUP(C54,Country_Data!C:G,5,FALSE)</f>
        <v>0</v>
      </c>
      <c r="G54" s="76">
        <f>IFERROR(VLOOKUP(C54,Days_Since_100!C:G,5,FALSE)-1,0)</f>
        <v>6.4105263764296927E-2</v>
      </c>
      <c r="H54" s="77">
        <f>IFERROR(VLOOKUP(C54,Deaths_since_10!C:G,5,FALSE)-1,0)</f>
        <v>0</v>
      </c>
      <c r="J54" s="68" t="str">
        <f t="shared" si="4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5">
      <c r="B55" s="66">
        <f t="shared" si="5"/>
        <v>52</v>
      </c>
      <c r="C55" s="62" t="s">
        <v>74</v>
      </c>
      <c r="D55" s="75">
        <f>VLOOKUP(C55,Country_Data!B:F,5,FALSE)</f>
        <v>189</v>
      </c>
      <c r="E55" s="75">
        <f>D55*Projections_Data!$C$15</f>
        <v>6.0022920610304009</v>
      </c>
      <c r="F55" s="75">
        <f>VLOOKUP(C55,Country_Data!C:G,5,FALSE)</f>
        <v>0</v>
      </c>
      <c r="G55" s="76">
        <f>IFERROR(VLOOKUP(C55,Days_Since_100!C:G,5,FALSE)-1,0)</f>
        <v>5.8850611977593781E-2</v>
      </c>
      <c r="H55" s="77">
        <f>IFERROR(VLOOKUP(C55,Deaths_since_10!C:G,5,FALSE)-1,0)</f>
        <v>0</v>
      </c>
      <c r="J55" s="68" t="str">
        <f t="shared" si="4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5">
      <c r="B56" s="66">
        <f t="shared" si="5"/>
        <v>53</v>
      </c>
      <c r="C56" s="62" t="s">
        <v>338</v>
      </c>
      <c r="D56" s="75">
        <f>VLOOKUP(C56,Country_Data!B:F,5,FALSE)</f>
        <v>23049</v>
      </c>
      <c r="E56" s="75">
        <f>D56*Projections_Data!$C$15</f>
        <v>731.99380801423126</v>
      </c>
      <c r="F56" s="75">
        <f>VLOOKUP(C56,Country_Data!C:G,5,FALSE)</f>
        <v>1812</v>
      </c>
      <c r="G56" s="76">
        <f>IFERROR(VLOOKUP(C56,Days_Since_100!C:G,5,FALSE)-1,0)</f>
        <v>5.8316263593835904E-2</v>
      </c>
      <c r="H56" s="77">
        <f>IFERROR(VLOOKUP(C56,Deaths_since_10!C:G,5,FALSE)-1,0)</f>
        <v>9.8076168980483658E-2</v>
      </c>
      <c r="J56" s="68" t="str">
        <f t="shared" si="4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5">
      <c r="B57" s="66">
        <f t="shared" si="5"/>
        <v>54</v>
      </c>
      <c r="C57" s="62" t="s">
        <v>36</v>
      </c>
      <c r="D57" s="75">
        <f>VLOOKUP(C57,Country_Data!B:F,5,FALSE)</f>
        <v>1128</v>
      </c>
      <c r="E57" s="75">
        <f>D57*Projections_Data!$C$15</f>
        <v>35.823203411863979</v>
      </c>
      <c r="F57" s="75">
        <f>VLOOKUP(C57,Country_Data!C:G,5,FALSE)</f>
        <v>42</v>
      </c>
      <c r="G57" s="76">
        <f>IFERROR(VLOOKUP(C57,Days_Since_100!C:G,5,FALSE)-1,0)</f>
        <v>4.8772926459972332E-2</v>
      </c>
      <c r="H57" s="77">
        <f>IFERROR(VLOOKUP(C57,Deaths_since_10!C:G,5,FALSE)-1,0)</f>
        <v>7.6887308061656112E-2</v>
      </c>
      <c r="J57" s="68">
        <f t="shared" si="4"/>
        <v>116.58592981729753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5">
      <c r="B58" s="66">
        <f t="shared" si="5"/>
        <v>55</v>
      </c>
      <c r="C58" s="62" t="s">
        <v>101</v>
      </c>
      <c r="D58" s="75">
        <f>VLOOKUP(C58,Country_Data!B:F,5,FALSE)</f>
        <v>501</v>
      </c>
      <c r="E58" s="75">
        <f>D58*Projections_Data!$C$15</f>
        <v>15.910837685588522</v>
      </c>
      <c r="F58" s="75">
        <f>VLOOKUP(C58,Country_Data!C:G,5,FALSE)</f>
        <v>0</v>
      </c>
      <c r="G58" s="76">
        <f>IFERROR(VLOOKUP(C58,Days_Since_100!C:G,5,FALSE)-1,0)</f>
        <v>2.079811217724048E-2</v>
      </c>
      <c r="H58" s="77">
        <f>IFERROR(VLOOKUP(C58,Deaths_since_10!C:G,5,FALSE)-1,0)</f>
        <v>0</v>
      </c>
      <c r="J58" s="68" t="str">
        <f t="shared" si="4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5">
      <c r="B59" s="66">
        <f t="shared" si="5"/>
        <v>56</v>
      </c>
      <c r="C59" s="62" t="s">
        <v>340</v>
      </c>
      <c r="D59" s="75">
        <f>VLOOKUP(C59,Country_Data!B:F,5,FALSE)</f>
        <v>712</v>
      </c>
      <c r="E59" s="75">
        <f>D59*Projections_Data!$C$15</f>
        <v>22.611809245786482</v>
      </c>
      <c r="F59" s="75">
        <f>VLOOKUP(C59,Country_Data!C:G,5,FALSE)</f>
        <v>8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4"/>
        <v/>
      </c>
      <c r="K59" s="67"/>
      <c r="L59" s="61" t="e">
        <f>VLOOKUP(C59,Country_Data!C:J,8,FALSE)</f>
        <v>#N/A</v>
      </c>
      <c r="M59" s="60" t="e">
        <f t="shared" si="6"/>
        <v>#N/A</v>
      </c>
      <c r="O59" s="59">
        <f t="array" ref="O59">IF(OR(C59=$Q$4:$Q$22),1,0)</f>
        <v>0</v>
      </c>
    </row>
    <row r="60" spans="2:15" ht="13.2" hidden="1" customHeight="1" x14ac:dyDescent="0.25">
      <c r="B60" s="66">
        <f t="shared" ref="B60:B66" si="7">B59+1</f>
        <v>57</v>
      </c>
      <c r="C60" s="62" t="s">
        <v>337</v>
      </c>
      <c r="D60" s="75">
        <f>VLOOKUP(C60,Country_Data!B:F,5,FALSE)</f>
        <v>81498</v>
      </c>
      <c r="E60" s="75">
        <f>D60*Projections_Data!$C$15</f>
        <v>2588.2264465071726</v>
      </c>
      <c r="F60" s="75">
        <f>VLOOKUP(C60,Country_Data!C:G,5,FALSE)</f>
        <v>3274</v>
      </c>
      <c r="G60" s="76">
        <f>IFERROR(VLOOKUP(C60,Days_Since_100!C:G,5,FALSE)-1,0)</f>
        <v>9.7464632707233712E-4</v>
      </c>
      <c r="H60" s="77">
        <f>IFERROR(VLOOKUP(C60,Deaths_since_10!C:G,5,FALSE)-1,0)</f>
        <v>2.0281649076558939E-3</v>
      </c>
      <c r="I60" s="59"/>
      <c r="J60" s="68">
        <f t="shared" si="4"/>
        <v>3076.1718591768613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5">
      <c r="B61" s="66">
        <f t="shared" si="7"/>
        <v>58</v>
      </c>
      <c r="C61" s="62" t="s">
        <v>479</v>
      </c>
      <c r="D61" s="75">
        <f>VLOOKUP(C61,Country_Data!B:F,5,FALSE)</f>
        <v>1236</v>
      </c>
      <c r="E61" s="75">
        <f>D61*Projections_Data!$C$15</f>
        <v>39.253084589595638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4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5">
      <c r="B62" s="66">
        <f t="shared" si="7"/>
        <v>59</v>
      </c>
      <c r="C62" s="62" t="s">
        <v>476</v>
      </c>
      <c r="D62" s="75">
        <f>VLOOKUP(C62,Country_Data!B:F,5,FALSE)</f>
        <v>8961</v>
      </c>
      <c r="E62" s="75">
        <f>D62*Projections_Data!$C$15</f>
        <v>284.58486327456836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4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5">
      <c r="B63" s="66">
        <f t="shared" si="7"/>
        <v>60</v>
      </c>
      <c r="C63" s="62" t="s">
        <v>231</v>
      </c>
      <c r="D63" s="75">
        <f>VLOOKUP(C63,Country_Data!B:F,5,FALSE)</f>
        <v>116</v>
      </c>
      <c r="E63" s="75">
        <f>D63*Projections_Data!$C$15</f>
        <v>3.6839464501562249</v>
      </c>
      <c r="F63" s="75">
        <f>VLOOKUP(C63,Country_Data!C:G,5,FALSE)</f>
        <v>1</v>
      </c>
      <c r="G63" s="76">
        <f>IFERROR(VLOOKUP(C63,Days_Since_100!C:G,5,FALSE)-1,0)</f>
        <v>0</v>
      </c>
      <c r="H63" s="77">
        <f>IFERROR(VLOOKUP(C63,Deaths_since_10!C:G,5,FALSE)-1,0)</f>
        <v>0</v>
      </c>
      <c r="J63" s="68" t="str">
        <f t="shared" si="4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5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1</v>
      </c>
      <c r="G64" s="75"/>
      <c r="H64" s="77">
        <f>IFERROR(VLOOKUP(C64,Deaths_since_10!C:G,5,FALSE)-1,0)</f>
        <v>0</v>
      </c>
      <c r="J64" s="68" t="str">
        <f t="shared" si="4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5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7</v>
      </c>
      <c r="G65" s="75"/>
      <c r="H65" s="77">
        <f>IFERROR(VLOOKUP(C65,Deaths_since_10!C:G,5,FALSE)-1,0)</f>
        <v>0</v>
      </c>
      <c r="J65" s="68" t="str">
        <f t="shared" si="4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1</v>
      </c>
      <c r="G66" s="75"/>
      <c r="H66" s="77">
        <f>IFERROR(VLOOKUP(C66,Deaths_since_10!C:G,5,FALSE)-1,0)</f>
        <v>0</v>
      </c>
      <c r="I66" s="92"/>
      <c r="J66" s="68" t="str">
        <f t="shared" si="4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567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E4899190-FADD-4A18-82FC-53397F7E3491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T29"/>
  <sheetViews>
    <sheetView zoomScale="70" zoomScaleNormal="70" workbookViewId="0">
      <selection activeCell="X27" sqref="X27"/>
    </sheetView>
  </sheetViews>
  <sheetFormatPr defaultRowHeight="14.4" x14ac:dyDescent="0.3"/>
  <cols>
    <col min="19" max="19" width="11.33203125" bestFit="1" customWidth="1"/>
  </cols>
  <sheetData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50000</v>
      </c>
      <c r="T5">
        <v>1000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30</v>
      </c>
      <c r="T8">
        <v>25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41"/>
  <sheetViews>
    <sheetView workbookViewId="0">
      <pane xSplit="6" ySplit="3" topLeftCell="S4" activePane="bottomRight" state="frozen"/>
      <selection pane="topRight" activeCell="G1" sqref="G1"/>
      <selection pane="bottomLeft" activeCell="A4" sqref="A4"/>
      <selection pane="bottomRight" activeCell="AD7" sqref="AD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43913</v>
      </c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450</v>
      </c>
      <c r="C4" s="21">
        <f>VLOOKUP(B2,Days_Since_100!C:D,2,FALSE)</f>
        <v>43847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21</v>
      </c>
      <c r="F5" s="19" t="s">
        <v>506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13677</v>
      </c>
      <c r="X5" s="40">
        <f>IF(VLOOKUP($B$2,Days_Since_100!$H:$KU,Projections_Data!X$4+2,FALSE)=0,#N/A,VLOOKUP($B$2,Days_Since_100!$H:$KU,Projections_Data!X$4+2,FALSE))</f>
        <v>19100</v>
      </c>
      <c r="Y5" s="40">
        <f>IF(VLOOKUP($B$2,Days_Since_100!$H:$KU,Projections_Data!Y$4+2,FALSE)=0,#N/A,VLOOKUP($B$2,Days_Since_100!$H:$KU,Projections_Data!Y$4+2,FALSE))</f>
        <v>25489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43847</v>
      </c>
      <c r="AB5" s="40" t="e">
        <f>IF(VLOOKUP($B$2,Days_Since_100!$H:$KU,Projections_Data!AB$4+2,FALSE)=0,#N/A,VLOOKUP($B$2,Days_Since_100!$H:$KU,Projections_Data!AB$4+2,FALSE))</f>
        <v>#N/A</v>
      </c>
      <c r="AC5" s="40" t="e">
        <f>IF(VLOOKUP($B$2,Days_Since_100!$H:$KU,Projections_Data!AC$4+2,FALSE)=0,#N/A,VLOOKUP($B$2,Days_Since_100!$H:$KU,Projections_Data!AC$4+2,FALSE))</f>
        <v>#N/A</v>
      </c>
      <c r="AD5" s="40" t="e">
        <f>IF(VLOOKUP($B$2,Days_Since_100!$H:$KU,Projections_Data!AD$4+2,FALSE)=0,#N/A,VLOOKUP($B$2,Days_Since_100!$H:$KU,Projections_Data!AD$4+2,FALSE))</f>
        <v>#N/A</v>
      </c>
      <c r="AE5" s="40" t="e">
        <f>IF(VLOOKUP($B$2,Days_Since_100!$H:$KU,Projections_Data!AE$4+2,FALSE)=0,#N/A,VLOOKUP($B$2,Days_Since_100!$H:$KU,Projections_Data!AE$4+2,FALSE))</f>
        <v>#N/A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507</v>
      </c>
      <c r="C6" s="21">
        <f ca="1">HLOOKUP(C5-1,G4:IN8,5,FALSE)</f>
        <v>41289</v>
      </c>
      <c r="D6" s="42">
        <v>0.02</v>
      </c>
      <c r="F6" s="19" t="s">
        <v>585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 t="e">
        <f ca="1">IF(Projections_Data!AB$4+2-$C$9&lt;2,#N/A,IF(VLOOKUP($B$2,Deaths_since_10!$H:$KU,Projections_Data!AB$4+2-$C$9,FALSE)=0,#N/A,VLOOKUP($B$2,Deaths_since_10!$H:$KU,Projections_Data!AB$4+2-$C$9,FALSE)))</f>
        <v>#N/A</v>
      </c>
      <c r="AC6" s="40" t="e">
        <f ca="1">IF(Projections_Data!AC$4+2-$C$9&lt;2,#N/A,IF(VLOOKUP($B$2,Deaths_since_10!$H:$KU,Projections_Data!AC$4+2-$C$9,FALSE)=0,#N/A,VLOOKUP($B$2,Deaths_since_10!$H:$KU,Projections_Data!AC$4+2-$C$9,FALSE)))</f>
        <v>#N/A</v>
      </c>
      <c r="AD6" s="40" t="e">
        <f ca="1">IF(Projections_Data!AD$4+2-$C$9&lt;2,#N/A,IF(VLOOKUP($B$2,Deaths_since_10!$H:$KU,Projections_Data!AD$4+2-$C$9,FALSE)=0,#N/A,VLOOKUP($B$2,Deaths_since_10!$H:$KU,Projections_Data!AD$4+2-$C$9,FALSE)))</f>
        <v>#N/A</v>
      </c>
      <c r="AE6" s="40" t="e">
        <f ca="1">IF(Projections_Data!AE$4+2-$C$9&lt;2,#N/A,IF(VLOOKUP($B$2,Deaths_since_10!$H:$KU,Projections_Data!AE$4+2-$C$9,FALSE)=0,#N/A,VLOOKUP($B$2,Deaths_since_10!$H:$KU,Projections_Data!AE$4+2-$C$9,FALSE)))</f>
        <v>#N/A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509</v>
      </c>
      <c r="C7" s="21">
        <f ca="1">C4-C6-C8</f>
        <v>2001</v>
      </c>
      <c r="F7" s="19" t="s">
        <v>591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t="shared" ref="Q7" ca="1" si="13">IFERROR((Q5-P5)-(Q6-P6),Q5-P5)</f>
        <v>509</v>
      </c>
      <c r="R7" s="40">
        <f t="shared" ref="R7:T7" ca="1" si="14">IFERROR((R5-Q5)-(R6-Q6),R5-Q5)</f>
        <v>541</v>
      </c>
      <c r="S7" s="40">
        <f t="shared" ca="1" si="14"/>
        <v>763</v>
      </c>
      <c r="T7" s="40">
        <f t="shared" ca="1" si="14"/>
        <v>1111</v>
      </c>
      <c r="U7" s="40">
        <f t="shared" ref="U7" ca="1" si="15">(U5-T5)-(U6-T6)</f>
        <v>1766</v>
      </c>
      <c r="V7" s="40">
        <f t="shared" ref="V7" ca="1" si="16">(V5-U5)-(V6-U6)</f>
        <v>1352</v>
      </c>
      <c r="W7" s="40">
        <f t="shared" ref="W7" ca="1" si="17">(W5-V5)-(W6-V6)</f>
        <v>5812</v>
      </c>
      <c r="X7" s="40">
        <f t="shared" ref="X7" ca="1" si="18">(X5-W5)-(X6-W6)</f>
        <v>5379</v>
      </c>
      <c r="Y7" s="40">
        <f ca="1">(Y5-X5)-(Y6-X6)</f>
        <v>6326</v>
      </c>
      <c r="Z7" s="40">
        <f t="shared" ref="Z7" ca="1" si="19">(Z5-Y5)-(Z6-Y6)</f>
        <v>7677</v>
      </c>
      <c r="AA7" s="40">
        <f t="shared" ref="AA7" ca="1" si="20">(AA5-Z5)-(AA6-Z6)</f>
        <v>10431</v>
      </c>
      <c r="AB7" s="40" t="e">
        <f t="shared" ref="AB7" ca="1" si="21">(AB5-AA5)-(AB6-AA6)</f>
        <v>#N/A</v>
      </c>
      <c r="AC7" s="40" t="e">
        <f t="shared" ref="AC7" ca="1" si="22">(AC5-AB5)-(AC6-AB6)</f>
        <v>#N/A</v>
      </c>
      <c r="AD7" s="40" t="e">
        <f t="shared" ref="AD7" ca="1" si="23">(AD5-AC5)-(AD6-AC6)</f>
        <v>#N/A</v>
      </c>
      <c r="AE7" s="40" t="e">
        <f t="shared" ref="AE7" ca="1" si="24">(AE5-AD5)-(AE6-AD6)</f>
        <v>#N/A</v>
      </c>
      <c r="AF7" s="40" t="e">
        <f t="shared" ref="AF7" ca="1" si="25">(AF5-AE5)-(AF6-AE6)</f>
        <v>#N/A</v>
      </c>
      <c r="AG7" s="40" t="e">
        <f t="shared" ref="AG7" ca="1" si="26">(AG5-AF5)-(AG6-AF6)</f>
        <v>#N/A</v>
      </c>
      <c r="AH7" s="40" t="e">
        <f t="shared" ref="AH7" ca="1" si="27">(AH5-AG5)-(AH6-AG6)</f>
        <v>#N/A</v>
      </c>
      <c r="AI7" s="40" t="e">
        <f t="shared" ref="AI7" ca="1" si="28">(AI5-AH5)-(AI6-AH6)</f>
        <v>#N/A</v>
      </c>
      <c r="AJ7" s="40" t="e">
        <f t="shared" ref="AJ7" ca="1" si="29">(AJ5-AI5)-(AJ6-AI6)</f>
        <v>#N/A</v>
      </c>
      <c r="AK7" s="40" t="e">
        <f t="shared" ref="AK7" ca="1" si="30">(AK5-AJ5)-(AK6-AJ6)</f>
        <v>#N/A</v>
      </c>
      <c r="AL7" s="40" t="e">
        <f t="shared" ref="AL7" ca="1" si="31">(AL5-AK5)-(AL6-AK6)</f>
        <v>#N/A</v>
      </c>
      <c r="AM7" s="40" t="e">
        <f t="shared" ref="AM7" ca="1" si="32">(AM5-AL5)-(AM6-AL6)</f>
        <v>#N/A</v>
      </c>
      <c r="AN7" s="40" t="e">
        <f t="shared" ref="AN7" ca="1" si="33">(AN5-AM5)-(AN6-AM6)</f>
        <v>#N/A</v>
      </c>
      <c r="AO7" s="40" t="e">
        <f t="shared" ref="AO7" ca="1" si="34">(AO5-AN5)-(AO6-AN6)</f>
        <v>#N/A</v>
      </c>
      <c r="AP7" s="40" t="e">
        <f t="shared" ref="AP7" ca="1" si="35">(AP5-AO5)-(AP6-AO6)</f>
        <v>#N/A</v>
      </c>
      <c r="AQ7" s="40" t="e">
        <f t="shared" ref="AQ7" ca="1" si="36">(AQ5-AP5)-(AQ6-AP6)</f>
        <v>#N/A</v>
      </c>
      <c r="AR7" s="40" t="e">
        <f t="shared" ref="AR7" ca="1" si="37">(AR5-AQ5)-(AR6-AQ6)</f>
        <v>#N/A</v>
      </c>
      <c r="AS7" s="40" t="e">
        <f t="shared" ref="AS7" ca="1" si="38">(AS5-AR5)-(AS6-AR6)</f>
        <v>#N/A</v>
      </c>
      <c r="AT7" s="40" t="e">
        <f t="shared" ref="AT7" ca="1" si="39">(AT5-AS5)-(AT6-AS6)</f>
        <v>#N/A</v>
      </c>
      <c r="AU7" s="40" t="e">
        <f t="shared" ref="AU7" ca="1" si="40">(AU5-AT5)-(AU6-AT6)</f>
        <v>#N/A</v>
      </c>
      <c r="AV7" s="40" t="e">
        <f t="shared" ref="AV7" ca="1" si="41">(AV5-AU5)-(AV6-AU6)</f>
        <v>#N/A</v>
      </c>
      <c r="AW7" s="40" t="e">
        <f t="shared" ref="AW7" ca="1" si="42">(AW5-AV5)-(AW6-AV6)</f>
        <v>#N/A</v>
      </c>
      <c r="AX7" s="40" t="e">
        <f t="shared" ref="AX7" ca="1" si="43">(AX5-AW5)-(AX6-AW6)</f>
        <v>#N/A</v>
      </c>
      <c r="AY7" s="40" t="e">
        <f t="shared" ref="AY7" ca="1" si="44">(AY5-AX5)-(AY6-AX6)</f>
        <v>#N/A</v>
      </c>
      <c r="AZ7" s="40" t="e">
        <f t="shared" ref="AZ7" ca="1" si="45">(AZ5-AY5)-(AZ6-AY6)</f>
        <v>#N/A</v>
      </c>
      <c r="BA7" s="40" t="e">
        <f t="shared" ref="BA7" ca="1" si="46">(BA5-AZ5)-(BA6-AZ6)</f>
        <v>#N/A</v>
      </c>
      <c r="BB7" s="40" t="e">
        <f t="shared" ref="BB7" ca="1" si="47">(BB5-BA5)-(BB6-BA6)</f>
        <v>#N/A</v>
      </c>
      <c r="BC7" s="40" t="e">
        <f t="shared" ref="BC7" ca="1" si="48">(BC5-BB5)-(BC6-BB6)</f>
        <v>#N/A</v>
      </c>
      <c r="BD7" s="40" t="e">
        <f t="shared" ref="BD7" ca="1" si="49">(BD5-BC5)-(BD6-BC6)</f>
        <v>#N/A</v>
      </c>
      <c r="BE7" s="40" t="e">
        <f t="shared" ref="BE7" ca="1" si="50">(BE5-BD5)-(BE6-BD6)</f>
        <v>#N/A</v>
      </c>
      <c r="BF7" s="40" t="e">
        <f t="shared" ref="BF7" ca="1" si="51">(BF5-BE5)-(BF6-BE6)</f>
        <v>#N/A</v>
      </c>
      <c r="BG7" s="40" t="e">
        <f t="shared" ref="BG7" ca="1" si="52">(BG5-BF5)-(BG6-BF6)</f>
        <v>#N/A</v>
      </c>
      <c r="BH7" s="40" t="e">
        <f t="shared" ref="BH7" ca="1" si="53">(BH5-BG5)-(BH6-BG6)</f>
        <v>#N/A</v>
      </c>
      <c r="BI7" s="40" t="e">
        <f t="shared" ref="BI7" ca="1" si="54">(BI5-BH5)-(BI6-BH6)</f>
        <v>#N/A</v>
      </c>
      <c r="BJ7" s="40" t="e">
        <f t="shared" ref="BJ7" ca="1" si="55">(BJ5-BI5)-(BJ6-BI6)</f>
        <v>#N/A</v>
      </c>
      <c r="BK7" s="40" t="e">
        <f t="shared" ref="BK7" ca="1" si="56">(BK5-BJ5)-(BK6-BJ6)</f>
        <v>#N/A</v>
      </c>
      <c r="BL7" s="40" t="e">
        <f t="shared" ref="BL7" ca="1" si="57">(BL5-BK5)-(BL6-BK6)</f>
        <v>#N/A</v>
      </c>
      <c r="BM7" s="40" t="e">
        <f t="shared" ref="BM7" ca="1" si="58">(BM5-BL5)-(BM6-BL6)</f>
        <v>#N/A</v>
      </c>
      <c r="BN7" s="40" t="e">
        <f t="shared" ref="BN7" ca="1" si="59">(BN5-BM5)-(BN6-BM6)</f>
        <v>#N/A</v>
      </c>
      <c r="BO7" s="40" t="e">
        <f t="shared" ref="BO7" ca="1" si="60">(BO5-BN5)-(BO6-BN6)</f>
        <v>#N/A</v>
      </c>
      <c r="BP7" s="40" t="e">
        <f t="shared" ref="BP7" ca="1" si="61">(BP5-BO5)-(BP6-BO6)</f>
        <v>#N/A</v>
      </c>
      <c r="BQ7" s="40" t="e">
        <f t="shared" ref="BQ7" ca="1" si="62">(BQ5-BP5)-(BQ6-BP6)</f>
        <v>#N/A</v>
      </c>
      <c r="BR7" s="40" t="e">
        <f t="shared" ref="BR7" ca="1" si="63">(BR5-BQ5)-(BR6-BQ6)</f>
        <v>#N/A</v>
      </c>
      <c r="BS7" s="40" t="e">
        <f t="shared" ref="BS7" ca="1" si="64">(BS5-BR5)-(BS6-BR6)</f>
        <v>#N/A</v>
      </c>
      <c r="BT7" s="40" t="e">
        <f t="shared" ref="BT7" ca="1" si="65">(BT5-BS5)-(BT6-BS6)</f>
        <v>#N/A</v>
      </c>
      <c r="BU7" s="40" t="e">
        <f t="shared" ref="BU7" ca="1" si="66">(BU5-BT5)-(BU6-BT6)</f>
        <v>#N/A</v>
      </c>
      <c r="BV7" s="40" t="e">
        <f t="shared" ref="BU7:EF7" si="67">BV5-BU5</f>
        <v>#N/A</v>
      </c>
      <c r="BW7" s="40" t="e">
        <f t="shared" si="67"/>
        <v>#N/A</v>
      </c>
      <c r="BX7" s="40" t="e">
        <f t="shared" si="67"/>
        <v>#N/A</v>
      </c>
      <c r="BY7" s="40" t="e">
        <f t="shared" si="67"/>
        <v>#N/A</v>
      </c>
      <c r="BZ7" s="40" t="e">
        <f t="shared" si="67"/>
        <v>#N/A</v>
      </c>
      <c r="CA7" s="40" t="e">
        <f t="shared" si="67"/>
        <v>#N/A</v>
      </c>
      <c r="CB7" s="40" t="e">
        <f t="shared" si="67"/>
        <v>#N/A</v>
      </c>
      <c r="CC7" s="40" t="e">
        <f t="shared" si="67"/>
        <v>#N/A</v>
      </c>
      <c r="CD7" s="40" t="e">
        <f t="shared" si="67"/>
        <v>#N/A</v>
      </c>
      <c r="CE7" s="40" t="e">
        <f t="shared" si="67"/>
        <v>#N/A</v>
      </c>
      <c r="CF7" s="40" t="e">
        <f t="shared" si="67"/>
        <v>#N/A</v>
      </c>
      <c r="CG7" s="40" t="e">
        <f t="shared" si="67"/>
        <v>#N/A</v>
      </c>
      <c r="CH7" s="40" t="e">
        <f t="shared" si="67"/>
        <v>#N/A</v>
      </c>
      <c r="CI7" s="40" t="e">
        <f t="shared" si="67"/>
        <v>#N/A</v>
      </c>
      <c r="CJ7" s="40" t="e">
        <f t="shared" si="67"/>
        <v>#N/A</v>
      </c>
      <c r="CK7" s="40" t="e">
        <f t="shared" si="67"/>
        <v>#N/A</v>
      </c>
      <c r="CL7" s="40" t="e">
        <f t="shared" si="67"/>
        <v>#N/A</v>
      </c>
      <c r="CM7" s="40" t="e">
        <f t="shared" si="67"/>
        <v>#N/A</v>
      </c>
      <c r="CN7" s="40" t="e">
        <f t="shared" si="67"/>
        <v>#N/A</v>
      </c>
      <c r="CO7" s="40" t="e">
        <f t="shared" si="67"/>
        <v>#N/A</v>
      </c>
      <c r="CP7" s="40" t="e">
        <f t="shared" si="67"/>
        <v>#N/A</v>
      </c>
      <c r="CQ7" s="40" t="e">
        <f t="shared" si="67"/>
        <v>#N/A</v>
      </c>
      <c r="CR7" s="40" t="e">
        <f t="shared" si="67"/>
        <v>#N/A</v>
      </c>
      <c r="CS7" s="40" t="e">
        <f t="shared" si="67"/>
        <v>#N/A</v>
      </c>
      <c r="CT7" s="40" t="e">
        <f t="shared" si="67"/>
        <v>#N/A</v>
      </c>
      <c r="CU7" s="40" t="e">
        <f t="shared" si="67"/>
        <v>#N/A</v>
      </c>
      <c r="CV7" s="40" t="e">
        <f t="shared" si="67"/>
        <v>#N/A</v>
      </c>
      <c r="CW7" s="40" t="e">
        <f t="shared" si="67"/>
        <v>#N/A</v>
      </c>
      <c r="CX7" s="40" t="e">
        <f t="shared" si="67"/>
        <v>#N/A</v>
      </c>
      <c r="CY7" s="40" t="e">
        <f t="shared" si="67"/>
        <v>#N/A</v>
      </c>
      <c r="CZ7" s="40" t="e">
        <f t="shared" si="67"/>
        <v>#N/A</v>
      </c>
      <c r="DA7" s="40" t="e">
        <f t="shared" si="67"/>
        <v>#N/A</v>
      </c>
      <c r="DB7" s="40" t="e">
        <f t="shared" si="67"/>
        <v>#N/A</v>
      </c>
      <c r="DC7" s="40" t="e">
        <f t="shared" si="67"/>
        <v>#N/A</v>
      </c>
      <c r="DD7" s="40" t="e">
        <f t="shared" si="67"/>
        <v>#N/A</v>
      </c>
      <c r="DE7" s="40" t="e">
        <f t="shared" si="67"/>
        <v>#N/A</v>
      </c>
      <c r="DF7" s="40" t="e">
        <f t="shared" si="67"/>
        <v>#N/A</v>
      </c>
      <c r="DG7" s="40" t="e">
        <f t="shared" si="67"/>
        <v>#N/A</v>
      </c>
      <c r="DH7" s="40" t="e">
        <f t="shared" si="67"/>
        <v>#N/A</v>
      </c>
      <c r="DI7" s="40" t="e">
        <f t="shared" si="67"/>
        <v>#N/A</v>
      </c>
      <c r="DJ7" s="40" t="e">
        <f t="shared" si="67"/>
        <v>#N/A</v>
      </c>
      <c r="DK7" s="40" t="e">
        <f t="shared" si="67"/>
        <v>#N/A</v>
      </c>
      <c r="DL7" s="40" t="e">
        <f t="shared" si="67"/>
        <v>#N/A</v>
      </c>
      <c r="DM7" s="40" t="e">
        <f t="shared" si="67"/>
        <v>#N/A</v>
      </c>
      <c r="DN7" s="40" t="e">
        <f t="shared" si="67"/>
        <v>#N/A</v>
      </c>
      <c r="DO7" s="40" t="e">
        <f t="shared" si="67"/>
        <v>#N/A</v>
      </c>
      <c r="DP7" s="40" t="e">
        <f t="shared" si="67"/>
        <v>#N/A</v>
      </c>
      <c r="DQ7" s="40" t="e">
        <f t="shared" si="67"/>
        <v>#N/A</v>
      </c>
      <c r="DR7" s="40" t="e">
        <f t="shared" si="67"/>
        <v>#N/A</v>
      </c>
      <c r="DS7" s="40" t="e">
        <f t="shared" si="67"/>
        <v>#N/A</v>
      </c>
      <c r="DT7" s="40" t="e">
        <f t="shared" si="67"/>
        <v>#N/A</v>
      </c>
      <c r="DU7" s="40" t="e">
        <f t="shared" si="67"/>
        <v>#N/A</v>
      </c>
      <c r="DV7" s="40" t="e">
        <f t="shared" si="67"/>
        <v>#N/A</v>
      </c>
      <c r="DW7" s="40" t="e">
        <f t="shared" si="67"/>
        <v>#N/A</v>
      </c>
      <c r="DX7" s="40" t="e">
        <f t="shared" si="67"/>
        <v>#N/A</v>
      </c>
      <c r="DY7" s="40" t="e">
        <f t="shared" si="67"/>
        <v>#N/A</v>
      </c>
      <c r="DZ7" s="40" t="e">
        <f t="shared" si="67"/>
        <v>#N/A</v>
      </c>
      <c r="EA7" s="40" t="e">
        <f t="shared" si="67"/>
        <v>#N/A</v>
      </c>
      <c r="EB7" s="40" t="e">
        <f t="shared" si="67"/>
        <v>#N/A</v>
      </c>
      <c r="EC7" s="40" t="e">
        <f t="shared" si="67"/>
        <v>#N/A</v>
      </c>
      <c r="ED7" s="40" t="e">
        <f t="shared" si="67"/>
        <v>#N/A</v>
      </c>
      <c r="EE7" s="40" t="e">
        <f t="shared" si="67"/>
        <v>#N/A</v>
      </c>
      <c r="EF7" s="40" t="e">
        <f t="shared" si="67"/>
        <v>#N/A</v>
      </c>
      <c r="EG7" s="40" t="e">
        <f t="shared" ref="EG7:GR7" si="68">EG5-EF5</f>
        <v>#N/A</v>
      </c>
      <c r="EH7" s="40" t="e">
        <f t="shared" si="68"/>
        <v>#N/A</v>
      </c>
      <c r="EI7" s="40" t="e">
        <f t="shared" si="68"/>
        <v>#N/A</v>
      </c>
      <c r="EJ7" s="40" t="e">
        <f t="shared" si="68"/>
        <v>#N/A</v>
      </c>
      <c r="EK7" s="40" t="e">
        <f t="shared" si="68"/>
        <v>#N/A</v>
      </c>
      <c r="EL7" s="40" t="e">
        <f t="shared" si="68"/>
        <v>#N/A</v>
      </c>
      <c r="EM7" s="40" t="e">
        <f t="shared" si="68"/>
        <v>#N/A</v>
      </c>
      <c r="EN7" s="40" t="e">
        <f t="shared" si="68"/>
        <v>#N/A</v>
      </c>
      <c r="EO7" s="40" t="e">
        <f t="shared" si="68"/>
        <v>#N/A</v>
      </c>
      <c r="EP7" s="40" t="e">
        <f t="shared" si="68"/>
        <v>#N/A</v>
      </c>
      <c r="EQ7" s="40" t="e">
        <f t="shared" si="68"/>
        <v>#N/A</v>
      </c>
      <c r="ER7" s="40" t="e">
        <f t="shared" si="68"/>
        <v>#N/A</v>
      </c>
      <c r="ES7" s="40" t="e">
        <f t="shared" si="68"/>
        <v>#N/A</v>
      </c>
      <c r="ET7" s="40" t="e">
        <f t="shared" si="68"/>
        <v>#N/A</v>
      </c>
      <c r="EU7" s="40" t="e">
        <f t="shared" si="68"/>
        <v>#N/A</v>
      </c>
      <c r="EV7" s="40" t="e">
        <f t="shared" si="68"/>
        <v>#N/A</v>
      </c>
      <c r="EW7" s="40" t="e">
        <f t="shared" si="68"/>
        <v>#N/A</v>
      </c>
      <c r="EX7" s="40" t="e">
        <f t="shared" si="68"/>
        <v>#N/A</v>
      </c>
      <c r="EY7" s="40" t="e">
        <f t="shared" si="68"/>
        <v>#N/A</v>
      </c>
      <c r="EZ7" s="40" t="e">
        <f t="shared" si="68"/>
        <v>#N/A</v>
      </c>
      <c r="FA7" s="40" t="e">
        <f t="shared" si="68"/>
        <v>#N/A</v>
      </c>
      <c r="FB7" s="40" t="e">
        <f t="shared" si="68"/>
        <v>#N/A</v>
      </c>
      <c r="FC7" s="40" t="e">
        <f t="shared" si="68"/>
        <v>#N/A</v>
      </c>
      <c r="FD7" s="40" t="e">
        <f t="shared" si="68"/>
        <v>#N/A</v>
      </c>
      <c r="FE7" s="40" t="e">
        <f t="shared" si="68"/>
        <v>#N/A</v>
      </c>
      <c r="FF7" s="40" t="e">
        <f t="shared" si="68"/>
        <v>#N/A</v>
      </c>
      <c r="FG7" s="40" t="e">
        <f t="shared" si="68"/>
        <v>#N/A</v>
      </c>
      <c r="FH7" s="40" t="e">
        <f t="shared" si="68"/>
        <v>#N/A</v>
      </c>
      <c r="FI7" s="40" t="e">
        <f t="shared" si="68"/>
        <v>#N/A</v>
      </c>
      <c r="FJ7" s="40" t="e">
        <f t="shared" si="68"/>
        <v>#N/A</v>
      </c>
      <c r="FK7" s="40" t="e">
        <f t="shared" si="68"/>
        <v>#N/A</v>
      </c>
      <c r="FL7" s="40" t="e">
        <f t="shared" si="68"/>
        <v>#N/A</v>
      </c>
      <c r="FM7" s="40" t="e">
        <f t="shared" si="68"/>
        <v>#N/A</v>
      </c>
      <c r="FN7" s="40" t="e">
        <f t="shared" si="68"/>
        <v>#N/A</v>
      </c>
      <c r="FO7" s="40" t="e">
        <f t="shared" si="68"/>
        <v>#N/A</v>
      </c>
      <c r="FP7" s="40" t="e">
        <f t="shared" si="68"/>
        <v>#N/A</v>
      </c>
      <c r="FQ7" s="40" t="e">
        <f t="shared" si="68"/>
        <v>#N/A</v>
      </c>
      <c r="FR7" s="40" t="e">
        <f t="shared" si="68"/>
        <v>#N/A</v>
      </c>
      <c r="FS7" s="40" t="e">
        <f t="shared" si="68"/>
        <v>#N/A</v>
      </c>
      <c r="FT7" s="40" t="e">
        <f t="shared" si="68"/>
        <v>#N/A</v>
      </c>
      <c r="FU7" s="40" t="e">
        <f t="shared" si="68"/>
        <v>#N/A</v>
      </c>
      <c r="FV7" s="40" t="e">
        <f t="shared" si="68"/>
        <v>#N/A</v>
      </c>
      <c r="FW7" s="40" t="e">
        <f t="shared" si="68"/>
        <v>#N/A</v>
      </c>
      <c r="FX7" s="40" t="e">
        <f t="shared" si="68"/>
        <v>#N/A</v>
      </c>
      <c r="FY7" s="40" t="e">
        <f t="shared" si="68"/>
        <v>#N/A</v>
      </c>
      <c r="FZ7" s="40" t="e">
        <f t="shared" si="68"/>
        <v>#N/A</v>
      </c>
      <c r="GA7" s="40" t="e">
        <f t="shared" si="68"/>
        <v>#N/A</v>
      </c>
      <c r="GB7" s="40" t="e">
        <f t="shared" si="68"/>
        <v>#N/A</v>
      </c>
      <c r="GC7" s="40" t="e">
        <f t="shared" si="68"/>
        <v>#N/A</v>
      </c>
      <c r="GD7" s="40" t="e">
        <f t="shared" si="68"/>
        <v>#N/A</v>
      </c>
      <c r="GE7" s="40" t="e">
        <f t="shared" si="68"/>
        <v>#N/A</v>
      </c>
      <c r="GF7" s="40" t="e">
        <f t="shared" si="68"/>
        <v>#N/A</v>
      </c>
      <c r="GG7" s="40" t="e">
        <f t="shared" si="68"/>
        <v>#N/A</v>
      </c>
      <c r="GH7" s="40" t="e">
        <f t="shared" si="68"/>
        <v>#N/A</v>
      </c>
      <c r="GI7" s="40" t="e">
        <f t="shared" si="68"/>
        <v>#N/A</v>
      </c>
      <c r="GJ7" s="40" t="e">
        <f t="shared" si="68"/>
        <v>#N/A</v>
      </c>
      <c r="GK7" s="40" t="e">
        <f t="shared" si="68"/>
        <v>#N/A</v>
      </c>
      <c r="GL7" s="40" t="e">
        <f t="shared" si="68"/>
        <v>#N/A</v>
      </c>
      <c r="GM7" s="40" t="e">
        <f t="shared" si="68"/>
        <v>#N/A</v>
      </c>
      <c r="GN7" s="40" t="e">
        <f t="shared" si="68"/>
        <v>#N/A</v>
      </c>
      <c r="GO7" s="40" t="e">
        <f t="shared" si="68"/>
        <v>#N/A</v>
      </c>
      <c r="GP7" s="40" t="e">
        <f t="shared" si="68"/>
        <v>#N/A</v>
      </c>
      <c r="GQ7" s="40" t="e">
        <f t="shared" si="68"/>
        <v>#N/A</v>
      </c>
      <c r="GR7" s="40" t="e">
        <f t="shared" si="68"/>
        <v>#N/A</v>
      </c>
      <c r="GS7" s="40" t="e">
        <f t="shared" ref="GS7:IN7" si="69">GS5-GR5</f>
        <v>#N/A</v>
      </c>
      <c r="GT7" s="40" t="e">
        <f t="shared" si="69"/>
        <v>#N/A</v>
      </c>
      <c r="GU7" s="40" t="e">
        <f t="shared" si="69"/>
        <v>#N/A</v>
      </c>
      <c r="GV7" s="40" t="e">
        <f t="shared" si="69"/>
        <v>#N/A</v>
      </c>
      <c r="GW7" s="40" t="e">
        <f t="shared" si="69"/>
        <v>#N/A</v>
      </c>
      <c r="GX7" s="40" t="e">
        <f t="shared" si="69"/>
        <v>#N/A</v>
      </c>
      <c r="GY7" s="40" t="e">
        <f t="shared" si="69"/>
        <v>#N/A</v>
      </c>
      <c r="GZ7" s="40" t="e">
        <f t="shared" si="69"/>
        <v>#N/A</v>
      </c>
      <c r="HA7" s="40" t="e">
        <f t="shared" si="69"/>
        <v>#N/A</v>
      </c>
      <c r="HB7" s="40" t="e">
        <f t="shared" si="69"/>
        <v>#N/A</v>
      </c>
      <c r="HC7" s="40" t="e">
        <f t="shared" si="69"/>
        <v>#N/A</v>
      </c>
      <c r="HD7" s="40" t="e">
        <f t="shared" si="69"/>
        <v>#N/A</v>
      </c>
      <c r="HE7" s="40" t="e">
        <f t="shared" si="69"/>
        <v>#N/A</v>
      </c>
      <c r="HF7" s="40" t="e">
        <f t="shared" si="69"/>
        <v>#N/A</v>
      </c>
      <c r="HG7" s="40" t="e">
        <f t="shared" si="69"/>
        <v>#N/A</v>
      </c>
      <c r="HH7" s="40" t="e">
        <f t="shared" si="69"/>
        <v>#N/A</v>
      </c>
      <c r="HI7" s="40" t="e">
        <f t="shared" si="69"/>
        <v>#N/A</v>
      </c>
      <c r="HJ7" s="40" t="e">
        <f t="shared" si="69"/>
        <v>#N/A</v>
      </c>
      <c r="HK7" s="40" t="e">
        <f t="shared" si="69"/>
        <v>#N/A</v>
      </c>
      <c r="HL7" s="40" t="e">
        <f t="shared" si="69"/>
        <v>#N/A</v>
      </c>
      <c r="HM7" s="40" t="e">
        <f t="shared" si="69"/>
        <v>#N/A</v>
      </c>
      <c r="HN7" s="40" t="e">
        <f t="shared" si="69"/>
        <v>#N/A</v>
      </c>
      <c r="HO7" s="40" t="e">
        <f t="shared" si="69"/>
        <v>#N/A</v>
      </c>
      <c r="HP7" s="40" t="e">
        <f t="shared" si="69"/>
        <v>#N/A</v>
      </c>
      <c r="HQ7" s="40" t="e">
        <f t="shared" si="69"/>
        <v>#N/A</v>
      </c>
      <c r="HR7" s="40" t="e">
        <f t="shared" si="69"/>
        <v>#N/A</v>
      </c>
      <c r="HS7" s="40" t="e">
        <f t="shared" si="69"/>
        <v>#N/A</v>
      </c>
      <c r="HT7" s="40" t="e">
        <f t="shared" si="69"/>
        <v>#N/A</v>
      </c>
      <c r="HU7" s="40" t="e">
        <f t="shared" si="69"/>
        <v>#N/A</v>
      </c>
      <c r="HV7" s="40" t="e">
        <f t="shared" si="69"/>
        <v>#N/A</v>
      </c>
      <c r="HW7" s="40" t="e">
        <f t="shared" si="69"/>
        <v>#N/A</v>
      </c>
      <c r="HX7" s="40" t="e">
        <f t="shared" si="69"/>
        <v>#N/A</v>
      </c>
      <c r="HY7" s="40" t="e">
        <f t="shared" si="69"/>
        <v>#N/A</v>
      </c>
      <c r="HZ7" s="40" t="e">
        <f t="shared" si="69"/>
        <v>#N/A</v>
      </c>
      <c r="IA7" s="40" t="e">
        <f t="shared" si="69"/>
        <v>#N/A</v>
      </c>
      <c r="IB7" s="40" t="e">
        <f t="shared" si="69"/>
        <v>#N/A</v>
      </c>
      <c r="IC7" s="40" t="e">
        <f t="shared" si="69"/>
        <v>#N/A</v>
      </c>
      <c r="ID7" s="40" t="e">
        <f t="shared" si="69"/>
        <v>#N/A</v>
      </c>
      <c r="IE7" s="40" t="e">
        <f t="shared" si="69"/>
        <v>#N/A</v>
      </c>
      <c r="IF7" s="40" t="e">
        <f t="shared" si="69"/>
        <v>#N/A</v>
      </c>
      <c r="IG7" s="40" t="e">
        <f t="shared" si="69"/>
        <v>#N/A</v>
      </c>
      <c r="IH7" s="40" t="e">
        <f t="shared" si="69"/>
        <v>#N/A</v>
      </c>
      <c r="II7" s="40" t="e">
        <f t="shared" si="69"/>
        <v>#N/A</v>
      </c>
      <c r="IJ7" s="40" t="e">
        <f t="shared" si="69"/>
        <v>#N/A</v>
      </c>
      <c r="IK7" s="40" t="e">
        <f t="shared" si="69"/>
        <v>#N/A</v>
      </c>
      <c r="IL7" s="40" t="e">
        <f t="shared" si="69"/>
        <v>#N/A</v>
      </c>
      <c r="IM7" s="40" t="e">
        <f t="shared" si="69"/>
        <v>#N/A</v>
      </c>
      <c r="IN7" s="40" t="e">
        <f t="shared" si="69"/>
        <v>#N/A</v>
      </c>
    </row>
    <row r="8" spans="2:248" x14ac:dyDescent="0.3">
      <c r="B8" s="19" t="s">
        <v>510</v>
      </c>
      <c r="C8" s="21">
        <f>VLOOKUP(B2,Country_Data!C:G,5,FALSE)</f>
        <v>557</v>
      </c>
      <c r="F8" s="19" t="s">
        <v>507</v>
      </c>
      <c r="G8" s="40">
        <f>G5</f>
        <v>118</v>
      </c>
      <c r="H8" s="40">
        <f ca="1">SUM($G$7:H7)</f>
        <v>149</v>
      </c>
      <c r="I8" s="40">
        <f ca="1">SUM($G$7:I7)</f>
        <v>216</v>
      </c>
      <c r="J8" s="40">
        <f ca="1">SUM($G$7:J7)</f>
        <v>259</v>
      </c>
      <c r="K8" s="40">
        <f ca="1">SUM($G$7:K7)</f>
        <v>396</v>
      </c>
      <c r="L8" s="40">
        <f ca="1">SUM($G$7:L7)</f>
        <v>508</v>
      </c>
      <c r="M8" s="40">
        <f ca="1">SUM($G$7:M7)</f>
        <v>572</v>
      </c>
      <c r="N8" s="40">
        <f ca="1">SUM($G$7:N7)</f>
        <v>942</v>
      </c>
      <c r="O8" s="40">
        <f ca="1">SUM($G$7:O7)</f>
        <v>1256</v>
      </c>
      <c r="P8" s="40">
        <f ca="1">SUM($G$7:P7)</f>
        <v>1634</v>
      </c>
      <c r="Q8" s="40">
        <f ca="1">SUM($G$7:Q7)</f>
        <v>2143</v>
      </c>
      <c r="R8" s="40">
        <f ca="1">SUM(H7:R7)-G7</f>
        <v>2448</v>
      </c>
      <c r="S8" s="40">
        <f t="shared" ref="S8:CD8" ca="1" si="70">SUM(I7:S7)-H7</f>
        <v>3267</v>
      </c>
      <c r="T8" s="40">
        <f t="shared" ca="1" si="70"/>
        <v>4275</v>
      </c>
      <c r="U8" s="40">
        <f t="shared" ca="1" si="70"/>
        <v>6022</v>
      </c>
      <c r="V8" s="40">
        <f t="shared" ca="1" si="70"/>
        <v>7143</v>
      </c>
      <c r="W8" s="40">
        <f t="shared" ca="1" si="70"/>
        <v>12868</v>
      </c>
      <c r="X8" s="40">
        <f t="shared" ca="1" si="70"/>
        <v>18231</v>
      </c>
      <c r="Y8" s="40">
        <f t="shared" ca="1" si="70"/>
        <v>23881</v>
      </c>
      <c r="Z8" s="40">
        <f t="shared" ca="1" si="70"/>
        <v>31300</v>
      </c>
      <c r="AA8" s="40">
        <f t="shared" ca="1" si="70"/>
        <v>41289</v>
      </c>
      <c r="AB8" s="40" t="e">
        <f t="shared" ca="1" si="70"/>
        <v>#N/A</v>
      </c>
      <c r="AC8" s="40" t="e">
        <f t="shared" ca="1" si="70"/>
        <v>#N/A</v>
      </c>
      <c r="AD8" s="40" t="e">
        <f t="shared" ca="1" si="70"/>
        <v>#N/A</v>
      </c>
      <c r="AE8" s="40" t="e">
        <f t="shared" ca="1" si="70"/>
        <v>#N/A</v>
      </c>
      <c r="AF8" s="40" t="e">
        <f t="shared" ca="1" si="70"/>
        <v>#N/A</v>
      </c>
      <c r="AG8" s="40" t="e">
        <f t="shared" ca="1" si="70"/>
        <v>#N/A</v>
      </c>
      <c r="AH8" s="40" t="e">
        <f t="shared" ca="1" si="70"/>
        <v>#N/A</v>
      </c>
      <c r="AI8" s="40" t="e">
        <f t="shared" ca="1" si="70"/>
        <v>#N/A</v>
      </c>
      <c r="AJ8" s="40" t="e">
        <f t="shared" ca="1" si="70"/>
        <v>#N/A</v>
      </c>
      <c r="AK8" s="40" t="e">
        <f t="shared" ca="1" si="70"/>
        <v>#N/A</v>
      </c>
      <c r="AL8" s="40" t="e">
        <f t="shared" ca="1" si="70"/>
        <v>#N/A</v>
      </c>
      <c r="AM8" s="40" t="e">
        <f t="shared" ca="1" si="70"/>
        <v>#N/A</v>
      </c>
      <c r="AN8" s="40" t="e">
        <f t="shared" ca="1" si="70"/>
        <v>#N/A</v>
      </c>
      <c r="AO8" s="40" t="e">
        <f t="shared" ca="1" si="70"/>
        <v>#N/A</v>
      </c>
      <c r="AP8" s="40" t="e">
        <f t="shared" ca="1" si="70"/>
        <v>#N/A</v>
      </c>
      <c r="AQ8" s="40" t="e">
        <f t="shared" ca="1" si="70"/>
        <v>#N/A</v>
      </c>
      <c r="AR8" s="40" t="e">
        <f t="shared" ca="1" si="70"/>
        <v>#N/A</v>
      </c>
      <c r="AS8" s="40" t="e">
        <f t="shared" ca="1" si="70"/>
        <v>#N/A</v>
      </c>
      <c r="AT8" s="40" t="e">
        <f t="shared" ca="1" si="70"/>
        <v>#N/A</v>
      </c>
      <c r="AU8" s="40" t="e">
        <f t="shared" ca="1" si="70"/>
        <v>#N/A</v>
      </c>
      <c r="AV8" s="40" t="e">
        <f t="shared" ca="1" si="70"/>
        <v>#N/A</v>
      </c>
      <c r="AW8" s="40" t="e">
        <f t="shared" ca="1" si="70"/>
        <v>#N/A</v>
      </c>
      <c r="AX8" s="40" t="e">
        <f t="shared" ca="1" si="70"/>
        <v>#N/A</v>
      </c>
      <c r="AY8" s="40" t="e">
        <f t="shared" ca="1" si="70"/>
        <v>#N/A</v>
      </c>
      <c r="AZ8" s="40" t="e">
        <f t="shared" ca="1" si="70"/>
        <v>#N/A</v>
      </c>
      <c r="BA8" s="40" t="e">
        <f t="shared" ca="1" si="70"/>
        <v>#N/A</v>
      </c>
      <c r="BB8" s="40" t="e">
        <f t="shared" ca="1" si="70"/>
        <v>#N/A</v>
      </c>
      <c r="BC8" s="40" t="e">
        <f t="shared" ca="1" si="70"/>
        <v>#N/A</v>
      </c>
      <c r="BD8" s="40" t="e">
        <f t="shared" ca="1" si="70"/>
        <v>#N/A</v>
      </c>
      <c r="BE8" s="40" t="e">
        <f t="shared" ca="1" si="70"/>
        <v>#N/A</v>
      </c>
      <c r="BF8" s="40" t="e">
        <f t="shared" ca="1" si="70"/>
        <v>#N/A</v>
      </c>
      <c r="BG8" s="40" t="e">
        <f t="shared" ca="1" si="70"/>
        <v>#N/A</v>
      </c>
      <c r="BH8" s="40" t="e">
        <f t="shared" ca="1" si="70"/>
        <v>#N/A</v>
      </c>
      <c r="BI8" s="40" t="e">
        <f t="shared" ca="1" si="70"/>
        <v>#N/A</v>
      </c>
      <c r="BJ8" s="40" t="e">
        <f t="shared" ca="1" si="70"/>
        <v>#N/A</v>
      </c>
      <c r="BK8" s="40" t="e">
        <f t="shared" ca="1" si="70"/>
        <v>#N/A</v>
      </c>
      <c r="BL8" s="40" t="e">
        <f t="shared" ca="1" si="70"/>
        <v>#N/A</v>
      </c>
      <c r="BM8" s="40" t="e">
        <f t="shared" ca="1" si="70"/>
        <v>#N/A</v>
      </c>
      <c r="BN8" s="40" t="e">
        <f t="shared" ca="1" si="70"/>
        <v>#N/A</v>
      </c>
      <c r="BO8" s="40" t="e">
        <f t="shared" ca="1" si="70"/>
        <v>#N/A</v>
      </c>
      <c r="BP8" s="40" t="e">
        <f t="shared" ca="1" si="70"/>
        <v>#N/A</v>
      </c>
      <c r="BQ8" s="40" t="e">
        <f t="shared" ca="1" si="70"/>
        <v>#N/A</v>
      </c>
      <c r="BR8" s="40" t="e">
        <f t="shared" ca="1" si="70"/>
        <v>#N/A</v>
      </c>
      <c r="BS8" s="40" t="e">
        <f t="shared" ca="1" si="70"/>
        <v>#N/A</v>
      </c>
      <c r="BT8" s="40" t="e">
        <f t="shared" ca="1" si="70"/>
        <v>#N/A</v>
      </c>
      <c r="BU8" s="40" t="e">
        <f t="shared" ca="1" si="70"/>
        <v>#N/A</v>
      </c>
      <c r="BV8" s="40" t="e">
        <f t="shared" ca="1" si="70"/>
        <v>#N/A</v>
      </c>
      <c r="BW8" s="40" t="e">
        <f t="shared" ca="1" si="70"/>
        <v>#N/A</v>
      </c>
      <c r="BX8" s="40" t="e">
        <f t="shared" ca="1" si="70"/>
        <v>#N/A</v>
      </c>
      <c r="BY8" s="40" t="e">
        <f t="shared" ca="1" si="70"/>
        <v>#N/A</v>
      </c>
      <c r="BZ8" s="40" t="e">
        <f t="shared" ca="1" si="70"/>
        <v>#N/A</v>
      </c>
      <c r="CA8" s="40" t="e">
        <f t="shared" ca="1" si="70"/>
        <v>#N/A</v>
      </c>
      <c r="CB8" s="40" t="e">
        <f t="shared" ca="1" si="70"/>
        <v>#N/A</v>
      </c>
      <c r="CC8" s="40" t="e">
        <f t="shared" ca="1" si="70"/>
        <v>#N/A</v>
      </c>
      <c r="CD8" s="40" t="e">
        <f t="shared" ca="1" si="70"/>
        <v>#N/A</v>
      </c>
      <c r="CE8" s="40" t="e">
        <f t="shared" ref="CE8:EP8" ca="1" si="71">SUM(BU7:CE7)-BT7</f>
        <v>#N/A</v>
      </c>
      <c r="CF8" s="40" t="e">
        <f t="shared" ca="1" si="71"/>
        <v>#N/A</v>
      </c>
      <c r="CG8" s="40" t="e">
        <f t="shared" si="71"/>
        <v>#N/A</v>
      </c>
      <c r="CH8" s="40" t="e">
        <f t="shared" si="71"/>
        <v>#N/A</v>
      </c>
      <c r="CI8" s="40" t="e">
        <f t="shared" si="71"/>
        <v>#N/A</v>
      </c>
      <c r="CJ8" s="40" t="e">
        <f t="shared" si="71"/>
        <v>#N/A</v>
      </c>
      <c r="CK8" s="40" t="e">
        <f t="shared" si="71"/>
        <v>#N/A</v>
      </c>
      <c r="CL8" s="40" t="e">
        <f t="shared" si="71"/>
        <v>#N/A</v>
      </c>
      <c r="CM8" s="40" t="e">
        <f t="shared" si="71"/>
        <v>#N/A</v>
      </c>
      <c r="CN8" s="40" t="e">
        <f t="shared" si="71"/>
        <v>#N/A</v>
      </c>
      <c r="CO8" s="40" t="e">
        <f t="shared" si="71"/>
        <v>#N/A</v>
      </c>
      <c r="CP8" s="40" t="e">
        <f t="shared" si="71"/>
        <v>#N/A</v>
      </c>
      <c r="CQ8" s="40" t="e">
        <f t="shared" si="71"/>
        <v>#N/A</v>
      </c>
      <c r="CR8" s="40" t="e">
        <f t="shared" si="71"/>
        <v>#N/A</v>
      </c>
      <c r="CS8" s="40" t="e">
        <f t="shared" si="71"/>
        <v>#N/A</v>
      </c>
      <c r="CT8" s="40" t="e">
        <f t="shared" si="71"/>
        <v>#N/A</v>
      </c>
      <c r="CU8" s="40" t="e">
        <f t="shared" si="71"/>
        <v>#N/A</v>
      </c>
      <c r="CV8" s="40" t="e">
        <f t="shared" si="71"/>
        <v>#N/A</v>
      </c>
      <c r="CW8" s="40" t="e">
        <f t="shared" si="71"/>
        <v>#N/A</v>
      </c>
      <c r="CX8" s="40" t="e">
        <f t="shared" si="71"/>
        <v>#N/A</v>
      </c>
      <c r="CY8" s="40" t="e">
        <f t="shared" si="71"/>
        <v>#N/A</v>
      </c>
      <c r="CZ8" s="40" t="e">
        <f t="shared" si="71"/>
        <v>#N/A</v>
      </c>
      <c r="DA8" s="40" t="e">
        <f t="shared" si="71"/>
        <v>#N/A</v>
      </c>
      <c r="DB8" s="40" t="e">
        <f t="shared" si="71"/>
        <v>#N/A</v>
      </c>
      <c r="DC8" s="40" t="e">
        <f t="shared" si="71"/>
        <v>#N/A</v>
      </c>
      <c r="DD8" s="40" t="e">
        <f t="shared" si="71"/>
        <v>#N/A</v>
      </c>
      <c r="DE8" s="40" t="e">
        <f t="shared" si="71"/>
        <v>#N/A</v>
      </c>
      <c r="DF8" s="40" t="e">
        <f t="shared" si="71"/>
        <v>#N/A</v>
      </c>
      <c r="DG8" s="40" t="e">
        <f t="shared" si="71"/>
        <v>#N/A</v>
      </c>
      <c r="DH8" s="40" t="e">
        <f t="shared" si="71"/>
        <v>#N/A</v>
      </c>
      <c r="DI8" s="40" t="e">
        <f t="shared" si="71"/>
        <v>#N/A</v>
      </c>
      <c r="DJ8" s="40" t="e">
        <f t="shared" si="71"/>
        <v>#N/A</v>
      </c>
      <c r="DK8" s="40" t="e">
        <f t="shared" si="71"/>
        <v>#N/A</v>
      </c>
      <c r="DL8" s="40" t="e">
        <f t="shared" si="71"/>
        <v>#N/A</v>
      </c>
      <c r="DM8" s="40" t="e">
        <f t="shared" si="71"/>
        <v>#N/A</v>
      </c>
      <c r="DN8" s="40" t="e">
        <f t="shared" si="71"/>
        <v>#N/A</v>
      </c>
      <c r="DO8" s="40" t="e">
        <f t="shared" si="71"/>
        <v>#N/A</v>
      </c>
      <c r="DP8" s="40" t="e">
        <f t="shared" si="71"/>
        <v>#N/A</v>
      </c>
      <c r="DQ8" s="40" t="e">
        <f t="shared" si="71"/>
        <v>#N/A</v>
      </c>
      <c r="DR8" s="40" t="e">
        <f t="shared" si="71"/>
        <v>#N/A</v>
      </c>
      <c r="DS8" s="40" t="e">
        <f t="shared" si="71"/>
        <v>#N/A</v>
      </c>
      <c r="DT8" s="40" t="e">
        <f t="shared" si="71"/>
        <v>#N/A</v>
      </c>
      <c r="DU8" s="40" t="e">
        <f t="shared" si="71"/>
        <v>#N/A</v>
      </c>
      <c r="DV8" s="40" t="e">
        <f t="shared" si="71"/>
        <v>#N/A</v>
      </c>
      <c r="DW8" s="40" t="e">
        <f t="shared" si="71"/>
        <v>#N/A</v>
      </c>
      <c r="DX8" s="40" t="e">
        <f t="shared" si="71"/>
        <v>#N/A</v>
      </c>
      <c r="DY8" s="40" t="e">
        <f t="shared" si="71"/>
        <v>#N/A</v>
      </c>
      <c r="DZ8" s="40" t="e">
        <f t="shared" si="71"/>
        <v>#N/A</v>
      </c>
      <c r="EA8" s="40" t="e">
        <f t="shared" si="71"/>
        <v>#N/A</v>
      </c>
      <c r="EB8" s="40" t="e">
        <f t="shared" si="71"/>
        <v>#N/A</v>
      </c>
      <c r="EC8" s="40" t="e">
        <f t="shared" si="71"/>
        <v>#N/A</v>
      </c>
      <c r="ED8" s="40" t="e">
        <f t="shared" si="71"/>
        <v>#N/A</v>
      </c>
      <c r="EE8" s="40" t="e">
        <f t="shared" si="71"/>
        <v>#N/A</v>
      </c>
      <c r="EF8" s="40" t="e">
        <f t="shared" si="71"/>
        <v>#N/A</v>
      </c>
      <c r="EG8" s="40" t="e">
        <f t="shared" si="71"/>
        <v>#N/A</v>
      </c>
      <c r="EH8" s="40" t="e">
        <f t="shared" si="71"/>
        <v>#N/A</v>
      </c>
      <c r="EI8" s="40" t="e">
        <f t="shared" si="71"/>
        <v>#N/A</v>
      </c>
      <c r="EJ8" s="40" t="e">
        <f t="shared" si="71"/>
        <v>#N/A</v>
      </c>
      <c r="EK8" s="40" t="e">
        <f t="shared" si="71"/>
        <v>#N/A</v>
      </c>
      <c r="EL8" s="40" t="e">
        <f t="shared" si="71"/>
        <v>#N/A</v>
      </c>
      <c r="EM8" s="40" t="e">
        <f t="shared" si="71"/>
        <v>#N/A</v>
      </c>
      <c r="EN8" s="40" t="e">
        <f t="shared" si="71"/>
        <v>#N/A</v>
      </c>
      <c r="EO8" s="40" t="e">
        <f t="shared" si="71"/>
        <v>#N/A</v>
      </c>
      <c r="EP8" s="40" t="e">
        <f t="shared" si="71"/>
        <v>#N/A</v>
      </c>
      <c r="EQ8" s="40" t="e">
        <f t="shared" ref="EQ8:HB8" si="72">SUM(EG7:EQ7)-EF7</f>
        <v>#N/A</v>
      </c>
      <c r="ER8" s="40" t="e">
        <f t="shared" si="72"/>
        <v>#N/A</v>
      </c>
      <c r="ES8" s="40" t="e">
        <f t="shared" si="72"/>
        <v>#N/A</v>
      </c>
      <c r="ET8" s="40" t="e">
        <f t="shared" si="72"/>
        <v>#N/A</v>
      </c>
      <c r="EU8" s="40" t="e">
        <f t="shared" si="72"/>
        <v>#N/A</v>
      </c>
      <c r="EV8" s="40" t="e">
        <f t="shared" si="72"/>
        <v>#N/A</v>
      </c>
      <c r="EW8" s="40" t="e">
        <f t="shared" si="72"/>
        <v>#N/A</v>
      </c>
      <c r="EX8" s="40" t="e">
        <f t="shared" si="72"/>
        <v>#N/A</v>
      </c>
      <c r="EY8" s="40" t="e">
        <f t="shared" si="72"/>
        <v>#N/A</v>
      </c>
      <c r="EZ8" s="40" t="e">
        <f t="shared" si="72"/>
        <v>#N/A</v>
      </c>
      <c r="FA8" s="40" t="e">
        <f t="shared" si="72"/>
        <v>#N/A</v>
      </c>
      <c r="FB8" s="40" t="e">
        <f t="shared" si="72"/>
        <v>#N/A</v>
      </c>
      <c r="FC8" s="40" t="e">
        <f t="shared" si="72"/>
        <v>#N/A</v>
      </c>
      <c r="FD8" s="40" t="e">
        <f t="shared" si="72"/>
        <v>#N/A</v>
      </c>
      <c r="FE8" s="40" t="e">
        <f t="shared" si="72"/>
        <v>#N/A</v>
      </c>
      <c r="FF8" s="40" t="e">
        <f t="shared" si="72"/>
        <v>#N/A</v>
      </c>
      <c r="FG8" s="40" t="e">
        <f t="shared" si="72"/>
        <v>#N/A</v>
      </c>
      <c r="FH8" s="40" t="e">
        <f t="shared" si="72"/>
        <v>#N/A</v>
      </c>
      <c r="FI8" s="40" t="e">
        <f t="shared" si="72"/>
        <v>#N/A</v>
      </c>
      <c r="FJ8" s="40" t="e">
        <f t="shared" si="72"/>
        <v>#N/A</v>
      </c>
      <c r="FK8" s="40" t="e">
        <f t="shared" si="72"/>
        <v>#N/A</v>
      </c>
      <c r="FL8" s="40" t="e">
        <f t="shared" si="72"/>
        <v>#N/A</v>
      </c>
      <c r="FM8" s="40" t="e">
        <f t="shared" si="72"/>
        <v>#N/A</v>
      </c>
      <c r="FN8" s="40" t="e">
        <f t="shared" si="72"/>
        <v>#N/A</v>
      </c>
      <c r="FO8" s="40" t="e">
        <f t="shared" si="72"/>
        <v>#N/A</v>
      </c>
      <c r="FP8" s="40" t="e">
        <f t="shared" si="72"/>
        <v>#N/A</v>
      </c>
      <c r="FQ8" s="40" t="e">
        <f t="shared" si="72"/>
        <v>#N/A</v>
      </c>
      <c r="FR8" s="40" t="e">
        <f t="shared" si="72"/>
        <v>#N/A</v>
      </c>
      <c r="FS8" s="40" t="e">
        <f t="shared" si="72"/>
        <v>#N/A</v>
      </c>
      <c r="FT8" s="40" t="e">
        <f t="shared" si="72"/>
        <v>#N/A</v>
      </c>
      <c r="FU8" s="40" t="e">
        <f t="shared" si="72"/>
        <v>#N/A</v>
      </c>
      <c r="FV8" s="40" t="e">
        <f t="shared" si="72"/>
        <v>#N/A</v>
      </c>
      <c r="FW8" s="40" t="e">
        <f t="shared" si="72"/>
        <v>#N/A</v>
      </c>
      <c r="FX8" s="40" t="e">
        <f t="shared" si="72"/>
        <v>#N/A</v>
      </c>
      <c r="FY8" s="40" t="e">
        <f t="shared" si="72"/>
        <v>#N/A</v>
      </c>
      <c r="FZ8" s="40" t="e">
        <f t="shared" si="72"/>
        <v>#N/A</v>
      </c>
      <c r="GA8" s="40" t="e">
        <f t="shared" si="72"/>
        <v>#N/A</v>
      </c>
      <c r="GB8" s="40" t="e">
        <f t="shared" si="72"/>
        <v>#N/A</v>
      </c>
      <c r="GC8" s="40" t="e">
        <f t="shared" si="72"/>
        <v>#N/A</v>
      </c>
      <c r="GD8" s="40" t="e">
        <f t="shared" si="72"/>
        <v>#N/A</v>
      </c>
      <c r="GE8" s="40" t="e">
        <f t="shared" si="72"/>
        <v>#N/A</v>
      </c>
      <c r="GF8" s="40" t="e">
        <f t="shared" si="72"/>
        <v>#N/A</v>
      </c>
      <c r="GG8" s="40" t="e">
        <f t="shared" si="72"/>
        <v>#N/A</v>
      </c>
      <c r="GH8" s="40" t="e">
        <f t="shared" si="72"/>
        <v>#N/A</v>
      </c>
      <c r="GI8" s="40" t="e">
        <f t="shared" si="72"/>
        <v>#N/A</v>
      </c>
      <c r="GJ8" s="40" t="e">
        <f t="shared" si="72"/>
        <v>#N/A</v>
      </c>
      <c r="GK8" s="40" t="e">
        <f t="shared" si="72"/>
        <v>#N/A</v>
      </c>
      <c r="GL8" s="40" t="e">
        <f t="shared" si="72"/>
        <v>#N/A</v>
      </c>
      <c r="GM8" s="40" t="e">
        <f t="shared" si="72"/>
        <v>#N/A</v>
      </c>
      <c r="GN8" s="40" t="e">
        <f t="shared" si="72"/>
        <v>#N/A</v>
      </c>
      <c r="GO8" s="40" t="e">
        <f t="shared" si="72"/>
        <v>#N/A</v>
      </c>
      <c r="GP8" s="40" t="e">
        <f t="shared" si="72"/>
        <v>#N/A</v>
      </c>
      <c r="GQ8" s="40" t="e">
        <f t="shared" si="72"/>
        <v>#N/A</v>
      </c>
      <c r="GR8" s="40" t="e">
        <f t="shared" si="72"/>
        <v>#N/A</v>
      </c>
      <c r="GS8" s="40" t="e">
        <f t="shared" si="72"/>
        <v>#N/A</v>
      </c>
      <c r="GT8" s="40" t="e">
        <f t="shared" si="72"/>
        <v>#N/A</v>
      </c>
      <c r="GU8" s="40" t="e">
        <f t="shared" si="72"/>
        <v>#N/A</v>
      </c>
      <c r="GV8" s="40" t="e">
        <f t="shared" si="72"/>
        <v>#N/A</v>
      </c>
      <c r="GW8" s="40" t="e">
        <f t="shared" si="72"/>
        <v>#N/A</v>
      </c>
      <c r="GX8" s="40" t="e">
        <f t="shared" si="72"/>
        <v>#N/A</v>
      </c>
      <c r="GY8" s="40" t="e">
        <f t="shared" si="72"/>
        <v>#N/A</v>
      </c>
      <c r="GZ8" s="40" t="e">
        <f t="shared" si="72"/>
        <v>#N/A</v>
      </c>
      <c r="HA8" s="40" t="e">
        <f t="shared" si="72"/>
        <v>#N/A</v>
      </c>
      <c r="HB8" s="40" t="e">
        <f t="shared" si="72"/>
        <v>#N/A</v>
      </c>
      <c r="HC8" s="40" t="e">
        <f t="shared" ref="HC8:IN8" si="73">SUM(GS7:HC7)-GR7</f>
        <v>#N/A</v>
      </c>
      <c r="HD8" s="40" t="e">
        <f t="shared" si="73"/>
        <v>#N/A</v>
      </c>
      <c r="HE8" s="40" t="e">
        <f t="shared" si="73"/>
        <v>#N/A</v>
      </c>
      <c r="HF8" s="40" t="e">
        <f t="shared" si="73"/>
        <v>#N/A</v>
      </c>
      <c r="HG8" s="40" t="e">
        <f t="shared" si="73"/>
        <v>#N/A</v>
      </c>
      <c r="HH8" s="40" t="e">
        <f t="shared" si="73"/>
        <v>#N/A</v>
      </c>
      <c r="HI8" s="40" t="e">
        <f t="shared" si="73"/>
        <v>#N/A</v>
      </c>
      <c r="HJ8" s="40" t="e">
        <f t="shared" si="73"/>
        <v>#N/A</v>
      </c>
      <c r="HK8" s="40" t="e">
        <f t="shared" si="73"/>
        <v>#N/A</v>
      </c>
      <c r="HL8" s="40" t="e">
        <f t="shared" si="73"/>
        <v>#N/A</v>
      </c>
      <c r="HM8" s="40" t="e">
        <f t="shared" si="73"/>
        <v>#N/A</v>
      </c>
      <c r="HN8" s="40" t="e">
        <f t="shared" si="73"/>
        <v>#N/A</v>
      </c>
      <c r="HO8" s="40" t="e">
        <f t="shared" si="73"/>
        <v>#N/A</v>
      </c>
      <c r="HP8" s="40" t="e">
        <f t="shared" si="73"/>
        <v>#N/A</v>
      </c>
      <c r="HQ8" s="40" t="e">
        <f t="shared" si="73"/>
        <v>#N/A</v>
      </c>
      <c r="HR8" s="40" t="e">
        <f t="shared" si="73"/>
        <v>#N/A</v>
      </c>
      <c r="HS8" s="40" t="e">
        <f t="shared" si="73"/>
        <v>#N/A</v>
      </c>
      <c r="HT8" s="40" t="e">
        <f t="shared" si="73"/>
        <v>#N/A</v>
      </c>
      <c r="HU8" s="40" t="e">
        <f t="shared" si="73"/>
        <v>#N/A</v>
      </c>
      <c r="HV8" s="40" t="e">
        <f t="shared" si="73"/>
        <v>#N/A</v>
      </c>
      <c r="HW8" s="40" t="e">
        <f t="shared" si="73"/>
        <v>#N/A</v>
      </c>
      <c r="HX8" s="40" t="e">
        <f t="shared" si="73"/>
        <v>#N/A</v>
      </c>
      <c r="HY8" s="40" t="e">
        <f t="shared" si="73"/>
        <v>#N/A</v>
      </c>
      <c r="HZ8" s="40" t="e">
        <f t="shared" si="73"/>
        <v>#N/A</v>
      </c>
      <c r="IA8" s="40" t="e">
        <f t="shared" si="73"/>
        <v>#N/A</v>
      </c>
      <c r="IB8" s="40" t="e">
        <f t="shared" si="73"/>
        <v>#N/A</v>
      </c>
      <c r="IC8" s="40" t="e">
        <f t="shared" si="73"/>
        <v>#N/A</v>
      </c>
      <c r="ID8" s="40" t="e">
        <f t="shared" si="73"/>
        <v>#N/A</v>
      </c>
      <c r="IE8" s="40" t="e">
        <f t="shared" si="73"/>
        <v>#N/A</v>
      </c>
      <c r="IF8" s="40" t="e">
        <f t="shared" si="73"/>
        <v>#N/A</v>
      </c>
      <c r="IG8" s="40" t="e">
        <f t="shared" si="73"/>
        <v>#N/A</v>
      </c>
      <c r="IH8" s="40" t="e">
        <f t="shared" si="73"/>
        <v>#N/A</v>
      </c>
      <c r="II8" s="40" t="e">
        <f t="shared" si="73"/>
        <v>#N/A</v>
      </c>
      <c r="IJ8" s="40" t="e">
        <f t="shared" si="73"/>
        <v>#N/A</v>
      </c>
      <c r="IK8" s="40" t="e">
        <f t="shared" si="73"/>
        <v>#N/A</v>
      </c>
      <c r="IL8" s="40" t="e">
        <f t="shared" si="73"/>
        <v>#N/A</v>
      </c>
      <c r="IM8" s="40" t="e">
        <f t="shared" si="73"/>
        <v>#N/A</v>
      </c>
      <c r="IN8" s="40" t="e">
        <f t="shared" si="73"/>
        <v>#N/A</v>
      </c>
    </row>
    <row r="9" spans="2:248" x14ac:dyDescent="0.3">
      <c r="B9" s="19" t="s">
        <v>575</v>
      </c>
      <c r="C9" s="85">
        <f ca="1">VLOOKUP(B2,Country_Data!C:P,14,FALSE)</f>
        <v>1</v>
      </c>
      <c r="F9" s="19" t="s">
        <v>586</v>
      </c>
      <c r="G9" s="40">
        <f t="shared" ref="G9:BP9" si="74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4"/>
        <v>149</v>
      </c>
      <c r="I9" s="40">
        <f t="shared" ca="1" si="74"/>
        <v>216</v>
      </c>
      <c r="J9" s="40">
        <f t="shared" ca="1" si="74"/>
        <v>259</v>
      </c>
      <c r="K9" s="40">
        <f t="shared" ca="1" si="74"/>
        <v>396</v>
      </c>
      <c r="L9" s="40">
        <f t="shared" ca="1" si="74"/>
        <v>508</v>
      </c>
      <c r="M9" s="40">
        <f t="shared" ca="1" si="74"/>
        <v>572</v>
      </c>
      <c r="N9" s="40">
        <f t="shared" ca="1" si="74"/>
        <v>942</v>
      </c>
      <c r="O9" s="40">
        <f t="shared" ca="1" si="74"/>
        <v>1256</v>
      </c>
      <c r="P9" s="40">
        <f t="shared" ca="1" si="74"/>
        <v>1634</v>
      </c>
      <c r="Q9" s="40">
        <f t="shared" ca="1" si="74"/>
        <v>2143</v>
      </c>
      <c r="R9" s="40">
        <f t="shared" ca="1" si="74"/>
        <v>2448</v>
      </c>
      <c r="S9" s="40">
        <f t="shared" ref="S9:T9" ca="1" si="75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4"/>
        <v>7143</v>
      </c>
      <c r="W9" s="40">
        <f t="shared" ca="1" si="74"/>
        <v>12868</v>
      </c>
      <c r="X9" s="40">
        <f t="shared" ca="1" si="74"/>
        <v>18231</v>
      </c>
      <c r="Y9" s="40">
        <f ca="1">IF(IF(AND(ISNA(Y$8),ISNA(X$8)),X9*(1+$C$11),IF(AND(X$8&gt;0,ISNA(Y$8)),X9*(1+$C$11),Y$8))&gt;$C$21,$C$21,IF(AND(ISNA(Y$8),ISNA(X$8)),X9*(1+$C$11),IF(AND(X$8&gt;0,ISNA(Y$8)),X9*(1+$C$11),Y$8)))</f>
        <v>23881</v>
      </c>
      <c r="Z9" s="40">
        <f t="shared" ca="1" si="74"/>
        <v>31300</v>
      </c>
      <c r="AA9" s="40">
        <f t="shared" ca="1" si="74"/>
        <v>41289</v>
      </c>
      <c r="AB9" s="40">
        <f t="shared" ca="1" si="74"/>
        <v>58644.205576199834</v>
      </c>
      <c r="AC9" s="40">
        <f t="shared" ca="1" si="74"/>
        <v>83294.408865886493</v>
      </c>
      <c r="AD9" s="40">
        <f t="shared" ca="1" si="74"/>
        <v>118305.95163067861</v>
      </c>
      <c r="AE9" s="40">
        <f t="shared" ca="1" si="74"/>
        <v>168034.06593323816</v>
      </c>
      <c r="AF9" s="40">
        <f t="shared" ca="1" si="74"/>
        <v>238664.63964720714</v>
      </c>
      <c r="AG9" s="40">
        <f t="shared" ca="1" si="74"/>
        <v>338983.70489090239</v>
      </c>
      <c r="AH9" s="40">
        <f t="shared" ca="1" si="74"/>
        <v>481470.3692655171</v>
      </c>
      <c r="AI9" s="40">
        <f t="shared" ca="1" si="74"/>
        <v>683849.14418018912</v>
      </c>
      <c r="AJ9" s="40">
        <f t="shared" ca="1" si="74"/>
        <v>971294.77086902875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1379563.8116188629</v>
      </c>
      <c r="AL9" s="40">
        <f t="shared" ca="1" si="74"/>
        <v>1959442.5579225076</v>
      </c>
      <c r="AM9" s="40">
        <f t="shared" ca="1" si="74"/>
        <v>2783064.5494335629</v>
      </c>
      <c r="AN9" s="40">
        <f t="shared" ca="1" si="74"/>
        <v>3952883.5662964913</v>
      </c>
      <c r="AO9" s="40">
        <f t="shared" ca="1" si="74"/>
        <v>5614418.2828519307</v>
      </c>
      <c r="AP9" s="40">
        <f t="shared" ca="1" si="74"/>
        <v>7974353.9434315069</v>
      </c>
      <c r="AQ9" s="40">
        <f t="shared" ca="1" si="74"/>
        <v>11326252.803312676</v>
      </c>
      <c r="AR9" s="40">
        <f t="shared" ca="1" si="74"/>
        <v>16087071.56398746</v>
      </c>
      <c r="AS9" s="40">
        <f t="shared" ca="1" si="74"/>
        <v>22849028.359067041</v>
      </c>
      <c r="AT9" s="40">
        <f t="shared" ca="1" si="74"/>
        <v>32453271.241869442</v>
      </c>
      <c r="AU9" s="40">
        <f t="shared" ca="1" si="74"/>
        <v>46094512.10560599</v>
      </c>
      <c r="AV9" s="40">
        <f t="shared" ca="1" si="74"/>
        <v>65469641.886599079</v>
      </c>
      <c r="AW9" s="40">
        <f t="shared" ca="1" si="74"/>
        <v>92988813.916488647</v>
      </c>
      <c r="AX9" s="40">
        <f t="shared" ca="1" si="74"/>
        <v>132075252.96339345</v>
      </c>
      <c r="AY9" s="40">
        <f t="shared" ca="1" si="74"/>
        <v>132401060.40000001</v>
      </c>
      <c r="AZ9" s="40">
        <f t="shared" ca="1" si="74"/>
        <v>132401060.40000001</v>
      </c>
      <c r="BA9" s="40">
        <f t="shared" ca="1" si="74"/>
        <v>132401060.40000001</v>
      </c>
      <c r="BB9" s="40">
        <f t="shared" ca="1" si="74"/>
        <v>132401060.40000001</v>
      </c>
      <c r="BC9" s="40">
        <f t="shared" ca="1" si="74"/>
        <v>132401060.40000001</v>
      </c>
      <c r="BD9" s="40">
        <f t="shared" ca="1" si="74"/>
        <v>132401060.40000001</v>
      </c>
      <c r="BE9" s="40">
        <f t="shared" ca="1" si="74"/>
        <v>132401060.40000001</v>
      </c>
      <c r="BF9" s="40">
        <f t="shared" ca="1" si="74"/>
        <v>132401060.40000001</v>
      </c>
      <c r="BG9" s="40">
        <f t="shared" ca="1" si="74"/>
        <v>132401060.40000001</v>
      </c>
      <c r="BH9" s="40">
        <f t="shared" ca="1" si="74"/>
        <v>132401060.40000001</v>
      </c>
      <c r="BI9" s="40">
        <f t="shared" ca="1" si="74"/>
        <v>132401060.40000001</v>
      </c>
      <c r="BJ9" s="40">
        <f t="shared" ca="1" si="74"/>
        <v>132401060.40000001</v>
      </c>
      <c r="BK9" s="40">
        <f t="shared" ca="1" si="74"/>
        <v>132401060.40000001</v>
      </c>
      <c r="BL9" s="40">
        <f t="shared" ca="1" si="74"/>
        <v>132401060.40000001</v>
      </c>
      <c r="BM9" s="40">
        <f t="shared" ca="1" si="74"/>
        <v>132401060.40000001</v>
      </c>
      <c r="BN9" s="40">
        <f t="shared" ca="1" si="74"/>
        <v>132401060.40000001</v>
      </c>
      <c r="BO9" s="40">
        <f t="shared" ca="1" si="74"/>
        <v>132401060.40000001</v>
      </c>
      <c r="BP9" s="40">
        <f t="shared" ca="1" si="74"/>
        <v>132401060.40000001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132401060.40000001</v>
      </c>
      <c r="BR9" s="40">
        <f t="shared" ref="BR9:EC9" ca="1" si="76">IF(IF(AND(ISNA(BR$8),ISNA(BQ$8)),BQ9*(1+$C$11),IF(AND(BQ$8&gt;0,ISNA(BR$8)),BQ9*(1+$C$11),BR$8))&gt;$C$21,$C$21,IF(AND(ISNA(BR$8),ISNA(BQ$8)),BQ9*(1+$C$11),IF(AND(BQ$8&gt;0,ISNA(BR$8)),BQ9*(1+$C$11),BR$8)))</f>
        <v>132401060.40000001</v>
      </c>
      <c r="BS9" s="40">
        <f t="shared" ca="1" si="76"/>
        <v>132401060.40000001</v>
      </c>
      <c r="BT9" s="40">
        <f t="shared" ca="1" si="76"/>
        <v>132401060.40000001</v>
      </c>
      <c r="BU9" s="40">
        <f t="shared" ca="1" si="76"/>
        <v>132401060.40000001</v>
      </c>
      <c r="BV9" s="40">
        <f t="shared" ca="1" si="76"/>
        <v>132401060.40000001</v>
      </c>
      <c r="BW9" s="40">
        <f t="shared" ca="1" si="76"/>
        <v>132401060.40000001</v>
      </c>
      <c r="BX9" s="40">
        <f t="shared" ca="1" si="76"/>
        <v>132401060.40000001</v>
      </c>
      <c r="BY9" s="40">
        <f t="shared" ca="1" si="76"/>
        <v>132401060.40000001</v>
      </c>
      <c r="BZ9" s="40">
        <f t="shared" ca="1" si="76"/>
        <v>132401060.40000001</v>
      </c>
      <c r="CA9" s="40">
        <f t="shared" ca="1" si="76"/>
        <v>132401060.40000001</v>
      </c>
      <c r="CB9" s="40">
        <f t="shared" ca="1" si="76"/>
        <v>132401060.40000001</v>
      </c>
      <c r="CC9" s="40">
        <f t="shared" ca="1" si="76"/>
        <v>132401060.40000001</v>
      </c>
      <c r="CD9" s="40">
        <f t="shared" ca="1" si="76"/>
        <v>132401060.40000001</v>
      </c>
      <c r="CE9" s="40">
        <f t="shared" ca="1" si="76"/>
        <v>132401060.40000001</v>
      </c>
      <c r="CF9" s="40">
        <f t="shared" ca="1" si="76"/>
        <v>132401060.40000001</v>
      </c>
      <c r="CG9" s="40">
        <f t="shared" ca="1" si="76"/>
        <v>132401060.40000001</v>
      </c>
      <c r="CH9" s="40">
        <f t="shared" ca="1" si="76"/>
        <v>132401060.40000001</v>
      </c>
      <c r="CI9" s="40">
        <f t="shared" ca="1" si="76"/>
        <v>132401060.40000001</v>
      </c>
      <c r="CJ9" s="40">
        <f t="shared" ca="1" si="76"/>
        <v>132401060.40000001</v>
      </c>
      <c r="CK9" s="40">
        <f t="shared" ca="1" si="76"/>
        <v>132401060.40000001</v>
      </c>
      <c r="CL9" s="40">
        <f t="shared" ca="1" si="76"/>
        <v>132401060.40000001</v>
      </c>
      <c r="CM9" s="40">
        <f t="shared" ca="1" si="76"/>
        <v>132401060.40000001</v>
      </c>
      <c r="CN9" s="40">
        <f t="shared" ca="1" si="76"/>
        <v>132401060.40000001</v>
      </c>
      <c r="CO9" s="40">
        <f t="shared" ca="1" si="76"/>
        <v>132401060.40000001</v>
      </c>
      <c r="CP9" s="40">
        <f t="shared" ca="1" si="76"/>
        <v>132401060.40000001</v>
      </c>
      <c r="CQ9" s="40">
        <f t="shared" ca="1" si="76"/>
        <v>132401060.40000001</v>
      </c>
      <c r="CR9" s="40">
        <f t="shared" ca="1" si="76"/>
        <v>132401060.40000001</v>
      </c>
      <c r="CS9" s="40">
        <f t="shared" ca="1" si="76"/>
        <v>132401060.40000001</v>
      </c>
      <c r="CT9" s="40">
        <f t="shared" ca="1" si="76"/>
        <v>132401060.40000001</v>
      </c>
      <c r="CU9" s="40">
        <f t="shared" ca="1" si="76"/>
        <v>132401060.40000001</v>
      </c>
      <c r="CV9" s="40">
        <f t="shared" ca="1" si="76"/>
        <v>132401060.40000001</v>
      </c>
      <c r="CW9" s="40">
        <f t="shared" ca="1" si="76"/>
        <v>132401060.40000001</v>
      </c>
      <c r="CX9" s="40">
        <f t="shared" ca="1" si="76"/>
        <v>132401060.40000001</v>
      </c>
      <c r="CY9" s="40">
        <f t="shared" ca="1" si="76"/>
        <v>132401060.40000001</v>
      </c>
      <c r="CZ9" s="40">
        <f t="shared" ca="1" si="76"/>
        <v>132401060.40000001</v>
      </c>
      <c r="DA9" s="40">
        <f t="shared" ca="1" si="76"/>
        <v>132401060.40000001</v>
      </c>
      <c r="DB9" s="40">
        <f t="shared" ca="1" si="76"/>
        <v>132401060.40000001</v>
      </c>
      <c r="DC9" s="40">
        <f t="shared" ca="1" si="76"/>
        <v>132401060.40000001</v>
      </c>
      <c r="DD9" s="40">
        <f t="shared" ca="1" si="76"/>
        <v>132401060.40000001</v>
      </c>
      <c r="DE9" s="40">
        <f t="shared" ca="1" si="76"/>
        <v>132401060.40000001</v>
      </c>
      <c r="DF9" s="40">
        <f t="shared" ca="1" si="76"/>
        <v>132401060.40000001</v>
      </c>
      <c r="DG9" s="40">
        <f t="shared" ca="1" si="76"/>
        <v>132401060.40000001</v>
      </c>
      <c r="DH9" s="40">
        <f t="shared" ca="1" si="76"/>
        <v>132401060.40000001</v>
      </c>
      <c r="DI9" s="40">
        <f t="shared" ca="1" si="76"/>
        <v>132401060.40000001</v>
      </c>
      <c r="DJ9" s="40">
        <f t="shared" ca="1" si="76"/>
        <v>132401060.40000001</v>
      </c>
      <c r="DK9" s="40">
        <f t="shared" ca="1" si="76"/>
        <v>132401060.40000001</v>
      </c>
      <c r="DL9" s="40">
        <f t="shared" ca="1" si="76"/>
        <v>132401060.40000001</v>
      </c>
      <c r="DM9" s="40">
        <f t="shared" ca="1" si="76"/>
        <v>132401060.40000001</v>
      </c>
      <c r="DN9" s="40">
        <f t="shared" ca="1" si="76"/>
        <v>132401060.40000001</v>
      </c>
      <c r="DO9" s="40">
        <f t="shared" ca="1" si="76"/>
        <v>132401060.40000001</v>
      </c>
      <c r="DP9" s="40">
        <f t="shared" ca="1" si="76"/>
        <v>132401060.40000001</v>
      </c>
      <c r="DQ9" s="40">
        <f t="shared" ca="1" si="76"/>
        <v>132401060.40000001</v>
      </c>
      <c r="DR9" s="40">
        <f t="shared" ca="1" si="76"/>
        <v>132401060.40000001</v>
      </c>
      <c r="DS9" s="40">
        <f t="shared" ca="1" si="76"/>
        <v>132401060.40000001</v>
      </c>
      <c r="DT9" s="40">
        <f t="shared" ca="1" si="76"/>
        <v>132401060.40000001</v>
      </c>
      <c r="DU9" s="40">
        <f t="shared" ca="1" si="76"/>
        <v>132401060.40000001</v>
      </c>
      <c r="DV9" s="40">
        <f t="shared" ca="1" si="76"/>
        <v>132401060.40000001</v>
      </c>
      <c r="DW9" s="40">
        <f t="shared" ca="1" si="76"/>
        <v>132401060.40000001</v>
      </c>
      <c r="DX9" s="40">
        <f t="shared" ca="1" si="76"/>
        <v>132401060.40000001</v>
      </c>
      <c r="DY9" s="40">
        <f t="shared" ca="1" si="76"/>
        <v>132401060.40000001</v>
      </c>
      <c r="DZ9" s="40">
        <f t="shared" ca="1" si="76"/>
        <v>132401060.40000001</v>
      </c>
      <c r="EA9" s="40">
        <f t="shared" ca="1" si="76"/>
        <v>132401060.40000001</v>
      </c>
      <c r="EB9" s="40">
        <f t="shared" ca="1" si="76"/>
        <v>132401060.40000001</v>
      </c>
      <c r="EC9" s="40">
        <f t="shared" ca="1" si="76"/>
        <v>132401060.40000001</v>
      </c>
      <c r="ED9" s="40">
        <f t="shared" ref="ED9:GO9" ca="1" si="77">IF(IF(AND(ISNA(ED$8),ISNA(EC$8)),EC9*(1+$C$11),IF(AND(EC$8&gt;0,ISNA(ED$8)),EC9*(1+$C$11),ED$8))&gt;$C$21,$C$21,IF(AND(ISNA(ED$8),ISNA(EC$8)),EC9*(1+$C$11),IF(AND(EC$8&gt;0,ISNA(ED$8)),EC9*(1+$C$11),ED$8)))</f>
        <v>132401060.40000001</v>
      </c>
      <c r="EE9" s="40">
        <f t="shared" ca="1" si="77"/>
        <v>132401060.40000001</v>
      </c>
      <c r="EF9" s="40">
        <f t="shared" ca="1" si="77"/>
        <v>132401060.40000001</v>
      </c>
      <c r="EG9" s="40">
        <f t="shared" ca="1" si="77"/>
        <v>132401060.40000001</v>
      </c>
      <c r="EH9" s="40">
        <f t="shared" ca="1" si="77"/>
        <v>132401060.40000001</v>
      </c>
      <c r="EI9" s="40">
        <f t="shared" ca="1" si="77"/>
        <v>132401060.40000001</v>
      </c>
      <c r="EJ9" s="40">
        <f t="shared" ca="1" si="77"/>
        <v>132401060.40000001</v>
      </c>
      <c r="EK9" s="40">
        <f t="shared" ca="1" si="77"/>
        <v>132401060.40000001</v>
      </c>
      <c r="EL9" s="40">
        <f t="shared" ca="1" si="77"/>
        <v>132401060.40000001</v>
      </c>
      <c r="EM9" s="40">
        <f t="shared" ca="1" si="77"/>
        <v>132401060.40000001</v>
      </c>
      <c r="EN9" s="40">
        <f t="shared" ca="1" si="77"/>
        <v>132401060.40000001</v>
      </c>
      <c r="EO9" s="40">
        <f t="shared" ca="1" si="77"/>
        <v>132401060.40000001</v>
      </c>
      <c r="EP9" s="40">
        <f t="shared" ca="1" si="77"/>
        <v>132401060.40000001</v>
      </c>
      <c r="EQ9" s="40">
        <f t="shared" ca="1" si="77"/>
        <v>132401060.40000001</v>
      </c>
      <c r="ER9" s="40">
        <f t="shared" ca="1" si="77"/>
        <v>132401060.40000001</v>
      </c>
      <c r="ES9" s="40">
        <f t="shared" ca="1" si="77"/>
        <v>132401060.40000001</v>
      </c>
      <c r="ET9" s="40">
        <f t="shared" ca="1" si="77"/>
        <v>132401060.40000001</v>
      </c>
      <c r="EU9" s="40">
        <f t="shared" ca="1" si="77"/>
        <v>132401060.40000001</v>
      </c>
      <c r="EV9" s="40">
        <f t="shared" ca="1" si="77"/>
        <v>132401060.40000001</v>
      </c>
      <c r="EW9" s="40">
        <f t="shared" ca="1" si="77"/>
        <v>132401060.40000001</v>
      </c>
      <c r="EX9" s="40">
        <f t="shared" ca="1" si="77"/>
        <v>132401060.40000001</v>
      </c>
      <c r="EY9" s="40">
        <f t="shared" ca="1" si="77"/>
        <v>132401060.40000001</v>
      </c>
      <c r="EZ9" s="40">
        <f t="shared" ca="1" si="77"/>
        <v>132401060.40000001</v>
      </c>
      <c r="FA9" s="40">
        <f t="shared" ca="1" si="77"/>
        <v>132401060.40000001</v>
      </c>
      <c r="FB9" s="40">
        <f t="shared" ca="1" si="77"/>
        <v>132401060.40000001</v>
      </c>
      <c r="FC9" s="40">
        <f t="shared" ca="1" si="77"/>
        <v>132401060.40000001</v>
      </c>
      <c r="FD9" s="40">
        <f t="shared" ca="1" si="77"/>
        <v>132401060.40000001</v>
      </c>
      <c r="FE9" s="40">
        <f t="shared" ca="1" si="77"/>
        <v>132401060.40000001</v>
      </c>
      <c r="FF9" s="40">
        <f t="shared" ca="1" si="77"/>
        <v>132401060.40000001</v>
      </c>
      <c r="FG9" s="40">
        <f t="shared" ca="1" si="77"/>
        <v>132401060.40000001</v>
      </c>
      <c r="FH9" s="40">
        <f t="shared" ca="1" si="77"/>
        <v>132401060.40000001</v>
      </c>
      <c r="FI9" s="40">
        <f t="shared" ca="1" si="77"/>
        <v>132401060.40000001</v>
      </c>
      <c r="FJ9" s="40">
        <f t="shared" ca="1" si="77"/>
        <v>132401060.40000001</v>
      </c>
      <c r="FK9" s="40">
        <f t="shared" ca="1" si="77"/>
        <v>132401060.40000001</v>
      </c>
      <c r="FL9" s="40">
        <f t="shared" ca="1" si="77"/>
        <v>132401060.40000001</v>
      </c>
      <c r="FM9" s="40">
        <f t="shared" ca="1" si="77"/>
        <v>132401060.40000001</v>
      </c>
      <c r="FN9" s="40">
        <f t="shared" ca="1" si="77"/>
        <v>132401060.40000001</v>
      </c>
      <c r="FO9" s="40">
        <f t="shared" ca="1" si="77"/>
        <v>132401060.40000001</v>
      </c>
      <c r="FP9" s="40">
        <f t="shared" ca="1" si="77"/>
        <v>132401060.40000001</v>
      </c>
      <c r="FQ9" s="40">
        <f t="shared" ca="1" si="77"/>
        <v>132401060.40000001</v>
      </c>
      <c r="FR9" s="40">
        <f t="shared" ca="1" si="77"/>
        <v>132401060.40000001</v>
      </c>
      <c r="FS9" s="40">
        <f t="shared" ca="1" si="77"/>
        <v>132401060.40000001</v>
      </c>
      <c r="FT9" s="40">
        <f t="shared" ca="1" si="77"/>
        <v>132401060.40000001</v>
      </c>
      <c r="FU9" s="40">
        <f t="shared" ca="1" si="77"/>
        <v>132401060.40000001</v>
      </c>
      <c r="FV9" s="40">
        <f t="shared" ca="1" si="77"/>
        <v>132401060.40000001</v>
      </c>
      <c r="FW9" s="40">
        <f t="shared" ca="1" si="77"/>
        <v>132401060.40000001</v>
      </c>
      <c r="FX9" s="40">
        <f t="shared" ca="1" si="77"/>
        <v>132401060.40000001</v>
      </c>
      <c r="FY9" s="40">
        <f t="shared" ca="1" si="77"/>
        <v>132401060.40000001</v>
      </c>
      <c r="FZ9" s="40">
        <f t="shared" ca="1" si="77"/>
        <v>132401060.40000001</v>
      </c>
      <c r="GA9" s="40">
        <f t="shared" ca="1" si="77"/>
        <v>132401060.40000001</v>
      </c>
      <c r="GB9" s="40">
        <f t="shared" ca="1" si="77"/>
        <v>132401060.40000001</v>
      </c>
      <c r="GC9" s="40">
        <f t="shared" ca="1" si="77"/>
        <v>132401060.40000001</v>
      </c>
      <c r="GD9" s="40">
        <f t="shared" ca="1" si="77"/>
        <v>132401060.40000001</v>
      </c>
      <c r="GE9" s="40">
        <f t="shared" ca="1" si="77"/>
        <v>132401060.40000001</v>
      </c>
      <c r="GF9" s="40">
        <f t="shared" ca="1" si="77"/>
        <v>132401060.40000001</v>
      </c>
      <c r="GG9" s="40">
        <f t="shared" ca="1" si="77"/>
        <v>132401060.40000001</v>
      </c>
      <c r="GH9" s="40">
        <f t="shared" ca="1" si="77"/>
        <v>132401060.40000001</v>
      </c>
      <c r="GI9" s="40">
        <f t="shared" ca="1" si="77"/>
        <v>132401060.40000001</v>
      </c>
      <c r="GJ9" s="40">
        <f t="shared" ca="1" si="77"/>
        <v>132401060.40000001</v>
      </c>
      <c r="GK9" s="40">
        <f t="shared" ca="1" si="77"/>
        <v>132401060.40000001</v>
      </c>
      <c r="GL9" s="40">
        <f t="shared" ca="1" si="77"/>
        <v>132401060.40000001</v>
      </c>
      <c r="GM9" s="40">
        <f t="shared" ca="1" si="77"/>
        <v>132401060.40000001</v>
      </c>
      <c r="GN9" s="40">
        <f t="shared" ca="1" si="77"/>
        <v>132401060.40000001</v>
      </c>
      <c r="GO9" s="40">
        <f t="shared" ca="1" si="77"/>
        <v>132401060.40000001</v>
      </c>
      <c r="GP9" s="40">
        <f t="shared" ref="GP9:IN9" ca="1" si="78">IF(IF(AND(ISNA(GP$8),ISNA(GO$8)),GO9*(1+$C$11),IF(AND(GO$8&gt;0,ISNA(GP$8)),GO9*(1+$C$11),GP$8))&gt;$C$21,$C$21,IF(AND(ISNA(GP$8),ISNA(GO$8)),GO9*(1+$C$11),IF(AND(GO$8&gt;0,ISNA(GP$8)),GO9*(1+$C$11),GP$8)))</f>
        <v>132401060.40000001</v>
      </c>
      <c r="GQ9" s="40">
        <f t="shared" ca="1" si="78"/>
        <v>132401060.40000001</v>
      </c>
      <c r="GR9" s="40">
        <f t="shared" ca="1" si="78"/>
        <v>132401060.40000001</v>
      </c>
      <c r="GS9" s="40">
        <f t="shared" ca="1" si="78"/>
        <v>132401060.40000001</v>
      </c>
      <c r="GT9" s="40">
        <f t="shared" ca="1" si="78"/>
        <v>132401060.40000001</v>
      </c>
      <c r="GU9" s="40">
        <f t="shared" ca="1" si="78"/>
        <v>132401060.40000001</v>
      </c>
      <c r="GV9" s="40">
        <f t="shared" ca="1" si="78"/>
        <v>132401060.40000001</v>
      </c>
      <c r="GW9" s="40">
        <f t="shared" ca="1" si="78"/>
        <v>132401060.40000001</v>
      </c>
      <c r="GX9" s="40">
        <f t="shared" ca="1" si="78"/>
        <v>132401060.40000001</v>
      </c>
      <c r="GY9" s="40">
        <f t="shared" ca="1" si="78"/>
        <v>132401060.40000001</v>
      </c>
      <c r="GZ9" s="40">
        <f t="shared" ca="1" si="78"/>
        <v>132401060.40000001</v>
      </c>
      <c r="HA9" s="40">
        <f t="shared" ca="1" si="78"/>
        <v>132401060.40000001</v>
      </c>
      <c r="HB9" s="40">
        <f t="shared" ca="1" si="78"/>
        <v>132401060.40000001</v>
      </c>
      <c r="HC9" s="40">
        <f t="shared" ca="1" si="78"/>
        <v>132401060.40000001</v>
      </c>
      <c r="HD9" s="40">
        <f t="shared" ca="1" si="78"/>
        <v>132401060.40000001</v>
      </c>
      <c r="HE9" s="40">
        <f t="shared" ca="1" si="78"/>
        <v>132401060.40000001</v>
      </c>
      <c r="HF9" s="40">
        <f t="shared" ca="1" si="78"/>
        <v>132401060.40000001</v>
      </c>
      <c r="HG9" s="40">
        <f t="shared" ca="1" si="78"/>
        <v>132401060.40000001</v>
      </c>
      <c r="HH9" s="40">
        <f t="shared" ca="1" si="78"/>
        <v>132401060.40000001</v>
      </c>
      <c r="HI9" s="40">
        <f t="shared" ca="1" si="78"/>
        <v>132401060.40000001</v>
      </c>
      <c r="HJ9" s="40">
        <f t="shared" ca="1" si="78"/>
        <v>132401060.40000001</v>
      </c>
      <c r="HK9" s="40">
        <f t="shared" ca="1" si="78"/>
        <v>132401060.40000001</v>
      </c>
      <c r="HL9" s="40">
        <f t="shared" ca="1" si="78"/>
        <v>132401060.40000001</v>
      </c>
      <c r="HM9" s="40">
        <f t="shared" ca="1" si="78"/>
        <v>132401060.40000001</v>
      </c>
      <c r="HN9" s="40">
        <f t="shared" ca="1" si="78"/>
        <v>132401060.40000001</v>
      </c>
      <c r="HO9" s="40">
        <f t="shared" ca="1" si="78"/>
        <v>132401060.40000001</v>
      </c>
      <c r="HP9" s="40">
        <f t="shared" ca="1" si="78"/>
        <v>132401060.40000001</v>
      </c>
      <c r="HQ9" s="40">
        <f t="shared" ca="1" si="78"/>
        <v>132401060.40000001</v>
      </c>
      <c r="HR9" s="40">
        <f t="shared" ca="1" si="78"/>
        <v>132401060.40000001</v>
      </c>
      <c r="HS9" s="40">
        <f t="shared" ca="1" si="78"/>
        <v>132401060.40000001</v>
      </c>
      <c r="HT9" s="40">
        <f t="shared" ca="1" si="78"/>
        <v>132401060.40000001</v>
      </c>
      <c r="HU9" s="40">
        <f t="shared" ca="1" si="78"/>
        <v>132401060.40000001</v>
      </c>
      <c r="HV9" s="40">
        <f t="shared" ca="1" si="78"/>
        <v>132401060.40000001</v>
      </c>
      <c r="HW9" s="40">
        <f t="shared" ca="1" si="78"/>
        <v>132401060.40000001</v>
      </c>
      <c r="HX9" s="40">
        <f t="shared" ca="1" si="78"/>
        <v>132401060.40000001</v>
      </c>
      <c r="HY9" s="40">
        <f t="shared" ca="1" si="78"/>
        <v>132401060.40000001</v>
      </c>
      <c r="HZ9" s="40">
        <f t="shared" ca="1" si="78"/>
        <v>132401060.40000001</v>
      </c>
      <c r="IA9" s="40">
        <f t="shared" ca="1" si="78"/>
        <v>132401060.40000001</v>
      </c>
      <c r="IB9" s="40">
        <f t="shared" ca="1" si="78"/>
        <v>132401060.40000001</v>
      </c>
      <c r="IC9" s="40">
        <f t="shared" ca="1" si="78"/>
        <v>132401060.40000001</v>
      </c>
      <c r="ID9" s="40">
        <f t="shared" ca="1" si="78"/>
        <v>132401060.40000001</v>
      </c>
      <c r="IE9" s="40">
        <f t="shared" ca="1" si="78"/>
        <v>132401060.40000001</v>
      </c>
      <c r="IF9" s="40">
        <f t="shared" ca="1" si="78"/>
        <v>132401060.40000001</v>
      </c>
      <c r="IG9" s="40">
        <f t="shared" ca="1" si="78"/>
        <v>132401060.40000001</v>
      </c>
      <c r="IH9" s="40">
        <f t="shared" ca="1" si="78"/>
        <v>132401060.40000001</v>
      </c>
      <c r="II9" s="40">
        <f t="shared" ca="1" si="78"/>
        <v>132401060.40000001</v>
      </c>
      <c r="IJ9" s="40">
        <f t="shared" ca="1" si="78"/>
        <v>132401060.40000001</v>
      </c>
      <c r="IK9" s="40">
        <f t="shared" ca="1" si="78"/>
        <v>132401060.40000001</v>
      </c>
      <c r="IL9" s="40">
        <f t="shared" ca="1" si="78"/>
        <v>132401060.40000001</v>
      </c>
      <c r="IM9" s="40">
        <f t="shared" ca="1" si="78"/>
        <v>132401060.40000001</v>
      </c>
      <c r="IN9" s="40">
        <f t="shared" ca="1" si="78"/>
        <v>132401060.40000001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 t="shared" ref="G10" si="79"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:AJ10" ca="1" si="80">IF(IF(AND(ISNA(H$8),ISNA(G$8)),G10*(1+$E$10),IF(AND(G$8&gt;0,ISNA(H$8)),G10*(1+$E$10),H$8))&gt;$C$21,$C$21,IF(AND(ISNA(H$8),ISNA(G$8)),G10*(1+$E$10),IF(AND(G$8&gt;0,ISNA(H$8)),G10*(1+$E$10),H$8)))</f>
        <v>149</v>
      </c>
      <c r="I10" s="40">
        <f t="shared" ref="I10:BT10" ca="1" si="81">IF(IF(AND(ISNA(I$8),ISNA(H$8)),H10*(1+$E$10),IF(AND(H$8&gt;0,ISNA(I$8)),H10*(1+$E$10),I$8))&gt;$C$21,$C$21,IF(AND(ISNA(I$8),ISNA(H$8)),H10*(1+$E$10),IF(AND(H$8&gt;0,ISNA(I$8)),H10*(1+$E$10),I$8)))</f>
        <v>216</v>
      </c>
      <c r="J10" s="40">
        <f t="shared" ca="1" si="81"/>
        <v>259</v>
      </c>
      <c r="K10" s="40">
        <f t="shared" ca="1" si="81"/>
        <v>396</v>
      </c>
      <c r="L10" s="40">
        <f t="shared" ca="1" si="81"/>
        <v>508</v>
      </c>
      <c r="M10" s="40">
        <f t="shared" ca="1" si="81"/>
        <v>572</v>
      </c>
      <c r="N10" s="40">
        <f t="shared" ca="1" si="81"/>
        <v>942</v>
      </c>
      <c r="O10" s="40">
        <f t="shared" ca="1" si="81"/>
        <v>1256</v>
      </c>
      <c r="P10" s="40">
        <f t="shared" ca="1" si="81"/>
        <v>1634</v>
      </c>
      <c r="Q10" s="40">
        <f t="shared" ca="1" si="81"/>
        <v>2143</v>
      </c>
      <c r="R10" s="40">
        <f t="shared" ca="1" si="81"/>
        <v>2448</v>
      </c>
      <c r="S10" s="40">
        <f t="shared" ca="1" si="81"/>
        <v>3267</v>
      </c>
      <c r="T10" s="40">
        <f t="shared" ca="1" si="81"/>
        <v>4275</v>
      </c>
      <c r="U10" s="40">
        <f t="shared" ca="1" si="81"/>
        <v>6022</v>
      </c>
      <c r="V10" s="40">
        <f t="shared" ca="1" si="81"/>
        <v>7143</v>
      </c>
      <c r="W10" s="40">
        <f t="shared" ca="1" si="81"/>
        <v>12868</v>
      </c>
      <c r="X10" s="40">
        <f t="shared" ca="1" si="81"/>
        <v>18231</v>
      </c>
      <c r="Y10" s="40">
        <f t="shared" ca="1" si="81"/>
        <v>23881</v>
      </c>
      <c r="Z10" s="40">
        <f t="shared" ca="1" si="81"/>
        <v>31300</v>
      </c>
      <c r="AA10" s="40">
        <f t="shared" ca="1" si="81"/>
        <v>41289</v>
      </c>
      <c r="AB10" s="40">
        <f t="shared" ca="1" si="81"/>
        <v>45417.9</v>
      </c>
      <c r="AC10" s="40">
        <f t="shared" ca="1" si="81"/>
        <v>49959.69</v>
      </c>
      <c r="AD10" s="40">
        <f t="shared" ca="1" si="81"/>
        <v>54955.659000000007</v>
      </c>
      <c r="AE10" s="40">
        <f t="shared" ca="1" si="81"/>
        <v>60451.224900000016</v>
      </c>
      <c r="AF10" s="40">
        <f t="shared" ca="1" si="81"/>
        <v>66496.347390000024</v>
      </c>
      <c r="AG10" s="40">
        <f t="shared" ca="1" si="81"/>
        <v>73145.98212900004</v>
      </c>
      <c r="AH10" s="40">
        <f t="shared" ca="1" si="81"/>
        <v>80460.580341900044</v>
      </c>
      <c r="AI10" s="40">
        <f t="shared" ca="1" si="81"/>
        <v>88506.63837609005</v>
      </c>
      <c r="AJ10" s="40">
        <f t="shared" ca="1" si="81"/>
        <v>97357.302213699062</v>
      </c>
      <c r="AK10" s="40">
        <f t="shared" ca="1" si="81"/>
        <v>107093.03243506898</v>
      </c>
      <c r="AL10" s="40">
        <f t="shared" ca="1" si="81"/>
        <v>117802.33567857588</v>
      </c>
      <c r="AM10" s="40">
        <f t="shared" ca="1" si="81"/>
        <v>129582.56924643349</v>
      </c>
      <c r="AN10" s="40">
        <f t="shared" ca="1" si="81"/>
        <v>142540.82617107686</v>
      </c>
      <c r="AO10" s="40">
        <f t="shared" ca="1" si="81"/>
        <v>156794.90878818455</v>
      </c>
      <c r="AP10" s="40">
        <f t="shared" ca="1" si="81"/>
        <v>172474.39966700302</v>
      </c>
      <c r="AQ10" s="40">
        <f t="shared" ca="1" si="81"/>
        <v>189721.83963370335</v>
      </c>
      <c r="AR10" s="40">
        <f t="shared" ca="1" si="81"/>
        <v>208694.02359707371</v>
      </c>
      <c r="AS10" s="40">
        <f t="shared" ca="1" si="81"/>
        <v>229563.42595678111</v>
      </c>
      <c r="AT10" s="40">
        <f t="shared" ca="1" si="81"/>
        <v>252519.76855245925</v>
      </c>
      <c r="AU10" s="40">
        <f t="shared" ca="1" si="81"/>
        <v>277771.7454077052</v>
      </c>
      <c r="AV10" s="40">
        <f t="shared" ca="1" si="81"/>
        <v>305548.91994847573</v>
      </c>
      <c r="AW10" s="40">
        <f t="shared" ca="1" si="81"/>
        <v>336103.81194332335</v>
      </c>
      <c r="AX10" s="40">
        <f t="shared" ca="1" si="81"/>
        <v>369714.19313765573</v>
      </c>
      <c r="AY10" s="40">
        <f t="shared" ca="1" si="81"/>
        <v>406685.61245142133</v>
      </c>
      <c r="AZ10" s="40">
        <f t="shared" ca="1" si="81"/>
        <v>447354.17369656352</v>
      </c>
      <c r="BA10" s="40">
        <f t="shared" ca="1" si="81"/>
        <v>492089.5910662199</v>
      </c>
      <c r="BB10" s="40">
        <f t="shared" ca="1" si="81"/>
        <v>541298.55017284199</v>
      </c>
      <c r="BC10" s="40">
        <f t="shared" ca="1" si="81"/>
        <v>595428.40519012627</v>
      </c>
      <c r="BD10" s="40">
        <f t="shared" ca="1" si="81"/>
        <v>654971.24570913892</v>
      </c>
      <c r="BE10" s="40">
        <f t="shared" ca="1" si="81"/>
        <v>720468.37028005288</v>
      </c>
      <c r="BF10" s="40">
        <f t="shared" ca="1" si="81"/>
        <v>792515.20730805828</v>
      </c>
      <c r="BG10" s="40">
        <f t="shared" ca="1" si="81"/>
        <v>871766.72803886421</v>
      </c>
      <c r="BH10" s="40">
        <f t="shared" ca="1" si="81"/>
        <v>958943.40084275068</v>
      </c>
      <c r="BI10" s="40">
        <f t="shared" ca="1" si="81"/>
        <v>1054837.7409270259</v>
      </c>
      <c r="BJ10" s="40">
        <f t="shared" ca="1" si="81"/>
        <v>1160321.5150197286</v>
      </c>
      <c r="BK10" s="40">
        <f t="shared" ca="1" si="81"/>
        <v>1276353.6665217015</v>
      </c>
      <c r="BL10" s="40">
        <f t="shared" ca="1" si="81"/>
        <v>1403989.0331738717</v>
      </c>
      <c r="BM10" s="40">
        <f t="shared" ca="1" si="81"/>
        <v>1544387.9364912589</v>
      </c>
      <c r="BN10" s="40">
        <f t="shared" ca="1" si="81"/>
        <v>1698826.730140385</v>
      </c>
      <c r="BO10" s="40">
        <f t="shared" ca="1" si="81"/>
        <v>1868709.4031544237</v>
      </c>
      <c r="BP10" s="40">
        <f t="shared" ca="1" si="81"/>
        <v>2055580.3434698663</v>
      </c>
      <c r="BQ10" s="40">
        <f t="shared" ca="1" si="81"/>
        <v>2261138.3778168531</v>
      </c>
      <c r="BR10" s="40">
        <f t="shared" ca="1" si="81"/>
        <v>2487252.2155985385</v>
      </c>
      <c r="BS10" s="40">
        <f t="shared" ca="1" si="81"/>
        <v>2735977.4371583927</v>
      </c>
      <c r="BT10" s="40">
        <f t="shared" ca="1" si="81"/>
        <v>3009575.1808742322</v>
      </c>
      <c r="BU10" s="40">
        <f t="shared" ref="BU10:EF10" ca="1" si="82">IF(IF(AND(ISNA(BU$8),ISNA(BT$8)),BT10*(1+$E$10),IF(AND(BT$8&gt;0,ISNA(BU$8)),BT10*(1+$E$10),BU$8))&gt;$C$21,$C$21,IF(AND(ISNA(BU$8),ISNA(BT$8)),BT10*(1+$E$10),IF(AND(BT$8&gt;0,ISNA(BU$8)),BT10*(1+$E$10),BU$8)))</f>
        <v>3310532.6989616556</v>
      </c>
      <c r="BV10" s="40">
        <f t="shared" ca="1" si="82"/>
        <v>3641585.9688578215</v>
      </c>
      <c r="BW10" s="40">
        <f t="shared" ca="1" si="82"/>
        <v>4005744.5657436042</v>
      </c>
      <c r="BX10" s="40">
        <f t="shared" ca="1" si="82"/>
        <v>4406319.0223179646</v>
      </c>
      <c r="BY10" s="40">
        <f t="shared" ca="1" si="82"/>
        <v>4846950.9245497612</v>
      </c>
      <c r="BZ10" s="40">
        <f t="shared" ca="1" si="82"/>
        <v>5331646.0170047376</v>
      </c>
      <c r="CA10" s="40">
        <f t="shared" ca="1" si="82"/>
        <v>5864810.6187052121</v>
      </c>
      <c r="CB10" s="40">
        <f t="shared" ca="1" si="82"/>
        <v>6451291.680575734</v>
      </c>
      <c r="CC10" s="40">
        <f t="shared" ca="1" si="82"/>
        <v>7096420.848633308</v>
      </c>
      <c r="CD10" s="40">
        <f t="shared" ca="1" si="82"/>
        <v>7806062.9334966391</v>
      </c>
      <c r="CE10" s="40">
        <f t="shared" ca="1" si="82"/>
        <v>8586669.2268463038</v>
      </c>
      <c r="CF10" s="40">
        <f t="shared" ca="1" si="82"/>
        <v>9445336.1495309342</v>
      </c>
      <c r="CG10" s="40">
        <f t="shared" ca="1" si="82"/>
        <v>10389869.764484029</v>
      </c>
      <c r="CH10" s="40">
        <f t="shared" ca="1" si="82"/>
        <v>11428856.740932433</v>
      </c>
      <c r="CI10" s="40">
        <f t="shared" ca="1" si="82"/>
        <v>12571742.415025678</v>
      </c>
      <c r="CJ10" s="40">
        <f t="shared" ca="1" si="82"/>
        <v>13828916.656528246</v>
      </c>
      <c r="CK10" s="40">
        <f t="shared" ca="1" si="82"/>
        <v>15211808.322181072</v>
      </c>
      <c r="CL10" s="40">
        <f t="shared" ca="1" si="82"/>
        <v>16732989.154399181</v>
      </c>
      <c r="CM10" s="40">
        <f t="shared" ca="1" si="82"/>
        <v>18406288.069839101</v>
      </c>
      <c r="CN10" s="40">
        <f t="shared" ca="1" si="82"/>
        <v>20246916.876823012</v>
      </c>
      <c r="CO10" s="40">
        <f t="shared" ca="1" si="82"/>
        <v>22271608.564505316</v>
      </c>
      <c r="CP10" s="40">
        <f t="shared" ca="1" si="82"/>
        <v>24498769.420955852</v>
      </c>
      <c r="CQ10" s="40">
        <f t="shared" ca="1" si="82"/>
        <v>26948646.363051441</v>
      </c>
      <c r="CR10" s="40">
        <f t="shared" ca="1" si="82"/>
        <v>29643510.999356586</v>
      </c>
      <c r="CS10" s="40">
        <f t="shared" ca="1" si="82"/>
        <v>32607862.099292248</v>
      </c>
      <c r="CT10" s="40">
        <f t="shared" ca="1" si="82"/>
        <v>35868648.309221476</v>
      </c>
      <c r="CU10" s="40">
        <f t="shared" ca="1" si="82"/>
        <v>39455513.140143625</v>
      </c>
      <c r="CV10" s="40">
        <f t="shared" ca="1" si="82"/>
        <v>43401064.454157993</v>
      </c>
      <c r="CW10" s="40">
        <f t="shared" ca="1" si="82"/>
        <v>47741170.899573795</v>
      </c>
      <c r="CX10" s="40">
        <f t="shared" ca="1" si="82"/>
        <v>52515287.989531182</v>
      </c>
      <c r="CY10" s="40">
        <f t="shared" ca="1" si="82"/>
        <v>57766816.788484305</v>
      </c>
      <c r="CZ10" s="40">
        <f t="shared" ca="1" si="82"/>
        <v>63543498.467332743</v>
      </c>
      <c r="DA10" s="40">
        <f t="shared" ca="1" si="82"/>
        <v>69897848.314066023</v>
      </c>
      <c r="DB10" s="40">
        <f t="shared" ca="1" si="82"/>
        <v>76887633.145472631</v>
      </c>
      <c r="DC10" s="40">
        <f t="shared" ca="1" si="82"/>
        <v>84576396.460019901</v>
      </c>
      <c r="DD10" s="40">
        <f t="shared" ca="1" si="82"/>
        <v>93034036.106021896</v>
      </c>
      <c r="DE10" s="40">
        <f t="shared" ca="1" si="82"/>
        <v>102337439.7166241</v>
      </c>
      <c r="DF10" s="40">
        <f t="shared" ca="1" si="82"/>
        <v>112571183.68828651</v>
      </c>
      <c r="DG10" s="40">
        <f t="shared" ca="1" si="82"/>
        <v>123828302.05711517</v>
      </c>
      <c r="DH10" s="40">
        <f t="shared" ca="1" si="82"/>
        <v>132401060.40000001</v>
      </c>
      <c r="DI10" s="40">
        <f t="shared" ca="1" si="82"/>
        <v>132401060.40000001</v>
      </c>
      <c r="DJ10" s="40">
        <f t="shared" ca="1" si="82"/>
        <v>132401060.40000001</v>
      </c>
      <c r="DK10" s="40">
        <f t="shared" ca="1" si="82"/>
        <v>132401060.40000001</v>
      </c>
      <c r="DL10" s="40">
        <f t="shared" ca="1" si="82"/>
        <v>132401060.40000001</v>
      </c>
      <c r="DM10" s="40">
        <f t="shared" ca="1" si="82"/>
        <v>132401060.40000001</v>
      </c>
      <c r="DN10" s="40">
        <f t="shared" ca="1" si="82"/>
        <v>132401060.40000001</v>
      </c>
      <c r="DO10" s="40">
        <f t="shared" ca="1" si="82"/>
        <v>132401060.40000001</v>
      </c>
      <c r="DP10" s="40">
        <f t="shared" ca="1" si="82"/>
        <v>132401060.40000001</v>
      </c>
      <c r="DQ10" s="40">
        <f t="shared" ca="1" si="82"/>
        <v>132401060.40000001</v>
      </c>
      <c r="DR10" s="40">
        <f t="shared" ca="1" si="82"/>
        <v>132401060.40000001</v>
      </c>
      <c r="DS10" s="40">
        <f t="shared" ca="1" si="82"/>
        <v>132401060.40000001</v>
      </c>
      <c r="DT10" s="40">
        <f t="shared" ca="1" si="82"/>
        <v>132401060.40000001</v>
      </c>
      <c r="DU10" s="40">
        <f t="shared" ca="1" si="82"/>
        <v>132401060.40000001</v>
      </c>
      <c r="DV10" s="40">
        <f t="shared" ca="1" si="82"/>
        <v>132401060.40000001</v>
      </c>
      <c r="DW10" s="40">
        <f t="shared" ca="1" si="82"/>
        <v>132401060.40000001</v>
      </c>
      <c r="DX10" s="40">
        <f t="shared" ca="1" si="82"/>
        <v>132401060.40000001</v>
      </c>
      <c r="DY10" s="40">
        <f t="shared" ca="1" si="82"/>
        <v>132401060.40000001</v>
      </c>
      <c r="DZ10" s="40">
        <f t="shared" ca="1" si="82"/>
        <v>132401060.40000001</v>
      </c>
      <c r="EA10" s="40">
        <f t="shared" ca="1" si="82"/>
        <v>132401060.40000001</v>
      </c>
      <c r="EB10" s="40">
        <f t="shared" ca="1" si="82"/>
        <v>132401060.40000001</v>
      </c>
      <c r="EC10" s="40">
        <f t="shared" ca="1" si="82"/>
        <v>132401060.40000001</v>
      </c>
      <c r="ED10" s="40">
        <f t="shared" ca="1" si="82"/>
        <v>132401060.40000001</v>
      </c>
      <c r="EE10" s="40">
        <f t="shared" ca="1" si="82"/>
        <v>132401060.40000001</v>
      </c>
      <c r="EF10" s="40">
        <f t="shared" ca="1" si="82"/>
        <v>132401060.40000001</v>
      </c>
      <c r="EG10" s="40">
        <f t="shared" ref="EG10:GR10" ca="1" si="83">IF(IF(AND(ISNA(EG$8),ISNA(EF$8)),EF10*(1+$E$10),IF(AND(EF$8&gt;0,ISNA(EG$8)),EF10*(1+$E$10),EG$8))&gt;$C$21,$C$21,IF(AND(ISNA(EG$8),ISNA(EF$8)),EF10*(1+$E$10),IF(AND(EF$8&gt;0,ISNA(EG$8)),EF10*(1+$E$10),EG$8)))</f>
        <v>132401060.40000001</v>
      </c>
      <c r="EH10" s="40">
        <f t="shared" ca="1" si="83"/>
        <v>132401060.40000001</v>
      </c>
      <c r="EI10" s="40">
        <f t="shared" ca="1" si="83"/>
        <v>132401060.40000001</v>
      </c>
      <c r="EJ10" s="40">
        <f t="shared" ca="1" si="83"/>
        <v>132401060.40000001</v>
      </c>
      <c r="EK10" s="40">
        <f t="shared" ca="1" si="83"/>
        <v>132401060.40000001</v>
      </c>
      <c r="EL10" s="40">
        <f t="shared" ca="1" si="83"/>
        <v>132401060.40000001</v>
      </c>
      <c r="EM10" s="40">
        <f t="shared" ca="1" si="83"/>
        <v>132401060.40000001</v>
      </c>
      <c r="EN10" s="40">
        <f t="shared" ca="1" si="83"/>
        <v>132401060.40000001</v>
      </c>
      <c r="EO10" s="40">
        <f t="shared" ca="1" si="83"/>
        <v>132401060.40000001</v>
      </c>
      <c r="EP10" s="40">
        <f t="shared" ca="1" si="83"/>
        <v>132401060.40000001</v>
      </c>
      <c r="EQ10" s="40">
        <f t="shared" ca="1" si="83"/>
        <v>132401060.40000001</v>
      </c>
      <c r="ER10" s="40">
        <f t="shared" ca="1" si="83"/>
        <v>132401060.40000001</v>
      </c>
      <c r="ES10" s="40">
        <f t="shared" ca="1" si="83"/>
        <v>132401060.40000001</v>
      </c>
      <c r="ET10" s="40">
        <f t="shared" ca="1" si="83"/>
        <v>132401060.40000001</v>
      </c>
      <c r="EU10" s="40">
        <f t="shared" ca="1" si="83"/>
        <v>132401060.40000001</v>
      </c>
      <c r="EV10" s="40">
        <f t="shared" ca="1" si="83"/>
        <v>132401060.40000001</v>
      </c>
      <c r="EW10" s="40">
        <f t="shared" ca="1" si="83"/>
        <v>132401060.40000001</v>
      </c>
      <c r="EX10" s="40">
        <f t="shared" ca="1" si="83"/>
        <v>132401060.40000001</v>
      </c>
      <c r="EY10" s="40">
        <f t="shared" ca="1" si="83"/>
        <v>132401060.40000001</v>
      </c>
      <c r="EZ10" s="40">
        <f t="shared" ca="1" si="83"/>
        <v>132401060.40000001</v>
      </c>
      <c r="FA10" s="40">
        <f t="shared" ca="1" si="83"/>
        <v>132401060.40000001</v>
      </c>
      <c r="FB10" s="40">
        <f t="shared" ca="1" si="83"/>
        <v>132401060.40000001</v>
      </c>
      <c r="FC10" s="40">
        <f t="shared" ca="1" si="83"/>
        <v>132401060.40000001</v>
      </c>
      <c r="FD10" s="40">
        <f t="shared" ca="1" si="83"/>
        <v>132401060.40000001</v>
      </c>
      <c r="FE10" s="40">
        <f t="shared" ca="1" si="83"/>
        <v>132401060.40000001</v>
      </c>
      <c r="FF10" s="40">
        <f t="shared" ca="1" si="83"/>
        <v>132401060.40000001</v>
      </c>
      <c r="FG10" s="40">
        <f t="shared" ca="1" si="83"/>
        <v>132401060.40000001</v>
      </c>
      <c r="FH10" s="40">
        <f t="shared" ca="1" si="83"/>
        <v>132401060.40000001</v>
      </c>
      <c r="FI10" s="40">
        <f t="shared" ca="1" si="83"/>
        <v>132401060.40000001</v>
      </c>
      <c r="FJ10" s="40">
        <f t="shared" ca="1" si="83"/>
        <v>132401060.40000001</v>
      </c>
      <c r="FK10" s="40">
        <f t="shared" ca="1" si="83"/>
        <v>132401060.40000001</v>
      </c>
      <c r="FL10" s="40">
        <f t="shared" ca="1" si="83"/>
        <v>132401060.40000001</v>
      </c>
      <c r="FM10" s="40">
        <f t="shared" ca="1" si="83"/>
        <v>132401060.40000001</v>
      </c>
      <c r="FN10" s="40">
        <f t="shared" ca="1" si="83"/>
        <v>132401060.40000001</v>
      </c>
      <c r="FO10" s="40">
        <f t="shared" ca="1" si="83"/>
        <v>132401060.40000001</v>
      </c>
      <c r="FP10" s="40">
        <f t="shared" ca="1" si="83"/>
        <v>132401060.40000001</v>
      </c>
      <c r="FQ10" s="40">
        <f t="shared" ca="1" si="83"/>
        <v>132401060.40000001</v>
      </c>
      <c r="FR10" s="40">
        <f t="shared" ca="1" si="83"/>
        <v>132401060.40000001</v>
      </c>
      <c r="FS10" s="40">
        <f t="shared" ca="1" si="83"/>
        <v>132401060.40000001</v>
      </c>
      <c r="FT10" s="40">
        <f t="shared" ca="1" si="83"/>
        <v>132401060.40000001</v>
      </c>
      <c r="FU10" s="40">
        <f t="shared" ca="1" si="83"/>
        <v>132401060.40000001</v>
      </c>
      <c r="FV10" s="40">
        <f t="shared" ca="1" si="83"/>
        <v>132401060.40000001</v>
      </c>
      <c r="FW10" s="40">
        <f t="shared" ca="1" si="83"/>
        <v>132401060.40000001</v>
      </c>
      <c r="FX10" s="40">
        <f t="shared" ca="1" si="83"/>
        <v>132401060.40000001</v>
      </c>
      <c r="FY10" s="40">
        <f t="shared" ca="1" si="83"/>
        <v>132401060.40000001</v>
      </c>
      <c r="FZ10" s="40">
        <f t="shared" ca="1" si="83"/>
        <v>132401060.40000001</v>
      </c>
      <c r="GA10" s="40">
        <f t="shared" ca="1" si="83"/>
        <v>132401060.40000001</v>
      </c>
      <c r="GB10" s="40">
        <f t="shared" ca="1" si="83"/>
        <v>132401060.40000001</v>
      </c>
      <c r="GC10" s="40">
        <f t="shared" ca="1" si="83"/>
        <v>132401060.40000001</v>
      </c>
      <c r="GD10" s="40">
        <f t="shared" ca="1" si="83"/>
        <v>132401060.40000001</v>
      </c>
      <c r="GE10" s="40">
        <f t="shared" ca="1" si="83"/>
        <v>132401060.40000001</v>
      </c>
      <c r="GF10" s="40">
        <f t="shared" ca="1" si="83"/>
        <v>132401060.40000001</v>
      </c>
      <c r="GG10" s="40">
        <f t="shared" ca="1" si="83"/>
        <v>132401060.40000001</v>
      </c>
      <c r="GH10" s="40">
        <f t="shared" ca="1" si="83"/>
        <v>132401060.40000001</v>
      </c>
      <c r="GI10" s="40">
        <f t="shared" ca="1" si="83"/>
        <v>132401060.40000001</v>
      </c>
      <c r="GJ10" s="40">
        <f t="shared" ca="1" si="83"/>
        <v>132401060.40000001</v>
      </c>
      <c r="GK10" s="40">
        <f t="shared" ca="1" si="83"/>
        <v>132401060.40000001</v>
      </c>
      <c r="GL10" s="40">
        <f t="shared" ca="1" si="83"/>
        <v>132401060.40000001</v>
      </c>
      <c r="GM10" s="40">
        <f t="shared" ca="1" si="83"/>
        <v>132401060.40000001</v>
      </c>
      <c r="GN10" s="40">
        <f t="shared" ca="1" si="83"/>
        <v>132401060.40000001</v>
      </c>
      <c r="GO10" s="40">
        <f t="shared" ca="1" si="83"/>
        <v>132401060.40000001</v>
      </c>
      <c r="GP10" s="40">
        <f t="shared" ca="1" si="83"/>
        <v>132401060.40000001</v>
      </c>
      <c r="GQ10" s="40">
        <f t="shared" ca="1" si="83"/>
        <v>132401060.40000001</v>
      </c>
      <c r="GR10" s="40">
        <f t="shared" ca="1" si="83"/>
        <v>132401060.40000001</v>
      </c>
      <c r="GS10" s="40">
        <f t="shared" ref="GS10:IN10" ca="1" si="84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4"/>
        <v>132401060.40000001</v>
      </c>
      <c r="GU10" s="40">
        <f t="shared" ca="1" si="84"/>
        <v>132401060.40000001</v>
      </c>
      <c r="GV10" s="40">
        <f t="shared" ca="1" si="84"/>
        <v>132401060.40000001</v>
      </c>
      <c r="GW10" s="40">
        <f t="shared" ca="1" si="84"/>
        <v>132401060.40000001</v>
      </c>
      <c r="GX10" s="40">
        <f t="shared" ca="1" si="84"/>
        <v>132401060.40000001</v>
      </c>
      <c r="GY10" s="40">
        <f t="shared" ca="1" si="84"/>
        <v>132401060.40000001</v>
      </c>
      <c r="GZ10" s="40">
        <f t="shared" ca="1" si="84"/>
        <v>132401060.40000001</v>
      </c>
      <c r="HA10" s="40">
        <f t="shared" ca="1" si="84"/>
        <v>132401060.40000001</v>
      </c>
      <c r="HB10" s="40">
        <f t="shared" ca="1" si="84"/>
        <v>132401060.40000001</v>
      </c>
      <c r="HC10" s="40">
        <f t="shared" ca="1" si="84"/>
        <v>132401060.40000001</v>
      </c>
      <c r="HD10" s="40">
        <f t="shared" ca="1" si="84"/>
        <v>132401060.40000001</v>
      </c>
      <c r="HE10" s="40">
        <f t="shared" ca="1" si="84"/>
        <v>132401060.40000001</v>
      </c>
      <c r="HF10" s="40">
        <f t="shared" ca="1" si="84"/>
        <v>132401060.40000001</v>
      </c>
      <c r="HG10" s="40">
        <f t="shared" ca="1" si="84"/>
        <v>132401060.40000001</v>
      </c>
      <c r="HH10" s="40">
        <f t="shared" ca="1" si="84"/>
        <v>132401060.40000001</v>
      </c>
      <c r="HI10" s="40">
        <f t="shared" ca="1" si="84"/>
        <v>132401060.40000001</v>
      </c>
      <c r="HJ10" s="40">
        <f t="shared" ca="1" si="84"/>
        <v>132401060.40000001</v>
      </c>
      <c r="HK10" s="40">
        <f t="shared" ca="1" si="84"/>
        <v>132401060.40000001</v>
      </c>
      <c r="HL10" s="40">
        <f t="shared" ca="1" si="84"/>
        <v>132401060.40000001</v>
      </c>
      <c r="HM10" s="40">
        <f t="shared" ca="1" si="84"/>
        <v>132401060.40000001</v>
      </c>
      <c r="HN10" s="40">
        <f t="shared" ca="1" si="84"/>
        <v>132401060.40000001</v>
      </c>
      <c r="HO10" s="40">
        <f t="shared" ca="1" si="84"/>
        <v>132401060.40000001</v>
      </c>
      <c r="HP10" s="40">
        <f t="shared" ca="1" si="84"/>
        <v>132401060.40000001</v>
      </c>
      <c r="HQ10" s="40">
        <f t="shared" ca="1" si="84"/>
        <v>132401060.40000001</v>
      </c>
      <c r="HR10" s="40">
        <f t="shared" ca="1" si="84"/>
        <v>132401060.40000001</v>
      </c>
      <c r="HS10" s="40">
        <f t="shared" ca="1" si="84"/>
        <v>132401060.40000001</v>
      </c>
      <c r="HT10" s="40">
        <f t="shared" ca="1" si="84"/>
        <v>132401060.40000001</v>
      </c>
      <c r="HU10" s="40">
        <f t="shared" ca="1" si="84"/>
        <v>132401060.40000001</v>
      </c>
      <c r="HV10" s="40">
        <f t="shared" ca="1" si="84"/>
        <v>132401060.40000001</v>
      </c>
      <c r="HW10" s="40">
        <f t="shared" ca="1" si="84"/>
        <v>132401060.40000001</v>
      </c>
      <c r="HX10" s="40">
        <f t="shared" ca="1" si="84"/>
        <v>132401060.40000001</v>
      </c>
      <c r="HY10" s="40">
        <f t="shared" ca="1" si="84"/>
        <v>132401060.40000001</v>
      </c>
      <c r="HZ10" s="40">
        <f t="shared" ca="1" si="84"/>
        <v>132401060.40000001</v>
      </c>
      <c r="IA10" s="40">
        <f t="shared" ca="1" si="84"/>
        <v>132401060.40000001</v>
      </c>
      <c r="IB10" s="40">
        <f t="shared" ca="1" si="84"/>
        <v>132401060.40000001</v>
      </c>
      <c r="IC10" s="40">
        <f t="shared" ca="1" si="84"/>
        <v>132401060.40000001</v>
      </c>
      <c r="ID10" s="40">
        <f t="shared" ca="1" si="84"/>
        <v>132401060.40000001</v>
      </c>
      <c r="IE10" s="40">
        <f t="shared" ca="1" si="84"/>
        <v>132401060.40000001</v>
      </c>
      <c r="IF10" s="40">
        <f t="shared" ca="1" si="84"/>
        <v>132401060.40000001</v>
      </c>
      <c r="IG10" s="40">
        <f t="shared" ca="1" si="84"/>
        <v>132401060.40000001</v>
      </c>
      <c r="IH10" s="40">
        <f t="shared" ca="1" si="84"/>
        <v>132401060.40000001</v>
      </c>
      <c r="II10" s="40">
        <f t="shared" ca="1" si="84"/>
        <v>132401060.40000001</v>
      </c>
      <c r="IJ10" s="40">
        <f t="shared" ca="1" si="84"/>
        <v>132401060.40000001</v>
      </c>
      <c r="IK10" s="40">
        <f t="shared" ca="1" si="84"/>
        <v>132401060.40000001</v>
      </c>
      <c r="IL10" s="40">
        <f t="shared" ca="1" si="84"/>
        <v>132401060.40000001</v>
      </c>
      <c r="IM10" s="40">
        <f t="shared" ca="1" si="84"/>
        <v>132401060.40000001</v>
      </c>
      <c r="IN10" s="40">
        <f t="shared" ca="1" si="84"/>
        <v>132401060.40000001</v>
      </c>
    </row>
    <row r="11" spans="2:248" x14ac:dyDescent="0.3">
      <c r="B11" s="19" t="s">
        <v>528</v>
      </c>
      <c r="C11" s="53">
        <f ca="1">(HLOOKUP(C5-1,G4:IN8,5,FALSE)/HLOOKUP(C5-1-C10,G4:IN8,5,FALSE))^(1/C10)-1</f>
        <v>0.42033484889921846</v>
      </c>
      <c r="E11" s="19">
        <v>0.25</v>
      </c>
      <c r="F11" s="19" t="s">
        <v>495</v>
      </c>
      <c r="G11" s="40">
        <f t="shared" ref="G11" si="85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:AJ11" ca="1" si="86">IF(IF(AND(ISNA(H$8),ISNA(G$8)),G11*(1+$E$11),IF(AND(G$8&gt;0,ISNA(H$8)),G11*(1+$E$11),H$8))&gt;$C$21,$C$21,IF(AND(ISNA(H$8),ISNA(G$8)),G11*(1+$E$11),IF(AND(G$8&gt;0,ISNA(H$8)),G11*(1+$E$11),H$8)))</f>
        <v>149</v>
      </c>
      <c r="I11" s="40">
        <f t="shared" ref="I11:BT11" ca="1" si="87">IF(IF(AND(ISNA(I$8),ISNA(H$8)),H11*(1+$E$11),IF(AND(H$8&gt;0,ISNA(I$8)),H11*(1+$E$11),I$8))&gt;$C$21,$C$21,IF(AND(ISNA(I$8),ISNA(H$8)),H11*(1+$E$11),IF(AND(H$8&gt;0,ISNA(I$8)),H11*(1+$E$11),I$8)))</f>
        <v>216</v>
      </c>
      <c r="J11" s="40">
        <f t="shared" ca="1" si="87"/>
        <v>259</v>
      </c>
      <c r="K11" s="40">
        <f t="shared" ca="1" si="87"/>
        <v>396</v>
      </c>
      <c r="L11" s="40">
        <f t="shared" ca="1" si="87"/>
        <v>508</v>
      </c>
      <c r="M11" s="40">
        <f t="shared" ca="1" si="87"/>
        <v>572</v>
      </c>
      <c r="N11" s="40">
        <f t="shared" ca="1" si="87"/>
        <v>942</v>
      </c>
      <c r="O11" s="40">
        <f t="shared" ca="1" si="87"/>
        <v>1256</v>
      </c>
      <c r="P11" s="40">
        <f t="shared" ca="1" si="87"/>
        <v>1634</v>
      </c>
      <c r="Q11" s="40">
        <f t="shared" ca="1" si="87"/>
        <v>2143</v>
      </c>
      <c r="R11" s="40">
        <f t="shared" ca="1" si="87"/>
        <v>2448</v>
      </c>
      <c r="S11" s="40">
        <f t="shared" ca="1" si="87"/>
        <v>3267</v>
      </c>
      <c r="T11" s="40">
        <f t="shared" ca="1" si="87"/>
        <v>4275</v>
      </c>
      <c r="U11" s="40">
        <f t="shared" ca="1" si="87"/>
        <v>6022</v>
      </c>
      <c r="V11" s="40">
        <f t="shared" ca="1" si="87"/>
        <v>7143</v>
      </c>
      <c r="W11" s="40">
        <f t="shared" ca="1" si="87"/>
        <v>12868</v>
      </c>
      <c r="X11" s="40">
        <f t="shared" ca="1" si="87"/>
        <v>18231</v>
      </c>
      <c r="Y11" s="40">
        <f t="shared" ca="1" si="87"/>
        <v>23881</v>
      </c>
      <c r="Z11" s="40">
        <f t="shared" ca="1" si="87"/>
        <v>31300</v>
      </c>
      <c r="AA11" s="40">
        <f t="shared" ca="1" si="87"/>
        <v>41289</v>
      </c>
      <c r="AB11" s="40">
        <f t="shared" ca="1" si="87"/>
        <v>51611.25</v>
      </c>
      <c r="AC11" s="40">
        <f t="shared" ca="1" si="87"/>
        <v>64514.0625</v>
      </c>
      <c r="AD11" s="40">
        <f t="shared" ca="1" si="87"/>
        <v>80642.578125</v>
      </c>
      <c r="AE11" s="40">
        <f t="shared" ca="1" si="87"/>
        <v>100803.22265625</v>
      </c>
      <c r="AF11" s="40">
        <f t="shared" ca="1" si="87"/>
        <v>126004.0283203125</v>
      </c>
      <c r="AG11" s="40">
        <f t="shared" ca="1" si="87"/>
        <v>157505.03540039063</v>
      </c>
      <c r="AH11" s="40">
        <f t="shared" ca="1" si="87"/>
        <v>196881.29425048828</v>
      </c>
      <c r="AI11" s="40">
        <f t="shared" ca="1" si="87"/>
        <v>246101.61781311035</v>
      </c>
      <c r="AJ11" s="40">
        <f t="shared" ca="1" si="87"/>
        <v>307627.02226638794</v>
      </c>
      <c r="AK11" s="40">
        <f t="shared" ca="1" si="87"/>
        <v>384533.77783298492</v>
      </c>
      <c r="AL11" s="40">
        <f t="shared" ca="1" si="87"/>
        <v>480667.22229123116</v>
      </c>
      <c r="AM11" s="40">
        <f t="shared" ca="1" si="87"/>
        <v>600834.02786403894</v>
      </c>
      <c r="AN11" s="40">
        <f t="shared" ca="1" si="87"/>
        <v>751042.53483004868</v>
      </c>
      <c r="AO11" s="40">
        <f t="shared" ca="1" si="87"/>
        <v>938803.16853756085</v>
      </c>
      <c r="AP11" s="40">
        <f t="shared" ca="1" si="87"/>
        <v>1173503.9606719511</v>
      </c>
      <c r="AQ11" s="40">
        <f t="shared" ca="1" si="87"/>
        <v>1466879.9508399388</v>
      </c>
      <c r="AR11" s="40">
        <f t="shared" ca="1" si="87"/>
        <v>1833599.9385499235</v>
      </c>
      <c r="AS11" s="40">
        <f t="shared" ca="1" si="87"/>
        <v>2291999.9231874044</v>
      </c>
      <c r="AT11" s="40">
        <f t="shared" ca="1" si="87"/>
        <v>2864999.9039842556</v>
      </c>
      <c r="AU11" s="40">
        <f t="shared" ca="1" si="87"/>
        <v>3581249.8799803196</v>
      </c>
      <c r="AV11" s="40">
        <f t="shared" ca="1" si="87"/>
        <v>4476562.3499753997</v>
      </c>
      <c r="AW11" s="40">
        <f t="shared" ca="1" si="87"/>
        <v>5595702.9374692496</v>
      </c>
      <c r="AX11" s="40">
        <f t="shared" ca="1" si="87"/>
        <v>6994628.6718365625</v>
      </c>
      <c r="AY11" s="40">
        <f t="shared" ca="1" si="87"/>
        <v>8743285.8397957031</v>
      </c>
      <c r="AZ11" s="40">
        <f t="shared" ca="1" si="87"/>
        <v>10929107.299744628</v>
      </c>
      <c r="BA11" s="40">
        <f t="shared" ca="1" si="87"/>
        <v>13661384.124680785</v>
      </c>
      <c r="BB11" s="40">
        <f t="shared" ca="1" si="87"/>
        <v>17076730.15585098</v>
      </c>
      <c r="BC11" s="40">
        <f t="shared" ca="1" si="87"/>
        <v>21345912.694813725</v>
      </c>
      <c r="BD11" s="40">
        <f t="shared" ca="1" si="87"/>
        <v>26682390.868517157</v>
      </c>
      <c r="BE11" s="40">
        <f t="shared" ca="1" si="87"/>
        <v>33352988.585646447</v>
      </c>
      <c r="BF11" s="40">
        <f t="shared" ca="1" si="87"/>
        <v>41691235.732058056</v>
      </c>
      <c r="BG11" s="40">
        <f t="shared" ca="1" si="87"/>
        <v>52114044.665072568</v>
      </c>
      <c r="BH11" s="40">
        <f t="shared" ca="1" si="87"/>
        <v>65142555.831340708</v>
      </c>
      <c r="BI11" s="40">
        <f t="shared" ca="1" si="87"/>
        <v>81428194.789175883</v>
      </c>
      <c r="BJ11" s="40">
        <f t="shared" ca="1" si="87"/>
        <v>101785243.48646985</v>
      </c>
      <c r="BK11" s="40">
        <f t="shared" ca="1" si="87"/>
        <v>127231554.35808732</v>
      </c>
      <c r="BL11" s="40">
        <f t="shared" ca="1" si="87"/>
        <v>132401060.40000001</v>
      </c>
      <c r="BM11" s="40">
        <f t="shared" ca="1" si="87"/>
        <v>132401060.40000001</v>
      </c>
      <c r="BN11" s="40">
        <f t="shared" ca="1" si="87"/>
        <v>132401060.40000001</v>
      </c>
      <c r="BO11" s="40">
        <f t="shared" ca="1" si="87"/>
        <v>132401060.40000001</v>
      </c>
      <c r="BP11" s="40">
        <f t="shared" ca="1" si="87"/>
        <v>132401060.40000001</v>
      </c>
      <c r="BQ11" s="40">
        <f t="shared" ca="1" si="87"/>
        <v>132401060.40000001</v>
      </c>
      <c r="BR11" s="40">
        <f t="shared" ca="1" si="87"/>
        <v>132401060.40000001</v>
      </c>
      <c r="BS11" s="40">
        <f t="shared" ca="1" si="87"/>
        <v>132401060.40000001</v>
      </c>
      <c r="BT11" s="40">
        <f t="shared" ca="1" si="87"/>
        <v>132401060.40000001</v>
      </c>
      <c r="BU11" s="40">
        <f t="shared" ref="BU11:EF11" ca="1" si="88">IF(IF(AND(ISNA(BU$8),ISNA(BT$8)),BT11*(1+$E$11),IF(AND(BT$8&gt;0,ISNA(BU$8)),BT11*(1+$E$11),BU$8))&gt;$C$21,$C$21,IF(AND(ISNA(BU$8),ISNA(BT$8)),BT11*(1+$E$11),IF(AND(BT$8&gt;0,ISNA(BU$8)),BT11*(1+$E$11),BU$8)))</f>
        <v>132401060.40000001</v>
      </c>
      <c r="BV11" s="40">
        <f t="shared" ca="1" si="88"/>
        <v>132401060.40000001</v>
      </c>
      <c r="BW11" s="40">
        <f t="shared" ca="1" si="88"/>
        <v>132401060.40000001</v>
      </c>
      <c r="BX11" s="40">
        <f t="shared" ca="1" si="88"/>
        <v>132401060.40000001</v>
      </c>
      <c r="BY11" s="40">
        <f t="shared" ca="1" si="88"/>
        <v>132401060.40000001</v>
      </c>
      <c r="BZ11" s="40">
        <f t="shared" ca="1" si="88"/>
        <v>132401060.40000001</v>
      </c>
      <c r="CA11" s="40">
        <f t="shared" ca="1" si="88"/>
        <v>132401060.40000001</v>
      </c>
      <c r="CB11" s="40">
        <f t="shared" ca="1" si="88"/>
        <v>132401060.40000001</v>
      </c>
      <c r="CC11" s="40">
        <f t="shared" ca="1" si="88"/>
        <v>132401060.40000001</v>
      </c>
      <c r="CD11" s="40">
        <f t="shared" ca="1" si="88"/>
        <v>132401060.40000001</v>
      </c>
      <c r="CE11" s="40">
        <f t="shared" ca="1" si="88"/>
        <v>132401060.40000001</v>
      </c>
      <c r="CF11" s="40">
        <f t="shared" ca="1" si="88"/>
        <v>132401060.40000001</v>
      </c>
      <c r="CG11" s="40">
        <f t="shared" ca="1" si="88"/>
        <v>132401060.40000001</v>
      </c>
      <c r="CH11" s="40">
        <f t="shared" ca="1" si="88"/>
        <v>132401060.40000001</v>
      </c>
      <c r="CI11" s="40">
        <f t="shared" ca="1" si="88"/>
        <v>132401060.40000001</v>
      </c>
      <c r="CJ11" s="40">
        <f t="shared" ca="1" si="88"/>
        <v>132401060.40000001</v>
      </c>
      <c r="CK11" s="40">
        <f t="shared" ca="1" si="88"/>
        <v>132401060.40000001</v>
      </c>
      <c r="CL11" s="40">
        <f t="shared" ca="1" si="88"/>
        <v>132401060.40000001</v>
      </c>
      <c r="CM11" s="40">
        <f t="shared" ca="1" si="88"/>
        <v>132401060.40000001</v>
      </c>
      <c r="CN11" s="40">
        <f t="shared" ca="1" si="88"/>
        <v>132401060.40000001</v>
      </c>
      <c r="CO11" s="40">
        <f t="shared" ca="1" si="88"/>
        <v>132401060.40000001</v>
      </c>
      <c r="CP11" s="40">
        <f t="shared" ca="1" si="88"/>
        <v>132401060.40000001</v>
      </c>
      <c r="CQ11" s="40">
        <f t="shared" ca="1" si="88"/>
        <v>132401060.40000001</v>
      </c>
      <c r="CR11" s="40">
        <f t="shared" ca="1" si="88"/>
        <v>132401060.40000001</v>
      </c>
      <c r="CS11" s="40">
        <f t="shared" ca="1" si="88"/>
        <v>132401060.40000001</v>
      </c>
      <c r="CT11" s="40">
        <f t="shared" ca="1" si="88"/>
        <v>132401060.40000001</v>
      </c>
      <c r="CU11" s="40">
        <f t="shared" ca="1" si="88"/>
        <v>132401060.40000001</v>
      </c>
      <c r="CV11" s="40">
        <f t="shared" ca="1" si="88"/>
        <v>132401060.40000001</v>
      </c>
      <c r="CW11" s="40">
        <f t="shared" ca="1" si="88"/>
        <v>132401060.40000001</v>
      </c>
      <c r="CX11" s="40">
        <f t="shared" ca="1" si="88"/>
        <v>132401060.40000001</v>
      </c>
      <c r="CY11" s="40">
        <f t="shared" ca="1" si="88"/>
        <v>132401060.40000001</v>
      </c>
      <c r="CZ11" s="40">
        <f t="shared" ca="1" si="88"/>
        <v>132401060.40000001</v>
      </c>
      <c r="DA11" s="40">
        <f t="shared" ca="1" si="88"/>
        <v>132401060.40000001</v>
      </c>
      <c r="DB11" s="40">
        <f t="shared" ca="1" si="88"/>
        <v>132401060.40000001</v>
      </c>
      <c r="DC11" s="40">
        <f t="shared" ca="1" si="88"/>
        <v>132401060.40000001</v>
      </c>
      <c r="DD11" s="40">
        <f t="shared" ca="1" si="88"/>
        <v>132401060.40000001</v>
      </c>
      <c r="DE11" s="40">
        <f t="shared" ca="1" si="88"/>
        <v>132401060.40000001</v>
      </c>
      <c r="DF11" s="40">
        <f t="shared" ca="1" si="88"/>
        <v>132401060.40000001</v>
      </c>
      <c r="DG11" s="40">
        <f t="shared" ca="1" si="88"/>
        <v>132401060.40000001</v>
      </c>
      <c r="DH11" s="40">
        <f t="shared" ca="1" si="88"/>
        <v>132401060.40000001</v>
      </c>
      <c r="DI11" s="40">
        <f t="shared" ca="1" si="88"/>
        <v>132401060.40000001</v>
      </c>
      <c r="DJ11" s="40">
        <f t="shared" ca="1" si="88"/>
        <v>132401060.40000001</v>
      </c>
      <c r="DK11" s="40">
        <f t="shared" ca="1" si="88"/>
        <v>132401060.40000001</v>
      </c>
      <c r="DL11" s="40">
        <f t="shared" ca="1" si="88"/>
        <v>132401060.40000001</v>
      </c>
      <c r="DM11" s="40">
        <f t="shared" ca="1" si="88"/>
        <v>132401060.40000001</v>
      </c>
      <c r="DN11" s="40">
        <f t="shared" ca="1" si="88"/>
        <v>132401060.40000001</v>
      </c>
      <c r="DO11" s="40">
        <f t="shared" ca="1" si="88"/>
        <v>132401060.40000001</v>
      </c>
      <c r="DP11" s="40">
        <f t="shared" ca="1" si="88"/>
        <v>132401060.40000001</v>
      </c>
      <c r="DQ11" s="40">
        <f t="shared" ca="1" si="88"/>
        <v>132401060.40000001</v>
      </c>
      <c r="DR11" s="40">
        <f t="shared" ca="1" si="88"/>
        <v>132401060.40000001</v>
      </c>
      <c r="DS11" s="40">
        <f t="shared" ca="1" si="88"/>
        <v>132401060.40000001</v>
      </c>
      <c r="DT11" s="40">
        <f t="shared" ca="1" si="88"/>
        <v>132401060.40000001</v>
      </c>
      <c r="DU11" s="40">
        <f t="shared" ca="1" si="88"/>
        <v>132401060.40000001</v>
      </c>
      <c r="DV11" s="40">
        <f t="shared" ca="1" si="88"/>
        <v>132401060.40000001</v>
      </c>
      <c r="DW11" s="40">
        <f t="shared" ca="1" si="88"/>
        <v>132401060.40000001</v>
      </c>
      <c r="DX11" s="40">
        <f t="shared" ca="1" si="88"/>
        <v>132401060.40000001</v>
      </c>
      <c r="DY11" s="40">
        <f t="shared" ca="1" si="88"/>
        <v>132401060.40000001</v>
      </c>
      <c r="DZ11" s="40">
        <f t="shared" ca="1" si="88"/>
        <v>132401060.40000001</v>
      </c>
      <c r="EA11" s="40">
        <f t="shared" ca="1" si="88"/>
        <v>132401060.40000001</v>
      </c>
      <c r="EB11" s="40">
        <f t="shared" ca="1" si="88"/>
        <v>132401060.40000001</v>
      </c>
      <c r="EC11" s="40">
        <f t="shared" ca="1" si="88"/>
        <v>132401060.40000001</v>
      </c>
      <c r="ED11" s="40">
        <f t="shared" ca="1" si="88"/>
        <v>132401060.40000001</v>
      </c>
      <c r="EE11" s="40">
        <f t="shared" ca="1" si="88"/>
        <v>132401060.40000001</v>
      </c>
      <c r="EF11" s="40">
        <f t="shared" ca="1" si="88"/>
        <v>132401060.40000001</v>
      </c>
      <c r="EG11" s="40">
        <f t="shared" ref="EG11:GR11" ca="1" si="89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9"/>
        <v>132401060.40000001</v>
      </c>
      <c r="EI11" s="40">
        <f t="shared" ca="1" si="89"/>
        <v>132401060.40000001</v>
      </c>
      <c r="EJ11" s="40">
        <f t="shared" ca="1" si="89"/>
        <v>132401060.40000001</v>
      </c>
      <c r="EK11" s="40">
        <f t="shared" ca="1" si="89"/>
        <v>132401060.40000001</v>
      </c>
      <c r="EL11" s="40">
        <f t="shared" ca="1" si="89"/>
        <v>132401060.40000001</v>
      </c>
      <c r="EM11" s="40">
        <f t="shared" ca="1" si="89"/>
        <v>132401060.40000001</v>
      </c>
      <c r="EN11" s="40">
        <f t="shared" ca="1" si="89"/>
        <v>132401060.40000001</v>
      </c>
      <c r="EO11" s="40">
        <f t="shared" ca="1" si="89"/>
        <v>132401060.40000001</v>
      </c>
      <c r="EP11" s="40">
        <f t="shared" ca="1" si="89"/>
        <v>132401060.40000001</v>
      </c>
      <c r="EQ11" s="40">
        <f t="shared" ca="1" si="89"/>
        <v>132401060.40000001</v>
      </c>
      <c r="ER11" s="40">
        <f t="shared" ca="1" si="89"/>
        <v>132401060.40000001</v>
      </c>
      <c r="ES11" s="40">
        <f t="shared" ca="1" si="89"/>
        <v>132401060.40000001</v>
      </c>
      <c r="ET11" s="40">
        <f t="shared" ca="1" si="89"/>
        <v>132401060.40000001</v>
      </c>
      <c r="EU11" s="40">
        <f t="shared" ca="1" si="89"/>
        <v>132401060.40000001</v>
      </c>
      <c r="EV11" s="40">
        <f t="shared" ca="1" si="89"/>
        <v>132401060.40000001</v>
      </c>
      <c r="EW11" s="40">
        <f t="shared" ca="1" si="89"/>
        <v>132401060.40000001</v>
      </c>
      <c r="EX11" s="40">
        <f t="shared" ca="1" si="89"/>
        <v>132401060.40000001</v>
      </c>
      <c r="EY11" s="40">
        <f t="shared" ca="1" si="89"/>
        <v>132401060.40000001</v>
      </c>
      <c r="EZ11" s="40">
        <f t="shared" ca="1" si="89"/>
        <v>132401060.40000001</v>
      </c>
      <c r="FA11" s="40">
        <f t="shared" ca="1" si="89"/>
        <v>132401060.40000001</v>
      </c>
      <c r="FB11" s="40">
        <f t="shared" ca="1" si="89"/>
        <v>132401060.40000001</v>
      </c>
      <c r="FC11" s="40">
        <f t="shared" ca="1" si="89"/>
        <v>132401060.40000001</v>
      </c>
      <c r="FD11" s="40">
        <f t="shared" ca="1" si="89"/>
        <v>132401060.40000001</v>
      </c>
      <c r="FE11" s="40">
        <f t="shared" ca="1" si="89"/>
        <v>132401060.40000001</v>
      </c>
      <c r="FF11" s="40">
        <f t="shared" ca="1" si="89"/>
        <v>132401060.40000001</v>
      </c>
      <c r="FG11" s="40">
        <f t="shared" ca="1" si="89"/>
        <v>132401060.40000001</v>
      </c>
      <c r="FH11" s="40">
        <f t="shared" ca="1" si="89"/>
        <v>132401060.40000001</v>
      </c>
      <c r="FI11" s="40">
        <f t="shared" ca="1" si="89"/>
        <v>132401060.40000001</v>
      </c>
      <c r="FJ11" s="40">
        <f t="shared" ca="1" si="89"/>
        <v>132401060.40000001</v>
      </c>
      <c r="FK11" s="40">
        <f t="shared" ca="1" si="89"/>
        <v>132401060.40000001</v>
      </c>
      <c r="FL11" s="40">
        <f t="shared" ca="1" si="89"/>
        <v>132401060.40000001</v>
      </c>
      <c r="FM11" s="40">
        <f t="shared" ca="1" si="89"/>
        <v>132401060.40000001</v>
      </c>
      <c r="FN11" s="40">
        <f t="shared" ca="1" si="89"/>
        <v>132401060.40000001</v>
      </c>
      <c r="FO11" s="40">
        <f t="shared" ca="1" si="89"/>
        <v>132401060.40000001</v>
      </c>
      <c r="FP11" s="40">
        <f t="shared" ca="1" si="89"/>
        <v>132401060.40000001</v>
      </c>
      <c r="FQ11" s="40">
        <f t="shared" ca="1" si="89"/>
        <v>132401060.40000001</v>
      </c>
      <c r="FR11" s="40">
        <f t="shared" ca="1" si="89"/>
        <v>132401060.40000001</v>
      </c>
      <c r="FS11" s="40">
        <f t="shared" ca="1" si="89"/>
        <v>132401060.40000001</v>
      </c>
      <c r="FT11" s="40">
        <f t="shared" ca="1" si="89"/>
        <v>132401060.40000001</v>
      </c>
      <c r="FU11" s="40">
        <f t="shared" ca="1" si="89"/>
        <v>132401060.40000001</v>
      </c>
      <c r="FV11" s="40">
        <f t="shared" ca="1" si="89"/>
        <v>132401060.40000001</v>
      </c>
      <c r="FW11" s="40">
        <f t="shared" ca="1" si="89"/>
        <v>132401060.40000001</v>
      </c>
      <c r="FX11" s="40">
        <f t="shared" ca="1" si="89"/>
        <v>132401060.40000001</v>
      </c>
      <c r="FY11" s="40">
        <f t="shared" ca="1" si="89"/>
        <v>132401060.40000001</v>
      </c>
      <c r="FZ11" s="40">
        <f t="shared" ca="1" si="89"/>
        <v>132401060.40000001</v>
      </c>
      <c r="GA11" s="40">
        <f t="shared" ca="1" si="89"/>
        <v>132401060.40000001</v>
      </c>
      <c r="GB11" s="40">
        <f t="shared" ca="1" si="89"/>
        <v>132401060.40000001</v>
      </c>
      <c r="GC11" s="40">
        <f t="shared" ca="1" si="89"/>
        <v>132401060.40000001</v>
      </c>
      <c r="GD11" s="40">
        <f t="shared" ca="1" si="89"/>
        <v>132401060.40000001</v>
      </c>
      <c r="GE11" s="40">
        <f t="shared" ca="1" si="89"/>
        <v>132401060.40000001</v>
      </c>
      <c r="GF11" s="40">
        <f t="shared" ca="1" si="89"/>
        <v>132401060.40000001</v>
      </c>
      <c r="GG11" s="40">
        <f t="shared" ca="1" si="89"/>
        <v>132401060.40000001</v>
      </c>
      <c r="GH11" s="40">
        <f t="shared" ca="1" si="89"/>
        <v>132401060.40000001</v>
      </c>
      <c r="GI11" s="40">
        <f t="shared" ca="1" si="89"/>
        <v>132401060.40000001</v>
      </c>
      <c r="GJ11" s="40">
        <f t="shared" ca="1" si="89"/>
        <v>132401060.40000001</v>
      </c>
      <c r="GK11" s="40">
        <f t="shared" ca="1" si="89"/>
        <v>132401060.40000001</v>
      </c>
      <c r="GL11" s="40">
        <f t="shared" ca="1" si="89"/>
        <v>132401060.40000001</v>
      </c>
      <c r="GM11" s="40">
        <f t="shared" ca="1" si="89"/>
        <v>132401060.40000001</v>
      </c>
      <c r="GN11" s="40">
        <f t="shared" ca="1" si="89"/>
        <v>132401060.40000001</v>
      </c>
      <c r="GO11" s="40">
        <f t="shared" ca="1" si="89"/>
        <v>132401060.40000001</v>
      </c>
      <c r="GP11" s="40">
        <f t="shared" ca="1" si="89"/>
        <v>132401060.40000001</v>
      </c>
      <c r="GQ11" s="40">
        <f t="shared" ca="1" si="89"/>
        <v>132401060.40000001</v>
      </c>
      <c r="GR11" s="40">
        <f t="shared" ca="1" si="89"/>
        <v>132401060.40000001</v>
      </c>
      <c r="GS11" s="40">
        <f t="shared" ref="GS11:IN11" ca="1" si="90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90"/>
        <v>132401060.40000001</v>
      </c>
      <c r="GU11" s="40">
        <f t="shared" ca="1" si="90"/>
        <v>132401060.40000001</v>
      </c>
      <c r="GV11" s="40">
        <f t="shared" ca="1" si="90"/>
        <v>132401060.40000001</v>
      </c>
      <c r="GW11" s="40">
        <f t="shared" ca="1" si="90"/>
        <v>132401060.40000001</v>
      </c>
      <c r="GX11" s="40">
        <f t="shared" ca="1" si="90"/>
        <v>132401060.40000001</v>
      </c>
      <c r="GY11" s="40">
        <f t="shared" ca="1" si="90"/>
        <v>132401060.40000001</v>
      </c>
      <c r="GZ11" s="40">
        <f t="shared" ca="1" si="90"/>
        <v>132401060.40000001</v>
      </c>
      <c r="HA11" s="40">
        <f t="shared" ca="1" si="90"/>
        <v>132401060.40000001</v>
      </c>
      <c r="HB11" s="40">
        <f t="shared" ca="1" si="90"/>
        <v>132401060.40000001</v>
      </c>
      <c r="HC11" s="40">
        <f t="shared" ca="1" si="90"/>
        <v>132401060.40000001</v>
      </c>
      <c r="HD11" s="40">
        <f t="shared" ca="1" si="90"/>
        <v>132401060.40000001</v>
      </c>
      <c r="HE11" s="40">
        <f t="shared" ca="1" si="90"/>
        <v>132401060.40000001</v>
      </c>
      <c r="HF11" s="40">
        <f t="shared" ca="1" si="90"/>
        <v>132401060.40000001</v>
      </c>
      <c r="HG11" s="40">
        <f t="shared" ca="1" si="90"/>
        <v>132401060.40000001</v>
      </c>
      <c r="HH11" s="40">
        <f t="shared" ca="1" si="90"/>
        <v>132401060.40000001</v>
      </c>
      <c r="HI11" s="40">
        <f t="shared" ca="1" si="90"/>
        <v>132401060.40000001</v>
      </c>
      <c r="HJ11" s="40">
        <f t="shared" ca="1" si="90"/>
        <v>132401060.40000001</v>
      </c>
      <c r="HK11" s="40">
        <f t="shared" ca="1" si="90"/>
        <v>132401060.40000001</v>
      </c>
      <c r="HL11" s="40">
        <f t="shared" ca="1" si="90"/>
        <v>132401060.40000001</v>
      </c>
      <c r="HM11" s="40">
        <f t="shared" ca="1" si="90"/>
        <v>132401060.40000001</v>
      </c>
      <c r="HN11" s="40">
        <f t="shared" ca="1" si="90"/>
        <v>132401060.40000001</v>
      </c>
      <c r="HO11" s="40">
        <f t="shared" ca="1" si="90"/>
        <v>132401060.40000001</v>
      </c>
      <c r="HP11" s="40">
        <f t="shared" ca="1" si="90"/>
        <v>132401060.40000001</v>
      </c>
      <c r="HQ11" s="40">
        <f t="shared" ca="1" si="90"/>
        <v>132401060.40000001</v>
      </c>
      <c r="HR11" s="40">
        <f t="shared" ca="1" si="90"/>
        <v>132401060.40000001</v>
      </c>
      <c r="HS11" s="40">
        <f t="shared" ca="1" si="90"/>
        <v>132401060.40000001</v>
      </c>
      <c r="HT11" s="40">
        <f t="shared" ca="1" si="90"/>
        <v>132401060.40000001</v>
      </c>
      <c r="HU11" s="40">
        <f t="shared" ca="1" si="90"/>
        <v>132401060.40000001</v>
      </c>
      <c r="HV11" s="40">
        <f t="shared" ca="1" si="90"/>
        <v>132401060.40000001</v>
      </c>
      <c r="HW11" s="40">
        <f t="shared" ca="1" si="90"/>
        <v>132401060.40000001</v>
      </c>
      <c r="HX11" s="40">
        <f t="shared" ca="1" si="90"/>
        <v>132401060.40000001</v>
      </c>
      <c r="HY11" s="40">
        <f t="shared" ca="1" si="90"/>
        <v>132401060.40000001</v>
      </c>
      <c r="HZ11" s="40">
        <f t="shared" ca="1" si="90"/>
        <v>132401060.40000001</v>
      </c>
      <c r="IA11" s="40">
        <f t="shared" ca="1" si="90"/>
        <v>132401060.40000001</v>
      </c>
      <c r="IB11" s="40">
        <f t="shared" ca="1" si="90"/>
        <v>132401060.40000001</v>
      </c>
      <c r="IC11" s="40">
        <f t="shared" ca="1" si="90"/>
        <v>132401060.40000001</v>
      </c>
      <c r="ID11" s="40">
        <f t="shared" ca="1" si="90"/>
        <v>132401060.40000001</v>
      </c>
      <c r="IE11" s="40">
        <f t="shared" ca="1" si="90"/>
        <v>132401060.40000001</v>
      </c>
      <c r="IF11" s="40">
        <f t="shared" ca="1" si="90"/>
        <v>132401060.40000001</v>
      </c>
      <c r="IG11" s="40">
        <f t="shared" ca="1" si="90"/>
        <v>132401060.40000001</v>
      </c>
      <c r="IH11" s="40">
        <f t="shared" ca="1" si="90"/>
        <v>132401060.40000001</v>
      </c>
      <c r="II11" s="40">
        <f t="shared" ca="1" si="90"/>
        <v>132401060.40000001</v>
      </c>
      <c r="IJ11" s="40">
        <f t="shared" ca="1" si="90"/>
        <v>132401060.40000001</v>
      </c>
      <c r="IK11" s="40">
        <f t="shared" ca="1" si="90"/>
        <v>132401060.40000001</v>
      </c>
      <c r="IL11" s="40">
        <f t="shared" ca="1" si="90"/>
        <v>132401060.40000001</v>
      </c>
      <c r="IM11" s="40">
        <f t="shared" ca="1" si="90"/>
        <v>132401060.40000001</v>
      </c>
      <c r="IN11" s="40">
        <f t="shared" ca="1" si="90"/>
        <v>132401060.40000001</v>
      </c>
    </row>
    <row r="12" spans="2:248" x14ac:dyDescent="0.3">
      <c r="B12" s="19" t="s">
        <v>529</v>
      </c>
      <c r="C12" s="74">
        <f>VLOOKUP(B2,Days_Since_100!C:G,5,FALSE)-1</f>
        <v>0.41305338836984995</v>
      </c>
      <c r="E12" s="19">
        <v>0.4</v>
      </c>
      <c r="F12" s="19" t="s">
        <v>453</v>
      </c>
      <c r="G12" s="40">
        <f t="shared" ref="G12" si="91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:AJ12" ca="1" si="92">IF(IF(AND(ISNA(H$8),ISNA(G$8)),G12*(1+$E$12),IF(AND(G$8&gt;0,ISNA(H$8)),G12*(1+$E$12),H$8))&gt;$C$21,$C$21,IF(AND(ISNA(H$8),ISNA(G$8)),G12*(1+$E$12),IF(AND(G$8&gt;0,ISNA(H$8)),G12*(1+$E$12),H$8)))</f>
        <v>149</v>
      </c>
      <c r="I12" s="40">
        <f t="shared" ref="I12:BT12" ca="1" si="93">IF(IF(AND(ISNA(I$8),ISNA(H$8)),H12*(1+$E$12),IF(AND(H$8&gt;0,ISNA(I$8)),H12*(1+$E$12),I$8))&gt;$C$21,$C$21,IF(AND(ISNA(I$8),ISNA(H$8)),H12*(1+$E$12),IF(AND(H$8&gt;0,ISNA(I$8)),H12*(1+$E$12),I$8)))</f>
        <v>216</v>
      </c>
      <c r="J12" s="40">
        <f t="shared" ca="1" si="93"/>
        <v>259</v>
      </c>
      <c r="K12" s="40">
        <f t="shared" ca="1" si="93"/>
        <v>396</v>
      </c>
      <c r="L12" s="40">
        <f t="shared" ca="1" si="93"/>
        <v>508</v>
      </c>
      <c r="M12" s="40">
        <f t="shared" ca="1" si="93"/>
        <v>572</v>
      </c>
      <c r="N12" s="40">
        <f t="shared" ca="1" si="93"/>
        <v>942</v>
      </c>
      <c r="O12" s="40">
        <f t="shared" ca="1" si="93"/>
        <v>1256</v>
      </c>
      <c r="P12" s="40">
        <f t="shared" ca="1" si="93"/>
        <v>1634</v>
      </c>
      <c r="Q12" s="40">
        <f t="shared" ca="1" si="93"/>
        <v>2143</v>
      </c>
      <c r="R12" s="40">
        <f t="shared" ca="1" si="93"/>
        <v>2448</v>
      </c>
      <c r="S12" s="40">
        <f t="shared" ca="1" si="93"/>
        <v>3267</v>
      </c>
      <c r="T12" s="40">
        <f t="shared" ca="1" si="93"/>
        <v>4275</v>
      </c>
      <c r="U12" s="40">
        <f t="shared" ca="1" si="93"/>
        <v>6022</v>
      </c>
      <c r="V12" s="40">
        <f t="shared" ca="1" si="93"/>
        <v>7143</v>
      </c>
      <c r="W12" s="40">
        <f t="shared" ca="1" si="93"/>
        <v>12868</v>
      </c>
      <c r="X12" s="40">
        <f t="shared" ca="1" si="93"/>
        <v>18231</v>
      </c>
      <c r="Y12" s="40">
        <f t="shared" ca="1" si="93"/>
        <v>23881</v>
      </c>
      <c r="Z12" s="40">
        <f t="shared" ca="1" si="93"/>
        <v>31300</v>
      </c>
      <c r="AA12" s="40">
        <f t="shared" ca="1" si="93"/>
        <v>41289</v>
      </c>
      <c r="AB12" s="40">
        <f t="shared" ca="1" si="93"/>
        <v>57804.6</v>
      </c>
      <c r="AC12" s="40">
        <f t="shared" ca="1" si="93"/>
        <v>80926.439999999988</v>
      </c>
      <c r="AD12" s="40">
        <f t="shared" ca="1" si="93"/>
        <v>113297.01599999997</v>
      </c>
      <c r="AE12" s="40">
        <f t="shared" ca="1" si="93"/>
        <v>158615.82239999995</v>
      </c>
      <c r="AF12" s="40">
        <f t="shared" ca="1" si="93"/>
        <v>222062.1513599999</v>
      </c>
      <c r="AG12" s="40">
        <f t="shared" ca="1" si="93"/>
        <v>310887.01190399984</v>
      </c>
      <c r="AH12" s="40">
        <f t="shared" ca="1" si="93"/>
        <v>435241.81666559976</v>
      </c>
      <c r="AI12" s="40">
        <f t="shared" ca="1" si="93"/>
        <v>609338.54333183961</v>
      </c>
      <c r="AJ12" s="40">
        <f t="shared" ca="1" si="93"/>
        <v>853073.96066457545</v>
      </c>
      <c r="AK12" s="40">
        <f t="shared" ca="1" si="93"/>
        <v>1194303.5449304054</v>
      </c>
      <c r="AL12" s="40">
        <f t="shared" ca="1" si="93"/>
        <v>1672024.9629025676</v>
      </c>
      <c r="AM12" s="40">
        <f t="shared" ca="1" si="93"/>
        <v>2340834.9480635943</v>
      </c>
      <c r="AN12" s="40">
        <f t="shared" ca="1" si="93"/>
        <v>3277168.9272890319</v>
      </c>
      <c r="AO12" s="40">
        <f t="shared" ca="1" si="93"/>
        <v>4588036.4982046448</v>
      </c>
      <c r="AP12" s="40">
        <f t="shared" ca="1" si="93"/>
        <v>6423251.0974865025</v>
      </c>
      <c r="AQ12" s="40">
        <f t="shared" ca="1" si="93"/>
        <v>8992551.5364811029</v>
      </c>
      <c r="AR12" s="40">
        <f t="shared" ca="1" si="93"/>
        <v>12589572.151073543</v>
      </c>
      <c r="AS12" s="40">
        <f t="shared" ca="1" si="93"/>
        <v>17625401.011502959</v>
      </c>
      <c r="AT12" s="40">
        <f t="shared" ca="1" si="93"/>
        <v>24675561.416104142</v>
      </c>
      <c r="AU12" s="40">
        <f t="shared" ca="1" si="93"/>
        <v>34545785.982545793</v>
      </c>
      <c r="AV12" s="40">
        <f t="shared" ca="1" si="93"/>
        <v>48364100.375564106</v>
      </c>
      <c r="AW12" s="40">
        <f t="shared" ca="1" si="93"/>
        <v>67709740.525789738</v>
      </c>
      <c r="AX12" s="40">
        <f t="shared" ca="1" si="93"/>
        <v>94793636.736105621</v>
      </c>
      <c r="AY12" s="40">
        <f t="shared" ca="1" si="93"/>
        <v>132401060.40000001</v>
      </c>
      <c r="AZ12" s="40">
        <f t="shared" ca="1" si="93"/>
        <v>132401060.40000001</v>
      </c>
      <c r="BA12" s="40">
        <f t="shared" ca="1" si="93"/>
        <v>132401060.40000001</v>
      </c>
      <c r="BB12" s="40">
        <f t="shared" ca="1" si="93"/>
        <v>132401060.40000001</v>
      </c>
      <c r="BC12" s="40">
        <f t="shared" ca="1" si="93"/>
        <v>132401060.40000001</v>
      </c>
      <c r="BD12" s="40">
        <f t="shared" ca="1" si="93"/>
        <v>132401060.40000001</v>
      </c>
      <c r="BE12" s="40">
        <f t="shared" ca="1" si="93"/>
        <v>132401060.40000001</v>
      </c>
      <c r="BF12" s="40">
        <f t="shared" ca="1" si="93"/>
        <v>132401060.40000001</v>
      </c>
      <c r="BG12" s="40">
        <f t="shared" ca="1" si="93"/>
        <v>132401060.40000001</v>
      </c>
      <c r="BH12" s="40">
        <f t="shared" ca="1" si="93"/>
        <v>132401060.40000001</v>
      </c>
      <c r="BI12" s="40">
        <f t="shared" ca="1" si="93"/>
        <v>132401060.40000001</v>
      </c>
      <c r="BJ12" s="40">
        <f t="shared" ca="1" si="93"/>
        <v>132401060.40000001</v>
      </c>
      <c r="BK12" s="40">
        <f t="shared" ca="1" si="93"/>
        <v>132401060.40000001</v>
      </c>
      <c r="BL12" s="40">
        <f t="shared" ca="1" si="93"/>
        <v>132401060.40000001</v>
      </c>
      <c r="BM12" s="40">
        <f t="shared" ca="1" si="93"/>
        <v>132401060.40000001</v>
      </c>
      <c r="BN12" s="40">
        <f t="shared" ca="1" si="93"/>
        <v>132401060.40000001</v>
      </c>
      <c r="BO12" s="40">
        <f t="shared" ca="1" si="93"/>
        <v>132401060.40000001</v>
      </c>
      <c r="BP12" s="40">
        <f t="shared" ca="1" si="93"/>
        <v>132401060.40000001</v>
      </c>
      <c r="BQ12" s="40">
        <f t="shared" ca="1" si="93"/>
        <v>132401060.40000001</v>
      </c>
      <c r="BR12" s="40">
        <f t="shared" ca="1" si="93"/>
        <v>132401060.40000001</v>
      </c>
      <c r="BS12" s="40">
        <f t="shared" ca="1" si="93"/>
        <v>132401060.40000001</v>
      </c>
      <c r="BT12" s="40">
        <f t="shared" ca="1" si="93"/>
        <v>132401060.40000001</v>
      </c>
      <c r="BU12" s="40">
        <f t="shared" ref="BU12:EF12" ca="1" si="94">IF(IF(AND(ISNA(BU$8),ISNA(BT$8)),BT12*(1+$E$12),IF(AND(BT$8&gt;0,ISNA(BU$8)),BT12*(1+$E$12),BU$8))&gt;$C$21,$C$21,IF(AND(ISNA(BU$8),ISNA(BT$8)),BT12*(1+$E$12),IF(AND(BT$8&gt;0,ISNA(BU$8)),BT12*(1+$E$12),BU$8)))</f>
        <v>132401060.40000001</v>
      </c>
      <c r="BV12" s="40">
        <f t="shared" ca="1" si="94"/>
        <v>132401060.40000001</v>
      </c>
      <c r="BW12" s="40">
        <f t="shared" ca="1" si="94"/>
        <v>132401060.40000001</v>
      </c>
      <c r="BX12" s="40">
        <f t="shared" ca="1" si="94"/>
        <v>132401060.40000001</v>
      </c>
      <c r="BY12" s="40">
        <f t="shared" ca="1" si="94"/>
        <v>132401060.40000001</v>
      </c>
      <c r="BZ12" s="40">
        <f t="shared" ca="1" si="94"/>
        <v>132401060.40000001</v>
      </c>
      <c r="CA12" s="40">
        <f t="shared" ca="1" si="94"/>
        <v>132401060.40000001</v>
      </c>
      <c r="CB12" s="40">
        <f t="shared" ca="1" si="94"/>
        <v>132401060.40000001</v>
      </c>
      <c r="CC12" s="40">
        <f t="shared" ca="1" si="94"/>
        <v>132401060.40000001</v>
      </c>
      <c r="CD12" s="40">
        <f t="shared" ca="1" si="94"/>
        <v>132401060.40000001</v>
      </c>
      <c r="CE12" s="40">
        <f t="shared" ca="1" si="94"/>
        <v>132401060.40000001</v>
      </c>
      <c r="CF12" s="40">
        <f t="shared" ca="1" si="94"/>
        <v>132401060.40000001</v>
      </c>
      <c r="CG12" s="40">
        <f t="shared" ca="1" si="94"/>
        <v>132401060.40000001</v>
      </c>
      <c r="CH12" s="40">
        <f t="shared" ca="1" si="94"/>
        <v>132401060.40000001</v>
      </c>
      <c r="CI12" s="40">
        <f t="shared" ca="1" si="94"/>
        <v>132401060.40000001</v>
      </c>
      <c r="CJ12" s="40">
        <f t="shared" ca="1" si="94"/>
        <v>132401060.40000001</v>
      </c>
      <c r="CK12" s="40">
        <f t="shared" ca="1" si="94"/>
        <v>132401060.40000001</v>
      </c>
      <c r="CL12" s="40">
        <f t="shared" ca="1" si="94"/>
        <v>132401060.40000001</v>
      </c>
      <c r="CM12" s="40">
        <f t="shared" ca="1" si="94"/>
        <v>132401060.40000001</v>
      </c>
      <c r="CN12" s="40">
        <f t="shared" ca="1" si="94"/>
        <v>132401060.40000001</v>
      </c>
      <c r="CO12" s="40">
        <f t="shared" ca="1" si="94"/>
        <v>132401060.40000001</v>
      </c>
      <c r="CP12" s="40">
        <f t="shared" ca="1" si="94"/>
        <v>132401060.40000001</v>
      </c>
      <c r="CQ12" s="40">
        <f t="shared" ca="1" si="94"/>
        <v>132401060.40000001</v>
      </c>
      <c r="CR12" s="40">
        <f t="shared" ca="1" si="94"/>
        <v>132401060.40000001</v>
      </c>
      <c r="CS12" s="40">
        <f t="shared" ca="1" si="94"/>
        <v>132401060.40000001</v>
      </c>
      <c r="CT12" s="40">
        <f t="shared" ca="1" si="94"/>
        <v>132401060.40000001</v>
      </c>
      <c r="CU12" s="40">
        <f t="shared" ca="1" si="94"/>
        <v>132401060.40000001</v>
      </c>
      <c r="CV12" s="40">
        <f t="shared" ca="1" si="94"/>
        <v>132401060.40000001</v>
      </c>
      <c r="CW12" s="40">
        <f t="shared" ca="1" si="94"/>
        <v>132401060.40000001</v>
      </c>
      <c r="CX12" s="40">
        <f t="shared" ca="1" si="94"/>
        <v>132401060.40000001</v>
      </c>
      <c r="CY12" s="40">
        <f t="shared" ca="1" si="94"/>
        <v>132401060.40000001</v>
      </c>
      <c r="CZ12" s="40">
        <f t="shared" ca="1" si="94"/>
        <v>132401060.40000001</v>
      </c>
      <c r="DA12" s="40">
        <f t="shared" ca="1" si="94"/>
        <v>132401060.40000001</v>
      </c>
      <c r="DB12" s="40">
        <f t="shared" ca="1" si="94"/>
        <v>132401060.40000001</v>
      </c>
      <c r="DC12" s="40">
        <f t="shared" ca="1" si="94"/>
        <v>132401060.40000001</v>
      </c>
      <c r="DD12" s="40">
        <f t="shared" ca="1" si="94"/>
        <v>132401060.40000001</v>
      </c>
      <c r="DE12" s="40">
        <f t="shared" ca="1" si="94"/>
        <v>132401060.40000001</v>
      </c>
      <c r="DF12" s="40">
        <f t="shared" ca="1" si="94"/>
        <v>132401060.40000001</v>
      </c>
      <c r="DG12" s="40">
        <f t="shared" ca="1" si="94"/>
        <v>132401060.40000001</v>
      </c>
      <c r="DH12" s="40">
        <f t="shared" ca="1" si="94"/>
        <v>132401060.40000001</v>
      </c>
      <c r="DI12" s="40">
        <f t="shared" ca="1" si="94"/>
        <v>132401060.40000001</v>
      </c>
      <c r="DJ12" s="40">
        <f t="shared" ca="1" si="94"/>
        <v>132401060.40000001</v>
      </c>
      <c r="DK12" s="40">
        <f t="shared" ca="1" si="94"/>
        <v>132401060.40000001</v>
      </c>
      <c r="DL12" s="40">
        <f t="shared" ca="1" si="94"/>
        <v>132401060.40000001</v>
      </c>
      <c r="DM12" s="40">
        <f t="shared" ca="1" si="94"/>
        <v>132401060.40000001</v>
      </c>
      <c r="DN12" s="40">
        <f t="shared" ca="1" si="94"/>
        <v>132401060.40000001</v>
      </c>
      <c r="DO12" s="40">
        <f t="shared" ca="1" si="94"/>
        <v>132401060.40000001</v>
      </c>
      <c r="DP12" s="40">
        <f t="shared" ca="1" si="94"/>
        <v>132401060.40000001</v>
      </c>
      <c r="DQ12" s="40">
        <f t="shared" ca="1" si="94"/>
        <v>132401060.40000001</v>
      </c>
      <c r="DR12" s="40">
        <f t="shared" ca="1" si="94"/>
        <v>132401060.40000001</v>
      </c>
      <c r="DS12" s="40">
        <f t="shared" ca="1" si="94"/>
        <v>132401060.40000001</v>
      </c>
      <c r="DT12" s="40">
        <f t="shared" ca="1" si="94"/>
        <v>132401060.40000001</v>
      </c>
      <c r="DU12" s="40">
        <f t="shared" ca="1" si="94"/>
        <v>132401060.40000001</v>
      </c>
      <c r="DV12" s="40">
        <f t="shared" ca="1" si="94"/>
        <v>132401060.40000001</v>
      </c>
      <c r="DW12" s="40">
        <f t="shared" ca="1" si="94"/>
        <v>132401060.40000001</v>
      </c>
      <c r="DX12" s="40">
        <f t="shared" ca="1" si="94"/>
        <v>132401060.40000001</v>
      </c>
      <c r="DY12" s="40">
        <f t="shared" ca="1" si="94"/>
        <v>132401060.40000001</v>
      </c>
      <c r="DZ12" s="40">
        <f t="shared" ca="1" si="94"/>
        <v>132401060.40000001</v>
      </c>
      <c r="EA12" s="40">
        <f t="shared" ca="1" si="94"/>
        <v>132401060.40000001</v>
      </c>
      <c r="EB12" s="40">
        <f t="shared" ca="1" si="94"/>
        <v>132401060.40000001</v>
      </c>
      <c r="EC12" s="40">
        <f t="shared" ca="1" si="94"/>
        <v>132401060.40000001</v>
      </c>
      <c r="ED12" s="40">
        <f t="shared" ca="1" si="94"/>
        <v>132401060.40000001</v>
      </c>
      <c r="EE12" s="40">
        <f t="shared" ca="1" si="94"/>
        <v>132401060.40000001</v>
      </c>
      <c r="EF12" s="40">
        <f t="shared" ca="1" si="94"/>
        <v>132401060.40000001</v>
      </c>
      <c r="EG12" s="40">
        <f t="shared" ref="EG12:GR12" ca="1" si="95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5"/>
        <v>132401060.40000001</v>
      </c>
      <c r="EI12" s="40">
        <f t="shared" ca="1" si="95"/>
        <v>132401060.40000001</v>
      </c>
      <c r="EJ12" s="40">
        <f t="shared" ca="1" si="95"/>
        <v>132401060.40000001</v>
      </c>
      <c r="EK12" s="40">
        <f t="shared" ca="1" si="95"/>
        <v>132401060.40000001</v>
      </c>
      <c r="EL12" s="40">
        <f t="shared" ca="1" si="95"/>
        <v>132401060.40000001</v>
      </c>
      <c r="EM12" s="40">
        <f t="shared" ca="1" si="95"/>
        <v>132401060.40000001</v>
      </c>
      <c r="EN12" s="40">
        <f t="shared" ca="1" si="95"/>
        <v>132401060.40000001</v>
      </c>
      <c r="EO12" s="40">
        <f t="shared" ca="1" si="95"/>
        <v>132401060.40000001</v>
      </c>
      <c r="EP12" s="40">
        <f t="shared" ca="1" si="95"/>
        <v>132401060.40000001</v>
      </c>
      <c r="EQ12" s="40">
        <f t="shared" ca="1" si="95"/>
        <v>132401060.40000001</v>
      </c>
      <c r="ER12" s="40">
        <f t="shared" ca="1" si="95"/>
        <v>132401060.40000001</v>
      </c>
      <c r="ES12" s="40">
        <f t="shared" ca="1" si="95"/>
        <v>132401060.40000001</v>
      </c>
      <c r="ET12" s="40">
        <f t="shared" ca="1" si="95"/>
        <v>132401060.40000001</v>
      </c>
      <c r="EU12" s="40">
        <f t="shared" ca="1" si="95"/>
        <v>132401060.40000001</v>
      </c>
      <c r="EV12" s="40">
        <f t="shared" ca="1" si="95"/>
        <v>132401060.40000001</v>
      </c>
      <c r="EW12" s="40">
        <f t="shared" ca="1" si="95"/>
        <v>132401060.40000001</v>
      </c>
      <c r="EX12" s="40">
        <f t="shared" ca="1" si="95"/>
        <v>132401060.40000001</v>
      </c>
      <c r="EY12" s="40">
        <f t="shared" ca="1" si="95"/>
        <v>132401060.40000001</v>
      </c>
      <c r="EZ12" s="40">
        <f t="shared" ca="1" si="95"/>
        <v>132401060.40000001</v>
      </c>
      <c r="FA12" s="40">
        <f t="shared" ca="1" si="95"/>
        <v>132401060.40000001</v>
      </c>
      <c r="FB12" s="40">
        <f t="shared" ca="1" si="95"/>
        <v>132401060.40000001</v>
      </c>
      <c r="FC12" s="40">
        <f t="shared" ca="1" si="95"/>
        <v>132401060.40000001</v>
      </c>
      <c r="FD12" s="40">
        <f t="shared" ca="1" si="95"/>
        <v>132401060.40000001</v>
      </c>
      <c r="FE12" s="40">
        <f t="shared" ca="1" si="95"/>
        <v>132401060.40000001</v>
      </c>
      <c r="FF12" s="40">
        <f t="shared" ca="1" si="95"/>
        <v>132401060.40000001</v>
      </c>
      <c r="FG12" s="40">
        <f t="shared" ca="1" si="95"/>
        <v>132401060.40000001</v>
      </c>
      <c r="FH12" s="40">
        <f t="shared" ca="1" si="95"/>
        <v>132401060.40000001</v>
      </c>
      <c r="FI12" s="40">
        <f t="shared" ca="1" si="95"/>
        <v>132401060.40000001</v>
      </c>
      <c r="FJ12" s="40">
        <f t="shared" ca="1" si="95"/>
        <v>132401060.40000001</v>
      </c>
      <c r="FK12" s="40">
        <f t="shared" ca="1" si="95"/>
        <v>132401060.40000001</v>
      </c>
      <c r="FL12" s="40">
        <f t="shared" ca="1" si="95"/>
        <v>132401060.40000001</v>
      </c>
      <c r="FM12" s="40">
        <f t="shared" ca="1" si="95"/>
        <v>132401060.40000001</v>
      </c>
      <c r="FN12" s="40">
        <f t="shared" ca="1" si="95"/>
        <v>132401060.40000001</v>
      </c>
      <c r="FO12" s="40">
        <f t="shared" ca="1" si="95"/>
        <v>132401060.40000001</v>
      </c>
      <c r="FP12" s="40">
        <f t="shared" ca="1" si="95"/>
        <v>132401060.40000001</v>
      </c>
      <c r="FQ12" s="40">
        <f t="shared" ca="1" si="95"/>
        <v>132401060.40000001</v>
      </c>
      <c r="FR12" s="40">
        <f t="shared" ca="1" si="95"/>
        <v>132401060.40000001</v>
      </c>
      <c r="FS12" s="40">
        <f t="shared" ca="1" si="95"/>
        <v>132401060.40000001</v>
      </c>
      <c r="FT12" s="40">
        <f t="shared" ca="1" si="95"/>
        <v>132401060.40000001</v>
      </c>
      <c r="FU12" s="40">
        <f t="shared" ca="1" si="95"/>
        <v>132401060.40000001</v>
      </c>
      <c r="FV12" s="40">
        <f t="shared" ca="1" si="95"/>
        <v>132401060.40000001</v>
      </c>
      <c r="FW12" s="40">
        <f t="shared" ca="1" si="95"/>
        <v>132401060.40000001</v>
      </c>
      <c r="FX12" s="40">
        <f t="shared" ca="1" si="95"/>
        <v>132401060.40000001</v>
      </c>
      <c r="FY12" s="40">
        <f t="shared" ca="1" si="95"/>
        <v>132401060.40000001</v>
      </c>
      <c r="FZ12" s="40">
        <f t="shared" ca="1" si="95"/>
        <v>132401060.40000001</v>
      </c>
      <c r="GA12" s="40">
        <f t="shared" ca="1" si="95"/>
        <v>132401060.40000001</v>
      </c>
      <c r="GB12" s="40">
        <f t="shared" ca="1" si="95"/>
        <v>132401060.40000001</v>
      </c>
      <c r="GC12" s="40">
        <f t="shared" ca="1" si="95"/>
        <v>132401060.40000001</v>
      </c>
      <c r="GD12" s="40">
        <f t="shared" ca="1" si="95"/>
        <v>132401060.40000001</v>
      </c>
      <c r="GE12" s="40">
        <f t="shared" ca="1" si="95"/>
        <v>132401060.40000001</v>
      </c>
      <c r="GF12" s="40">
        <f t="shared" ca="1" si="95"/>
        <v>132401060.40000001</v>
      </c>
      <c r="GG12" s="40">
        <f t="shared" ca="1" si="95"/>
        <v>132401060.40000001</v>
      </c>
      <c r="GH12" s="40">
        <f t="shared" ca="1" si="95"/>
        <v>132401060.40000001</v>
      </c>
      <c r="GI12" s="40">
        <f t="shared" ca="1" si="95"/>
        <v>132401060.40000001</v>
      </c>
      <c r="GJ12" s="40">
        <f t="shared" ca="1" si="95"/>
        <v>132401060.40000001</v>
      </c>
      <c r="GK12" s="40">
        <f t="shared" ca="1" si="95"/>
        <v>132401060.40000001</v>
      </c>
      <c r="GL12" s="40">
        <f t="shared" ca="1" si="95"/>
        <v>132401060.40000001</v>
      </c>
      <c r="GM12" s="40">
        <f t="shared" ca="1" si="95"/>
        <v>132401060.40000001</v>
      </c>
      <c r="GN12" s="40">
        <f t="shared" ca="1" si="95"/>
        <v>132401060.40000001</v>
      </c>
      <c r="GO12" s="40">
        <f t="shared" ca="1" si="95"/>
        <v>132401060.40000001</v>
      </c>
      <c r="GP12" s="40">
        <f t="shared" ca="1" si="95"/>
        <v>132401060.40000001</v>
      </c>
      <c r="GQ12" s="40">
        <f t="shared" ca="1" si="95"/>
        <v>132401060.40000001</v>
      </c>
      <c r="GR12" s="40">
        <f t="shared" ca="1" si="95"/>
        <v>132401060.40000001</v>
      </c>
      <c r="GS12" s="40">
        <f t="shared" ref="GS12:IN12" ca="1" si="96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6"/>
        <v>132401060.40000001</v>
      </c>
      <c r="GU12" s="40">
        <f t="shared" ca="1" si="96"/>
        <v>132401060.40000001</v>
      </c>
      <c r="GV12" s="40">
        <f t="shared" ca="1" si="96"/>
        <v>132401060.40000001</v>
      </c>
      <c r="GW12" s="40">
        <f t="shared" ca="1" si="96"/>
        <v>132401060.40000001</v>
      </c>
      <c r="GX12" s="40">
        <f t="shared" ca="1" si="96"/>
        <v>132401060.40000001</v>
      </c>
      <c r="GY12" s="40">
        <f t="shared" ca="1" si="96"/>
        <v>132401060.40000001</v>
      </c>
      <c r="GZ12" s="40">
        <f t="shared" ca="1" si="96"/>
        <v>132401060.40000001</v>
      </c>
      <c r="HA12" s="40">
        <f t="shared" ca="1" si="96"/>
        <v>132401060.40000001</v>
      </c>
      <c r="HB12" s="40">
        <f t="shared" ca="1" si="96"/>
        <v>132401060.40000001</v>
      </c>
      <c r="HC12" s="40">
        <f t="shared" ca="1" si="96"/>
        <v>132401060.40000001</v>
      </c>
      <c r="HD12" s="40">
        <f t="shared" ca="1" si="96"/>
        <v>132401060.40000001</v>
      </c>
      <c r="HE12" s="40">
        <f t="shared" ca="1" si="96"/>
        <v>132401060.40000001</v>
      </c>
      <c r="HF12" s="40">
        <f t="shared" ca="1" si="96"/>
        <v>132401060.40000001</v>
      </c>
      <c r="HG12" s="40">
        <f t="shared" ca="1" si="96"/>
        <v>132401060.40000001</v>
      </c>
      <c r="HH12" s="40">
        <f t="shared" ca="1" si="96"/>
        <v>132401060.40000001</v>
      </c>
      <c r="HI12" s="40">
        <f t="shared" ca="1" si="96"/>
        <v>132401060.40000001</v>
      </c>
      <c r="HJ12" s="40">
        <f t="shared" ca="1" si="96"/>
        <v>132401060.40000001</v>
      </c>
      <c r="HK12" s="40">
        <f t="shared" ca="1" si="96"/>
        <v>132401060.40000001</v>
      </c>
      <c r="HL12" s="40">
        <f t="shared" ca="1" si="96"/>
        <v>132401060.40000001</v>
      </c>
      <c r="HM12" s="40">
        <f t="shared" ca="1" si="96"/>
        <v>132401060.40000001</v>
      </c>
      <c r="HN12" s="40">
        <f t="shared" ca="1" si="96"/>
        <v>132401060.40000001</v>
      </c>
      <c r="HO12" s="40">
        <f t="shared" ca="1" si="96"/>
        <v>132401060.40000001</v>
      </c>
      <c r="HP12" s="40">
        <f t="shared" ca="1" si="96"/>
        <v>132401060.40000001</v>
      </c>
      <c r="HQ12" s="40">
        <f t="shared" ca="1" si="96"/>
        <v>132401060.40000001</v>
      </c>
      <c r="HR12" s="40">
        <f t="shared" ca="1" si="96"/>
        <v>132401060.40000001</v>
      </c>
      <c r="HS12" s="40">
        <f t="shared" ca="1" si="96"/>
        <v>132401060.40000001</v>
      </c>
      <c r="HT12" s="40">
        <f t="shared" ca="1" si="96"/>
        <v>132401060.40000001</v>
      </c>
      <c r="HU12" s="40">
        <f t="shared" ca="1" si="96"/>
        <v>132401060.40000001</v>
      </c>
      <c r="HV12" s="40">
        <f t="shared" ca="1" si="96"/>
        <v>132401060.40000001</v>
      </c>
      <c r="HW12" s="40">
        <f t="shared" ca="1" si="96"/>
        <v>132401060.40000001</v>
      </c>
      <c r="HX12" s="40">
        <f t="shared" ca="1" si="96"/>
        <v>132401060.40000001</v>
      </c>
      <c r="HY12" s="40">
        <f t="shared" ca="1" si="96"/>
        <v>132401060.40000001</v>
      </c>
      <c r="HZ12" s="40">
        <f t="shared" ca="1" si="96"/>
        <v>132401060.40000001</v>
      </c>
      <c r="IA12" s="40">
        <f t="shared" ca="1" si="96"/>
        <v>132401060.40000001</v>
      </c>
      <c r="IB12" s="40">
        <f t="shared" ca="1" si="96"/>
        <v>132401060.40000001</v>
      </c>
      <c r="IC12" s="40">
        <f t="shared" ca="1" si="96"/>
        <v>132401060.40000001</v>
      </c>
      <c r="ID12" s="40">
        <f t="shared" ca="1" si="96"/>
        <v>132401060.40000001</v>
      </c>
      <c r="IE12" s="40">
        <f t="shared" ca="1" si="96"/>
        <v>132401060.40000001</v>
      </c>
      <c r="IF12" s="40">
        <f t="shared" ca="1" si="96"/>
        <v>132401060.40000001</v>
      </c>
      <c r="IG12" s="40">
        <f t="shared" ca="1" si="96"/>
        <v>132401060.40000001</v>
      </c>
      <c r="IH12" s="40">
        <f t="shared" ca="1" si="96"/>
        <v>132401060.40000001</v>
      </c>
      <c r="II12" s="40">
        <f t="shared" ca="1" si="96"/>
        <v>132401060.40000001</v>
      </c>
      <c r="IJ12" s="40">
        <f t="shared" ca="1" si="96"/>
        <v>132401060.40000001</v>
      </c>
      <c r="IK12" s="40">
        <f t="shared" ca="1" si="96"/>
        <v>132401060.40000001</v>
      </c>
      <c r="IL12" s="40">
        <f t="shared" ca="1" si="96"/>
        <v>132401060.40000001</v>
      </c>
      <c r="IM12" s="40">
        <f t="shared" ca="1" si="96"/>
        <v>132401060.40000001</v>
      </c>
      <c r="IN12" s="40">
        <f t="shared" ca="1" si="96"/>
        <v>132401060.40000001</v>
      </c>
    </row>
    <row r="13" spans="2:248" x14ac:dyDescent="0.3">
      <c r="B13" s="19" t="s">
        <v>588</v>
      </c>
      <c r="C13" s="74">
        <f>VLOOKUP(B2,Deaths_since_10!C:G,5,FALSE)-1</f>
        <v>0.3639380262552574</v>
      </c>
      <c r="F13" s="19" t="s">
        <v>589</v>
      </c>
      <c r="G13" s="74">
        <f ca="1">H13</f>
        <v>0.26271186440677963</v>
      </c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I13:BT13" ca="1" si="97">IF(ISNA(I5),NA(),IF(J4&lt;$C$10,(J5/OFFSET(J5,0,-J4))^(1/(J4)),(J5/OFFSET(J5,0,-$C$10))^(1/$C$10))-1)</f>
        <v>0.30458714460271508</v>
      </c>
      <c r="K13" s="53">
        <f t="shared" ca="1" si="97"/>
        <v>0.35858248539938176</v>
      </c>
      <c r="L13" s="53">
        <f t="shared" ca="1" si="97"/>
        <v>0.34427942172158232</v>
      </c>
      <c r="M13" s="53">
        <f t="shared" ca="1" si="97"/>
        <v>0.31370077848266753</v>
      </c>
      <c r="N13" s="53">
        <f t="shared" ca="1" si="97"/>
        <v>0.34608279910658291</v>
      </c>
      <c r="O13" s="53">
        <f t="shared" ca="1" si="97"/>
        <v>0.37356611236813397</v>
      </c>
      <c r="P13" s="53">
        <f t="shared" ca="1" si="97"/>
        <v>0.32841337385962488</v>
      </c>
      <c r="Q13" s="53">
        <f t="shared" ca="1" si="97"/>
        <v>0.33286294444115683</v>
      </c>
      <c r="R13" s="53">
        <f t="shared" ca="1" si="97"/>
        <v>0.3614550796378877</v>
      </c>
      <c r="S13" s="53">
        <f t="shared" ca="1" si="97"/>
        <v>0.29546315971254922</v>
      </c>
      <c r="T13" s="53">
        <f t="shared" ca="1" si="97"/>
        <v>0.29313505273275764</v>
      </c>
      <c r="U13" s="53">
        <f t="shared" ca="1" si="97"/>
        <v>0.31021354282727942</v>
      </c>
      <c r="V13" s="53">
        <f t="shared" ca="1" si="97"/>
        <v>0.28996509827004324</v>
      </c>
      <c r="W13" s="53">
        <f t="shared" ca="1" si="97"/>
        <v>0.38057861456112052</v>
      </c>
      <c r="X13" s="53">
        <f t="shared" ca="1" si="97"/>
        <v>0.40416416349332795</v>
      </c>
      <c r="Y13" s="53">
        <f t="shared" ca="1" si="97"/>
        <v>0.40642587983568079</v>
      </c>
      <c r="Z13" s="53">
        <f t="shared" ca="1" si="97"/>
        <v>0.38965082357225467</v>
      </c>
      <c r="AA13" s="53">
        <f t="shared" ca="1" si="97"/>
        <v>0.41305338836984995</v>
      </c>
      <c r="AB13" s="53" t="e">
        <f t="shared" ca="1" si="97"/>
        <v>#N/A</v>
      </c>
      <c r="AC13" s="53" t="e">
        <f t="shared" ca="1" si="97"/>
        <v>#N/A</v>
      </c>
      <c r="AD13" s="53" t="e">
        <f t="shared" ca="1" si="97"/>
        <v>#N/A</v>
      </c>
      <c r="AE13" s="53" t="e">
        <f t="shared" ca="1" si="97"/>
        <v>#N/A</v>
      </c>
      <c r="AF13" s="53" t="e">
        <f t="shared" ca="1" si="97"/>
        <v>#N/A</v>
      </c>
      <c r="AG13" s="53" t="e">
        <f t="shared" ca="1" si="97"/>
        <v>#N/A</v>
      </c>
      <c r="AH13" s="53" t="e">
        <f t="shared" ca="1" si="97"/>
        <v>#N/A</v>
      </c>
      <c r="AI13" s="53" t="e">
        <f t="shared" ca="1" si="97"/>
        <v>#N/A</v>
      </c>
      <c r="AJ13" s="53" t="e">
        <f t="shared" ca="1" si="97"/>
        <v>#N/A</v>
      </c>
      <c r="AK13" s="53" t="e">
        <f t="shared" ca="1" si="97"/>
        <v>#N/A</v>
      </c>
      <c r="AL13" s="53" t="e">
        <f t="shared" ca="1" si="97"/>
        <v>#N/A</v>
      </c>
      <c r="AM13" s="53" t="e">
        <f t="shared" ca="1" si="97"/>
        <v>#N/A</v>
      </c>
      <c r="AN13" s="53" t="e">
        <f t="shared" ca="1" si="97"/>
        <v>#N/A</v>
      </c>
      <c r="AO13" s="53" t="e">
        <f t="shared" ca="1" si="97"/>
        <v>#N/A</v>
      </c>
      <c r="AP13" s="53" t="e">
        <f t="shared" ca="1" si="97"/>
        <v>#N/A</v>
      </c>
      <c r="AQ13" s="53" t="e">
        <f t="shared" ca="1" si="97"/>
        <v>#N/A</v>
      </c>
      <c r="AR13" s="53" t="e">
        <f t="shared" ca="1" si="97"/>
        <v>#N/A</v>
      </c>
      <c r="AS13" s="53" t="e">
        <f t="shared" ca="1" si="97"/>
        <v>#N/A</v>
      </c>
      <c r="AT13" s="53" t="e">
        <f t="shared" ca="1" si="97"/>
        <v>#N/A</v>
      </c>
      <c r="AU13" s="53" t="e">
        <f t="shared" ca="1" si="97"/>
        <v>#N/A</v>
      </c>
      <c r="AV13" s="53" t="e">
        <f t="shared" ca="1" si="97"/>
        <v>#N/A</v>
      </c>
      <c r="AW13" s="53" t="e">
        <f t="shared" ca="1" si="97"/>
        <v>#N/A</v>
      </c>
      <c r="AX13" s="53" t="e">
        <f t="shared" ca="1" si="97"/>
        <v>#N/A</v>
      </c>
      <c r="AY13" s="53" t="e">
        <f t="shared" ca="1" si="97"/>
        <v>#N/A</v>
      </c>
      <c r="AZ13" s="53" t="e">
        <f t="shared" ca="1" si="97"/>
        <v>#N/A</v>
      </c>
      <c r="BA13" s="53" t="e">
        <f t="shared" ca="1" si="97"/>
        <v>#N/A</v>
      </c>
      <c r="BB13" s="53" t="e">
        <f t="shared" ca="1" si="97"/>
        <v>#N/A</v>
      </c>
      <c r="BC13" s="53" t="e">
        <f t="shared" ca="1" si="97"/>
        <v>#N/A</v>
      </c>
      <c r="BD13" s="53" t="e">
        <f t="shared" ca="1" si="97"/>
        <v>#N/A</v>
      </c>
      <c r="BE13" s="53" t="e">
        <f t="shared" ca="1" si="97"/>
        <v>#N/A</v>
      </c>
      <c r="BF13" s="53" t="e">
        <f t="shared" ca="1" si="97"/>
        <v>#N/A</v>
      </c>
      <c r="BG13" s="53" t="e">
        <f t="shared" ca="1" si="97"/>
        <v>#N/A</v>
      </c>
      <c r="BH13" s="53" t="e">
        <f t="shared" ca="1" si="97"/>
        <v>#N/A</v>
      </c>
      <c r="BI13" s="53" t="e">
        <f t="shared" ca="1" si="97"/>
        <v>#N/A</v>
      </c>
      <c r="BJ13" s="53" t="e">
        <f t="shared" ca="1" si="97"/>
        <v>#N/A</v>
      </c>
      <c r="BK13" s="53" t="e">
        <f t="shared" ca="1" si="97"/>
        <v>#N/A</v>
      </c>
      <c r="BL13" s="53" t="e">
        <f t="shared" ca="1" si="97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7"/>
        <v>#N/A</v>
      </c>
      <c r="BO13" s="53" t="e">
        <f t="shared" ca="1" si="97"/>
        <v>#N/A</v>
      </c>
      <c r="BP13" s="53" t="e">
        <f t="shared" ca="1" si="97"/>
        <v>#N/A</v>
      </c>
      <c r="BQ13" s="53" t="e">
        <f t="shared" ca="1" si="97"/>
        <v>#N/A</v>
      </c>
      <c r="BR13" s="53" t="e">
        <f t="shared" ca="1" si="97"/>
        <v>#N/A</v>
      </c>
      <c r="BS13" s="53" t="e">
        <f t="shared" ca="1" si="97"/>
        <v>#N/A</v>
      </c>
      <c r="BT13" s="53" t="e">
        <f t="shared" ca="1" si="97"/>
        <v>#N/A</v>
      </c>
      <c r="BU13" s="53" t="e">
        <f t="shared" ref="BU13:EF13" ca="1" si="98">IF(ISNA(BT5),NA(),IF(BU4&lt;$C$10,(BU5/OFFSET(BU5,0,-BU4))^(1/(BU4)),(BU5/OFFSET(BU5,0,-$C$10))^(1/$C$10))-1)</f>
        <v>#N/A</v>
      </c>
      <c r="BV13" s="53" t="e">
        <f t="shared" ca="1" si="98"/>
        <v>#N/A</v>
      </c>
      <c r="BW13" s="53" t="e">
        <f t="shared" ca="1" si="98"/>
        <v>#N/A</v>
      </c>
      <c r="BX13" s="53" t="e">
        <f t="shared" ca="1" si="98"/>
        <v>#N/A</v>
      </c>
      <c r="BY13" s="53" t="e">
        <f t="shared" ca="1" si="98"/>
        <v>#N/A</v>
      </c>
      <c r="BZ13" s="53" t="e">
        <f t="shared" ca="1" si="98"/>
        <v>#N/A</v>
      </c>
      <c r="CA13" s="53" t="e">
        <f t="shared" ca="1" si="98"/>
        <v>#N/A</v>
      </c>
      <c r="CB13" s="53" t="e">
        <f t="shared" ca="1" si="98"/>
        <v>#N/A</v>
      </c>
      <c r="CC13" s="53" t="e">
        <f t="shared" ca="1" si="98"/>
        <v>#N/A</v>
      </c>
      <c r="CD13" s="53" t="e">
        <f t="shared" ca="1" si="98"/>
        <v>#N/A</v>
      </c>
      <c r="CE13" s="53" t="e">
        <f t="shared" ca="1" si="98"/>
        <v>#N/A</v>
      </c>
      <c r="CF13" s="53" t="e">
        <f t="shared" ca="1" si="98"/>
        <v>#N/A</v>
      </c>
      <c r="CG13" s="53" t="e">
        <f t="shared" ca="1" si="98"/>
        <v>#N/A</v>
      </c>
      <c r="CH13" s="53" t="e">
        <f t="shared" ca="1" si="98"/>
        <v>#N/A</v>
      </c>
      <c r="CI13" s="53" t="e">
        <f t="shared" ca="1" si="98"/>
        <v>#N/A</v>
      </c>
      <c r="CJ13" s="53" t="e">
        <f t="shared" ca="1" si="98"/>
        <v>#N/A</v>
      </c>
      <c r="CK13" s="53" t="e">
        <f t="shared" ca="1" si="98"/>
        <v>#N/A</v>
      </c>
      <c r="CL13" s="53" t="e">
        <f t="shared" ca="1" si="98"/>
        <v>#N/A</v>
      </c>
      <c r="CM13" s="53" t="e">
        <f t="shared" ca="1" si="98"/>
        <v>#N/A</v>
      </c>
      <c r="CN13" s="53" t="e">
        <f t="shared" ca="1" si="98"/>
        <v>#N/A</v>
      </c>
      <c r="CO13" s="53" t="e">
        <f t="shared" ca="1" si="98"/>
        <v>#N/A</v>
      </c>
      <c r="CP13" s="53" t="e">
        <f t="shared" ca="1" si="98"/>
        <v>#N/A</v>
      </c>
      <c r="CQ13" s="53" t="e">
        <f t="shared" ca="1" si="98"/>
        <v>#N/A</v>
      </c>
      <c r="CR13" s="53" t="e">
        <f t="shared" ca="1" si="98"/>
        <v>#N/A</v>
      </c>
      <c r="CS13" s="53" t="e">
        <f t="shared" ca="1" si="98"/>
        <v>#N/A</v>
      </c>
      <c r="CT13" s="53" t="e">
        <f t="shared" ca="1" si="98"/>
        <v>#N/A</v>
      </c>
      <c r="CU13" s="53" t="e">
        <f t="shared" ca="1" si="98"/>
        <v>#N/A</v>
      </c>
      <c r="CV13" s="53" t="e">
        <f t="shared" ca="1" si="98"/>
        <v>#N/A</v>
      </c>
      <c r="CW13" s="53" t="e">
        <f t="shared" ca="1" si="98"/>
        <v>#N/A</v>
      </c>
      <c r="CX13" s="53" t="e">
        <f t="shared" ca="1" si="98"/>
        <v>#N/A</v>
      </c>
      <c r="CY13" s="53" t="e">
        <f t="shared" ca="1" si="98"/>
        <v>#N/A</v>
      </c>
      <c r="CZ13" s="53" t="e">
        <f t="shared" ca="1" si="98"/>
        <v>#N/A</v>
      </c>
      <c r="DA13" s="53" t="e">
        <f t="shared" ca="1" si="98"/>
        <v>#N/A</v>
      </c>
      <c r="DB13" s="53" t="e">
        <f t="shared" ca="1" si="98"/>
        <v>#N/A</v>
      </c>
      <c r="DC13" s="53" t="e">
        <f t="shared" ca="1" si="98"/>
        <v>#N/A</v>
      </c>
      <c r="DD13" s="53" t="e">
        <f t="shared" ca="1" si="98"/>
        <v>#N/A</v>
      </c>
      <c r="DE13" s="53" t="e">
        <f t="shared" ca="1" si="98"/>
        <v>#N/A</v>
      </c>
      <c r="DF13" s="53" t="e">
        <f t="shared" ca="1" si="98"/>
        <v>#N/A</v>
      </c>
      <c r="DG13" s="53" t="e">
        <f t="shared" ca="1" si="98"/>
        <v>#N/A</v>
      </c>
      <c r="DH13" s="53" t="e">
        <f t="shared" ca="1" si="98"/>
        <v>#N/A</v>
      </c>
      <c r="DI13" s="53" t="e">
        <f t="shared" ca="1" si="98"/>
        <v>#N/A</v>
      </c>
      <c r="DJ13" s="53" t="e">
        <f t="shared" ca="1" si="98"/>
        <v>#N/A</v>
      </c>
      <c r="DK13" s="53" t="e">
        <f t="shared" ca="1" si="98"/>
        <v>#N/A</v>
      </c>
      <c r="DL13" s="53" t="e">
        <f t="shared" ca="1" si="98"/>
        <v>#N/A</v>
      </c>
      <c r="DM13" s="53" t="e">
        <f t="shared" ca="1" si="98"/>
        <v>#N/A</v>
      </c>
      <c r="DN13" s="53" t="e">
        <f t="shared" ca="1" si="98"/>
        <v>#N/A</v>
      </c>
      <c r="DO13" s="53" t="e">
        <f t="shared" ca="1" si="98"/>
        <v>#N/A</v>
      </c>
      <c r="DP13" s="53" t="e">
        <f t="shared" ca="1" si="98"/>
        <v>#N/A</v>
      </c>
      <c r="DQ13" s="53" t="e">
        <f t="shared" ca="1" si="98"/>
        <v>#N/A</v>
      </c>
      <c r="DR13" s="53" t="e">
        <f t="shared" ca="1" si="98"/>
        <v>#N/A</v>
      </c>
      <c r="DS13" s="53" t="e">
        <f t="shared" ca="1" si="98"/>
        <v>#N/A</v>
      </c>
      <c r="DT13" s="53" t="e">
        <f t="shared" ca="1" si="98"/>
        <v>#N/A</v>
      </c>
      <c r="DU13" s="53" t="e">
        <f t="shared" ca="1" si="98"/>
        <v>#N/A</v>
      </c>
      <c r="DV13" s="53" t="e">
        <f t="shared" ca="1" si="98"/>
        <v>#N/A</v>
      </c>
      <c r="DW13" s="53" t="e">
        <f t="shared" ca="1" si="98"/>
        <v>#N/A</v>
      </c>
      <c r="DX13" s="53" t="e">
        <f t="shared" ca="1" si="98"/>
        <v>#N/A</v>
      </c>
      <c r="DY13" s="53" t="e">
        <f t="shared" ca="1" si="98"/>
        <v>#N/A</v>
      </c>
      <c r="DZ13" s="53" t="e">
        <f t="shared" ca="1" si="98"/>
        <v>#N/A</v>
      </c>
      <c r="EA13" s="53" t="e">
        <f t="shared" ca="1" si="98"/>
        <v>#N/A</v>
      </c>
      <c r="EB13" s="53" t="e">
        <f t="shared" ca="1" si="98"/>
        <v>#N/A</v>
      </c>
      <c r="EC13" s="53" t="e">
        <f t="shared" ca="1" si="98"/>
        <v>#N/A</v>
      </c>
      <c r="ED13" s="53" t="e">
        <f t="shared" ca="1" si="98"/>
        <v>#N/A</v>
      </c>
      <c r="EE13" s="53" t="e">
        <f t="shared" ca="1" si="98"/>
        <v>#N/A</v>
      </c>
      <c r="EF13" s="53" t="e">
        <f t="shared" ca="1" si="98"/>
        <v>#N/A</v>
      </c>
      <c r="EG13" s="53" t="e">
        <f t="shared" ref="EG13:GR13" ca="1" si="99">IF(ISNA(EF5),NA(),IF(EG4&lt;$C$10,(EG5/OFFSET(EG5,0,-EG4))^(1/(EG4)),(EG5/OFFSET(EG5,0,-$C$10))^(1/$C$10))-1)</f>
        <v>#N/A</v>
      </c>
      <c r="EH13" s="53" t="e">
        <f t="shared" ca="1" si="99"/>
        <v>#N/A</v>
      </c>
      <c r="EI13" s="53" t="e">
        <f t="shared" ca="1" si="99"/>
        <v>#N/A</v>
      </c>
      <c r="EJ13" s="53" t="e">
        <f t="shared" ca="1" si="99"/>
        <v>#N/A</v>
      </c>
      <c r="EK13" s="53" t="e">
        <f t="shared" ca="1" si="99"/>
        <v>#N/A</v>
      </c>
      <c r="EL13" s="53" t="e">
        <f t="shared" ca="1" si="99"/>
        <v>#N/A</v>
      </c>
      <c r="EM13" s="53" t="e">
        <f t="shared" ca="1" si="99"/>
        <v>#N/A</v>
      </c>
      <c r="EN13" s="53" t="e">
        <f t="shared" ca="1" si="99"/>
        <v>#N/A</v>
      </c>
      <c r="EO13" s="53" t="e">
        <f t="shared" ca="1" si="99"/>
        <v>#N/A</v>
      </c>
      <c r="EP13" s="53" t="e">
        <f t="shared" ca="1" si="99"/>
        <v>#N/A</v>
      </c>
      <c r="EQ13" s="53" t="e">
        <f t="shared" ca="1" si="99"/>
        <v>#N/A</v>
      </c>
      <c r="ER13" s="53" t="e">
        <f t="shared" ca="1" si="99"/>
        <v>#N/A</v>
      </c>
      <c r="ES13" s="53" t="e">
        <f t="shared" ca="1" si="99"/>
        <v>#N/A</v>
      </c>
      <c r="ET13" s="53" t="e">
        <f t="shared" ca="1" si="99"/>
        <v>#N/A</v>
      </c>
      <c r="EU13" s="53" t="e">
        <f t="shared" ca="1" si="99"/>
        <v>#N/A</v>
      </c>
      <c r="EV13" s="53" t="e">
        <f t="shared" ca="1" si="99"/>
        <v>#N/A</v>
      </c>
      <c r="EW13" s="53" t="e">
        <f t="shared" ca="1" si="99"/>
        <v>#N/A</v>
      </c>
      <c r="EX13" s="53" t="e">
        <f t="shared" ca="1" si="99"/>
        <v>#N/A</v>
      </c>
      <c r="EY13" s="53" t="e">
        <f t="shared" ca="1" si="99"/>
        <v>#N/A</v>
      </c>
      <c r="EZ13" s="53" t="e">
        <f t="shared" ca="1" si="99"/>
        <v>#N/A</v>
      </c>
      <c r="FA13" s="53" t="e">
        <f t="shared" ca="1" si="99"/>
        <v>#N/A</v>
      </c>
      <c r="FB13" s="53" t="e">
        <f t="shared" ca="1" si="99"/>
        <v>#N/A</v>
      </c>
      <c r="FC13" s="53" t="e">
        <f t="shared" ca="1" si="99"/>
        <v>#N/A</v>
      </c>
      <c r="FD13" s="53" t="e">
        <f t="shared" ca="1" si="99"/>
        <v>#N/A</v>
      </c>
      <c r="FE13" s="53" t="e">
        <f t="shared" ca="1" si="99"/>
        <v>#N/A</v>
      </c>
      <c r="FF13" s="53" t="e">
        <f t="shared" ca="1" si="99"/>
        <v>#N/A</v>
      </c>
      <c r="FG13" s="53" t="e">
        <f t="shared" ca="1" si="99"/>
        <v>#N/A</v>
      </c>
      <c r="FH13" s="53" t="e">
        <f t="shared" ca="1" si="99"/>
        <v>#N/A</v>
      </c>
      <c r="FI13" s="53" t="e">
        <f t="shared" ca="1" si="99"/>
        <v>#N/A</v>
      </c>
      <c r="FJ13" s="53" t="e">
        <f t="shared" ca="1" si="99"/>
        <v>#N/A</v>
      </c>
      <c r="FK13" s="53" t="e">
        <f t="shared" ca="1" si="99"/>
        <v>#N/A</v>
      </c>
      <c r="FL13" s="53" t="e">
        <f t="shared" ca="1" si="99"/>
        <v>#N/A</v>
      </c>
      <c r="FM13" s="53" t="e">
        <f t="shared" ca="1" si="99"/>
        <v>#N/A</v>
      </c>
      <c r="FN13" s="53" t="e">
        <f t="shared" ca="1" si="99"/>
        <v>#N/A</v>
      </c>
      <c r="FO13" s="53" t="e">
        <f t="shared" ca="1" si="99"/>
        <v>#N/A</v>
      </c>
      <c r="FP13" s="53" t="e">
        <f t="shared" ca="1" si="99"/>
        <v>#N/A</v>
      </c>
      <c r="FQ13" s="53" t="e">
        <f t="shared" ca="1" si="99"/>
        <v>#N/A</v>
      </c>
      <c r="FR13" s="53" t="e">
        <f t="shared" ca="1" si="99"/>
        <v>#N/A</v>
      </c>
      <c r="FS13" s="53" t="e">
        <f t="shared" ca="1" si="99"/>
        <v>#N/A</v>
      </c>
      <c r="FT13" s="53" t="e">
        <f t="shared" ca="1" si="99"/>
        <v>#N/A</v>
      </c>
      <c r="FU13" s="53" t="e">
        <f t="shared" ca="1" si="99"/>
        <v>#N/A</v>
      </c>
      <c r="FV13" s="53" t="e">
        <f t="shared" ca="1" si="99"/>
        <v>#N/A</v>
      </c>
      <c r="FW13" s="53" t="e">
        <f t="shared" ca="1" si="99"/>
        <v>#N/A</v>
      </c>
      <c r="FX13" s="53" t="e">
        <f t="shared" ca="1" si="99"/>
        <v>#N/A</v>
      </c>
      <c r="FY13" s="53" t="e">
        <f t="shared" ca="1" si="99"/>
        <v>#N/A</v>
      </c>
      <c r="FZ13" s="53" t="e">
        <f t="shared" ca="1" si="99"/>
        <v>#N/A</v>
      </c>
      <c r="GA13" s="53" t="e">
        <f t="shared" ca="1" si="99"/>
        <v>#N/A</v>
      </c>
      <c r="GB13" s="53" t="e">
        <f t="shared" ca="1" si="99"/>
        <v>#N/A</v>
      </c>
      <c r="GC13" s="53" t="e">
        <f t="shared" ca="1" si="99"/>
        <v>#N/A</v>
      </c>
      <c r="GD13" s="53" t="e">
        <f t="shared" ca="1" si="99"/>
        <v>#N/A</v>
      </c>
      <c r="GE13" s="53" t="e">
        <f t="shared" ca="1" si="99"/>
        <v>#N/A</v>
      </c>
      <c r="GF13" s="53" t="e">
        <f t="shared" ca="1" si="99"/>
        <v>#N/A</v>
      </c>
      <c r="GG13" s="53" t="e">
        <f t="shared" ca="1" si="99"/>
        <v>#N/A</v>
      </c>
      <c r="GH13" s="53" t="e">
        <f t="shared" ca="1" si="99"/>
        <v>#N/A</v>
      </c>
      <c r="GI13" s="53" t="e">
        <f t="shared" ca="1" si="99"/>
        <v>#N/A</v>
      </c>
      <c r="GJ13" s="53" t="e">
        <f t="shared" ca="1" si="99"/>
        <v>#N/A</v>
      </c>
      <c r="GK13" s="53" t="e">
        <f t="shared" ca="1" si="99"/>
        <v>#N/A</v>
      </c>
      <c r="GL13" s="53" t="e">
        <f t="shared" ca="1" si="99"/>
        <v>#N/A</v>
      </c>
      <c r="GM13" s="53" t="e">
        <f t="shared" ca="1" si="99"/>
        <v>#N/A</v>
      </c>
      <c r="GN13" s="53" t="e">
        <f t="shared" ca="1" si="99"/>
        <v>#N/A</v>
      </c>
      <c r="GO13" s="53" t="e">
        <f t="shared" ca="1" si="99"/>
        <v>#N/A</v>
      </c>
      <c r="GP13" s="53" t="e">
        <f t="shared" ca="1" si="99"/>
        <v>#N/A</v>
      </c>
      <c r="GQ13" s="53" t="e">
        <f t="shared" ca="1" si="99"/>
        <v>#N/A</v>
      </c>
      <c r="GR13" s="53" t="e">
        <f t="shared" ca="1" si="99"/>
        <v>#N/A</v>
      </c>
      <c r="GS13" s="53" t="e">
        <f t="shared" ref="GS13:IN13" ca="1" si="100">IF(ISNA(GR5),NA(),IF(GS4&lt;$C$10,(GS5/OFFSET(GS5,0,-GS4))^(1/(GS4)),(GS5/OFFSET(GS5,0,-$C$10))^(1/$C$10))-1)</f>
        <v>#N/A</v>
      </c>
      <c r="GT13" s="53" t="e">
        <f t="shared" ca="1" si="100"/>
        <v>#N/A</v>
      </c>
      <c r="GU13" s="53" t="e">
        <f t="shared" ca="1" si="100"/>
        <v>#N/A</v>
      </c>
      <c r="GV13" s="53" t="e">
        <f t="shared" ca="1" si="100"/>
        <v>#N/A</v>
      </c>
      <c r="GW13" s="53" t="e">
        <f t="shared" ca="1" si="100"/>
        <v>#N/A</v>
      </c>
      <c r="GX13" s="53" t="e">
        <f t="shared" ca="1" si="100"/>
        <v>#N/A</v>
      </c>
      <c r="GY13" s="53" t="e">
        <f t="shared" ca="1" si="100"/>
        <v>#N/A</v>
      </c>
      <c r="GZ13" s="53" t="e">
        <f t="shared" ca="1" si="100"/>
        <v>#N/A</v>
      </c>
      <c r="HA13" s="53" t="e">
        <f t="shared" ca="1" si="100"/>
        <v>#N/A</v>
      </c>
      <c r="HB13" s="53" t="e">
        <f t="shared" ca="1" si="100"/>
        <v>#N/A</v>
      </c>
      <c r="HC13" s="53" t="e">
        <f t="shared" ca="1" si="100"/>
        <v>#N/A</v>
      </c>
      <c r="HD13" s="53" t="e">
        <f t="shared" ca="1" si="100"/>
        <v>#N/A</v>
      </c>
      <c r="HE13" s="53" t="e">
        <f t="shared" ca="1" si="100"/>
        <v>#N/A</v>
      </c>
      <c r="HF13" s="53" t="e">
        <f t="shared" ca="1" si="100"/>
        <v>#N/A</v>
      </c>
      <c r="HG13" s="53" t="e">
        <f t="shared" ca="1" si="100"/>
        <v>#N/A</v>
      </c>
      <c r="HH13" s="53" t="e">
        <f t="shared" ca="1" si="100"/>
        <v>#N/A</v>
      </c>
      <c r="HI13" s="53" t="e">
        <f t="shared" ca="1" si="100"/>
        <v>#N/A</v>
      </c>
      <c r="HJ13" s="53" t="e">
        <f t="shared" ca="1" si="100"/>
        <v>#N/A</v>
      </c>
      <c r="HK13" s="53" t="e">
        <f t="shared" ca="1" si="100"/>
        <v>#N/A</v>
      </c>
      <c r="HL13" s="53" t="e">
        <f t="shared" ca="1" si="100"/>
        <v>#N/A</v>
      </c>
      <c r="HM13" s="53" t="e">
        <f t="shared" ca="1" si="100"/>
        <v>#N/A</v>
      </c>
      <c r="HN13" s="53" t="e">
        <f t="shared" ca="1" si="100"/>
        <v>#N/A</v>
      </c>
      <c r="HO13" s="53" t="e">
        <f t="shared" ca="1" si="100"/>
        <v>#N/A</v>
      </c>
      <c r="HP13" s="53" t="e">
        <f t="shared" ca="1" si="100"/>
        <v>#N/A</v>
      </c>
      <c r="HQ13" s="53" t="e">
        <f t="shared" ca="1" si="100"/>
        <v>#N/A</v>
      </c>
      <c r="HR13" s="53" t="e">
        <f t="shared" ca="1" si="100"/>
        <v>#N/A</v>
      </c>
      <c r="HS13" s="53" t="e">
        <f t="shared" ca="1" si="100"/>
        <v>#N/A</v>
      </c>
      <c r="HT13" s="53" t="e">
        <f t="shared" ca="1" si="100"/>
        <v>#N/A</v>
      </c>
      <c r="HU13" s="53" t="e">
        <f t="shared" ca="1" si="100"/>
        <v>#N/A</v>
      </c>
      <c r="HV13" s="53" t="e">
        <f t="shared" ca="1" si="100"/>
        <v>#N/A</v>
      </c>
      <c r="HW13" s="53" t="e">
        <f t="shared" ca="1" si="100"/>
        <v>#N/A</v>
      </c>
      <c r="HX13" s="53" t="e">
        <f t="shared" ca="1" si="100"/>
        <v>#N/A</v>
      </c>
      <c r="HY13" s="53" t="e">
        <f t="shared" ca="1" si="100"/>
        <v>#N/A</v>
      </c>
      <c r="HZ13" s="53" t="e">
        <f t="shared" ca="1" si="100"/>
        <v>#N/A</v>
      </c>
      <c r="IA13" s="53" t="e">
        <f t="shared" ca="1" si="100"/>
        <v>#N/A</v>
      </c>
      <c r="IB13" s="53" t="e">
        <f t="shared" ca="1" si="100"/>
        <v>#N/A</v>
      </c>
      <c r="IC13" s="53" t="e">
        <f t="shared" ca="1" si="100"/>
        <v>#N/A</v>
      </c>
      <c r="ID13" s="53" t="e">
        <f t="shared" ca="1" si="100"/>
        <v>#N/A</v>
      </c>
      <c r="IE13" s="53" t="e">
        <f t="shared" ca="1" si="100"/>
        <v>#N/A</v>
      </c>
      <c r="IF13" s="53" t="e">
        <f t="shared" ca="1" si="100"/>
        <v>#N/A</v>
      </c>
      <c r="IG13" s="53" t="e">
        <f t="shared" ca="1" si="100"/>
        <v>#N/A</v>
      </c>
      <c r="IH13" s="53" t="e">
        <f t="shared" ca="1" si="100"/>
        <v>#N/A</v>
      </c>
      <c r="II13" s="53" t="e">
        <f t="shared" ca="1" si="100"/>
        <v>#N/A</v>
      </c>
      <c r="IJ13" s="53" t="e">
        <f t="shared" ca="1" si="100"/>
        <v>#N/A</v>
      </c>
      <c r="IK13" s="53" t="e">
        <f t="shared" ca="1" si="100"/>
        <v>#N/A</v>
      </c>
      <c r="IL13" s="53" t="e">
        <f t="shared" ca="1" si="100"/>
        <v>#N/A</v>
      </c>
      <c r="IM13" s="53" t="e">
        <f t="shared" ca="1" si="100"/>
        <v>#N/A</v>
      </c>
      <c r="IN13" s="53" t="e">
        <f t="shared" ca="1" si="100"/>
        <v>#N/A</v>
      </c>
    </row>
    <row r="14" spans="2:248" x14ac:dyDescent="0.3">
      <c r="B14" s="19" t="s">
        <v>452</v>
      </c>
      <c r="C14" s="21">
        <f>C4*(1+C12)</f>
        <v>61958.151919852811</v>
      </c>
      <c r="F14" s="19" t="s">
        <v>571</v>
      </c>
      <c r="G14" s="53">
        <f ca="1">H14</f>
        <v>0.26271186440677963</v>
      </c>
      <c r="H14" s="53">
        <f ca="1">IF(ISNA(G5),NA(),IF(H4&lt;$C$10,(H5/OFFSET(H5,0,-H4))^(1/(H4)),(H5/OFFSET(H5,0,-$C$10))^(1/$C$10))-1)</f>
        <v>0.26271186440677963</v>
      </c>
      <c r="I14" s="53">
        <f t="shared" ref="I14:BT14" ca="1" si="101">IF(ISNA(H5),NA(),IF(I4&lt;$C$10,(I5/OFFSET(I5,0,-I4))^(1/(I4)),(I5/OFFSET(I5,0,-$C$10))^(1/$C$10))-1)</f>
        <v>0.35609109238555869</v>
      </c>
      <c r="J14" s="53">
        <f t="shared" ca="1" si="101"/>
        <v>0.30458714460271508</v>
      </c>
      <c r="K14" s="53">
        <f t="shared" ca="1" si="101"/>
        <v>0.35858248539938176</v>
      </c>
      <c r="L14" s="53">
        <f t="shared" ca="1" si="101"/>
        <v>0.34427942172158232</v>
      </c>
      <c r="M14" s="53">
        <f t="shared" ca="1" si="101"/>
        <v>0.31370077848266753</v>
      </c>
      <c r="N14" s="53">
        <f t="shared" ca="1" si="101"/>
        <v>0.34608279910658291</v>
      </c>
      <c r="O14" s="53">
        <f t="shared" ca="1" si="101"/>
        <v>0.37356611236813397</v>
      </c>
      <c r="P14" s="53">
        <f t="shared" ca="1" si="101"/>
        <v>0.32841337385962488</v>
      </c>
      <c r="Q14" s="53">
        <f t="shared" ca="1" si="101"/>
        <v>0.33286294444115683</v>
      </c>
      <c r="R14" s="53">
        <f t="shared" ca="1" si="101"/>
        <v>0.3614550796378877</v>
      </c>
      <c r="S14" s="53">
        <f t="shared" ca="1" si="101"/>
        <v>0.29546315971254922</v>
      </c>
      <c r="T14" s="53">
        <f t="shared" ca="1" si="101"/>
        <v>0.29313505273275764</v>
      </c>
      <c r="U14" s="53">
        <f t="shared" ca="1" si="101"/>
        <v>0.31021354282727942</v>
      </c>
      <c r="V14" s="53">
        <f t="shared" ca="1" si="101"/>
        <v>0.28996509827004324</v>
      </c>
      <c r="W14" s="53">
        <f t="shared" ca="1" si="101"/>
        <v>0.38057861456112052</v>
      </c>
      <c r="X14" s="53">
        <f t="shared" ca="1" si="101"/>
        <v>0.40416416349332795</v>
      </c>
      <c r="Y14" s="53">
        <f t="shared" ca="1" si="101"/>
        <v>0.40642587983568079</v>
      </c>
      <c r="Z14" s="53">
        <f t="shared" ca="1" si="101"/>
        <v>0.38965082357225467</v>
      </c>
      <c r="AA14" s="53">
        <f t="shared" ca="1" si="101"/>
        <v>0.41305338836984995</v>
      </c>
      <c r="AB14" s="53" t="e">
        <f t="shared" ca="1" si="101"/>
        <v>#N/A</v>
      </c>
      <c r="AC14" s="53" t="e">
        <f t="shared" ca="1" si="101"/>
        <v>#N/A</v>
      </c>
      <c r="AD14" s="53" t="e">
        <f t="shared" ca="1" si="101"/>
        <v>#N/A</v>
      </c>
      <c r="AE14" s="53" t="e">
        <f t="shared" ca="1" si="101"/>
        <v>#N/A</v>
      </c>
      <c r="AF14" s="53" t="e">
        <f t="shared" ca="1" si="101"/>
        <v>#N/A</v>
      </c>
      <c r="AG14" s="53" t="e">
        <f t="shared" ca="1" si="101"/>
        <v>#N/A</v>
      </c>
      <c r="AH14" s="53" t="e">
        <f t="shared" ca="1" si="101"/>
        <v>#N/A</v>
      </c>
      <c r="AI14" s="53" t="e">
        <f t="shared" ca="1" si="101"/>
        <v>#N/A</v>
      </c>
      <c r="AJ14" s="53" t="e">
        <f t="shared" ca="1" si="101"/>
        <v>#N/A</v>
      </c>
      <c r="AK14" s="53" t="e">
        <f t="shared" ca="1" si="101"/>
        <v>#N/A</v>
      </c>
      <c r="AL14" s="53" t="e">
        <f t="shared" ca="1" si="101"/>
        <v>#N/A</v>
      </c>
      <c r="AM14" s="53" t="e">
        <f t="shared" ca="1" si="101"/>
        <v>#N/A</v>
      </c>
      <c r="AN14" s="53" t="e">
        <f t="shared" ca="1" si="101"/>
        <v>#N/A</v>
      </c>
      <c r="AO14" s="53" t="e">
        <f t="shared" ca="1" si="101"/>
        <v>#N/A</v>
      </c>
      <c r="AP14" s="53" t="e">
        <f t="shared" ca="1" si="101"/>
        <v>#N/A</v>
      </c>
      <c r="AQ14" s="53" t="e">
        <f t="shared" ca="1" si="101"/>
        <v>#N/A</v>
      </c>
      <c r="AR14" s="53" t="e">
        <f t="shared" ca="1" si="101"/>
        <v>#N/A</v>
      </c>
      <c r="AS14" s="53" t="e">
        <f t="shared" ca="1" si="101"/>
        <v>#N/A</v>
      </c>
      <c r="AT14" s="53" t="e">
        <f t="shared" ca="1" si="101"/>
        <v>#N/A</v>
      </c>
      <c r="AU14" s="53" t="e">
        <f t="shared" ca="1" si="101"/>
        <v>#N/A</v>
      </c>
      <c r="AV14" s="53" t="e">
        <f t="shared" ca="1" si="101"/>
        <v>#N/A</v>
      </c>
      <c r="AW14" s="53" t="e">
        <f t="shared" ca="1" si="101"/>
        <v>#N/A</v>
      </c>
      <c r="AX14" s="53" t="e">
        <f t="shared" ca="1" si="101"/>
        <v>#N/A</v>
      </c>
      <c r="AY14" s="53" t="e">
        <f t="shared" ca="1" si="101"/>
        <v>#N/A</v>
      </c>
      <c r="AZ14" s="53" t="e">
        <f t="shared" ca="1" si="101"/>
        <v>#N/A</v>
      </c>
      <c r="BA14" s="53" t="e">
        <f t="shared" ca="1" si="101"/>
        <v>#N/A</v>
      </c>
      <c r="BB14" s="53" t="e">
        <f t="shared" ca="1" si="101"/>
        <v>#N/A</v>
      </c>
      <c r="BC14" s="53" t="e">
        <f t="shared" ca="1" si="101"/>
        <v>#N/A</v>
      </c>
      <c r="BD14" s="53" t="e">
        <f t="shared" ca="1" si="101"/>
        <v>#N/A</v>
      </c>
      <c r="BE14" s="53" t="e">
        <f t="shared" ca="1" si="101"/>
        <v>#N/A</v>
      </c>
      <c r="BF14" s="53" t="e">
        <f t="shared" ca="1" si="101"/>
        <v>#N/A</v>
      </c>
      <c r="BG14" s="53" t="e">
        <f t="shared" ca="1" si="101"/>
        <v>#N/A</v>
      </c>
      <c r="BH14" s="53" t="e">
        <f t="shared" ca="1" si="101"/>
        <v>#N/A</v>
      </c>
      <c r="BI14" s="53" t="e">
        <f t="shared" ca="1" si="101"/>
        <v>#N/A</v>
      </c>
      <c r="BJ14" s="53" t="e">
        <f t="shared" ca="1" si="101"/>
        <v>#N/A</v>
      </c>
      <c r="BK14" s="53" t="e">
        <f t="shared" ca="1" si="101"/>
        <v>#N/A</v>
      </c>
      <c r="BL14" s="53" t="e">
        <f t="shared" ca="1" si="101"/>
        <v>#N/A</v>
      </c>
      <c r="BM14" s="53" t="e">
        <f t="shared" ca="1" si="101"/>
        <v>#N/A</v>
      </c>
      <c r="BN14" s="53" t="e">
        <f t="shared" ca="1" si="101"/>
        <v>#N/A</v>
      </c>
      <c r="BO14" s="53" t="e">
        <f t="shared" ca="1" si="101"/>
        <v>#N/A</v>
      </c>
      <c r="BP14" s="53" t="e">
        <f t="shared" ca="1" si="101"/>
        <v>#N/A</v>
      </c>
      <c r="BQ14" s="53" t="e">
        <f t="shared" ca="1" si="101"/>
        <v>#N/A</v>
      </c>
      <c r="BR14" s="53" t="e">
        <f t="shared" ca="1" si="101"/>
        <v>#N/A</v>
      </c>
      <c r="BS14" s="53" t="e">
        <f t="shared" ca="1" si="101"/>
        <v>#N/A</v>
      </c>
      <c r="BT14" s="53" t="e">
        <f t="shared" ca="1" si="101"/>
        <v>#N/A</v>
      </c>
      <c r="BU14" s="53" t="e">
        <f t="shared" ref="BU14:EF14" ca="1" si="102">IF(ISNA(BT5),NA(),IF(BU4&lt;$C$10,(BU5/OFFSET(BU5,0,-BU4))^(1/(BU4)),(BU5/OFFSET(BU5,0,-$C$10))^(1/$C$10))-1)</f>
        <v>#N/A</v>
      </c>
      <c r="BV14" s="53" t="e">
        <f t="shared" ca="1" si="102"/>
        <v>#N/A</v>
      </c>
      <c r="BW14" s="53" t="e">
        <f t="shared" ca="1" si="102"/>
        <v>#N/A</v>
      </c>
      <c r="BX14" s="53" t="e">
        <f t="shared" ca="1" si="102"/>
        <v>#N/A</v>
      </c>
      <c r="BY14" s="53" t="e">
        <f t="shared" ca="1" si="102"/>
        <v>#N/A</v>
      </c>
      <c r="BZ14" s="53" t="e">
        <f t="shared" ca="1" si="102"/>
        <v>#N/A</v>
      </c>
      <c r="CA14" s="53" t="e">
        <f t="shared" ca="1" si="102"/>
        <v>#N/A</v>
      </c>
      <c r="CB14" s="53" t="e">
        <f t="shared" ca="1" si="102"/>
        <v>#N/A</v>
      </c>
      <c r="CC14" s="53" t="e">
        <f t="shared" ca="1" si="102"/>
        <v>#N/A</v>
      </c>
      <c r="CD14" s="53" t="e">
        <f t="shared" ca="1" si="102"/>
        <v>#N/A</v>
      </c>
      <c r="CE14" s="53" t="e">
        <f t="shared" ca="1" si="102"/>
        <v>#N/A</v>
      </c>
      <c r="CF14" s="53" t="e">
        <f t="shared" ca="1" si="102"/>
        <v>#N/A</v>
      </c>
      <c r="CG14" s="53" t="e">
        <f t="shared" ca="1" si="102"/>
        <v>#N/A</v>
      </c>
      <c r="CH14" s="53" t="e">
        <f t="shared" ca="1" si="102"/>
        <v>#N/A</v>
      </c>
      <c r="CI14" s="53" t="e">
        <f t="shared" ca="1" si="102"/>
        <v>#N/A</v>
      </c>
      <c r="CJ14" s="53" t="e">
        <f t="shared" ca="1" si="102"/>
        <v>#N/A</v>
      </c>
      <c r="CK14" s="53" t="e">
        <f t="shared" ca="1" si="102"/>
        <v>#N/A</v>
      </c>
      <c r="CL14" s="53" t="e">
        <f t="shared" ca="1" si="102"/>
        <v>#N/A</v>
      </c>
      <c r="CM14" s="53" t="e">
        <f t="shared" ca="1" si="102"/>
        <v>#N/A</v>
      </c>
      <c r="CN14" s="53" t="e">
        <f t="shared" ca="1" si="102"/>
        <v>#N/A</v>
      </c>
      <c r="CO14" s="53" t="e">
        <f t="shared" ca="1" si="102"/>
        <v>#N/A</v>
      </c>
      <c r="CP14" s="53" t="e">
        <f t="shared" ca="1" si="102"/>
        <v>#N/A</v>
      </c>
      <c r="CQ14" s="53" t="e">
        <f t="shared" ca="1" si="102"/>
        <v>#N/A</v>
      </c>
      <c r="CR14" s="53" t="e">
        <f t="shared" ca="1" si="102"/>
        <v>#N/A</v>
      </c>
      <c r="CS14" s="53" t="e">
        <f t="shared" ca="1" si="102"/>
        <v>#N/A</v>
      </c>
      <c r="CT14" s="53" t="e">
        <f t="shared" ca="1" si="102"/>
        <v>#N/A</v>
      </c>
      <c r="CU14" s="53" t="e">
        <f t="shared" ca="1" si="102"/>
        <v>#N/A</v>
      </c>
      <c r="CV14" s="53" t="e">
        <f t="shared" ca="1" si="102"/>
        <v>#N/A</v>
      </c>
      <c r="CW14" s="53" t="e">
        <f t="shared" ca="1" si="102"/>
        <v>#N/A</v>
      </c>
      <c r="CX14" s="53" t="e">
        <f t="shared" ca="1" si="102"/>
        <v>#N/A</v>
      </c>
      <c r="CY14" s="53" t="e">
        <f t="shared" ca="1" si="102"/>
        <v>#N/A</v>
      </c>
      <c r="CZ14" s="53" t="e">
        <f t="shared" ca="1" si="102"/>
        <v>#N/A</v>
      </c>
      <c r="DA14" s="53" t="e">
        <f t="shared" ca="1" si="102"/>
        <v>#N/A</v>
      </c>
      <c r="DB14" s="53" t="e">
        <f t="shared" ca="1" si="102"/>
        <v>#N/A</v>
      </c>
      <c r="DC14" s="53" t="e">
        <f t="shared" ca="1" si="102"/>
        <v>#N/A</v>
      </c>
      <c r="DD14" s="53" t="e">
        <f t="shared" ca="1" si="102"/>
        <v>#N/A</v>
      </c>
      <c r="DE14" s="53" t="e">
        <f t="shared" ca="1" si="102"/>
        <v>#N/A</v>
      </c>
      <c r="DF14" s="53" t="e">
        <f t="shared" ca="1" si="102"/>
        <v>#N/A</v>
      </c>
      <c r="DG14" s="53" t="e">
        <f t="shared" ca="1" si="102"/>
        <v>#N/A</v>
      </c>
      <c r="DH14" s="53" t="e">
        <f t="shared" ca="1" si="102"/>
        <v>#N/A</v>
      </c>
      <c r="DI14" s="53" t="e">
        <f t="shared" ca="1" si="102"/>
        <v>#N/A</v>
      </c>
      <c r="DJ14" s="53" t="e">
        <f t="shared" ca="1" si="102"/>
        <v>#N/A</v>
      </c>
      <c r="DK14" s="53" t="e">
        <f t="shared" ca="1" si="102"/>
        <v>#N/A</v>
      </c>
      <c r="DL14" s="53" t="e">
        <f t="shared" ca="1" si="102"/>
        <v>#N/A</v>
      </c>
      <c r="DM14" s="53" t="e">
        <f t="shared" ca="1" si="102"/>
        <v>#N/A</v>
      </c>
      <c r="DN14" s="53" t="e">
        <f t="shared" ca="1" si="102"/>
        <v>#N/A</v>
      </c>
      <c r="DO14" s="53" t="e">
        <f t="shared" ca="1" si="102"/>
        <v>#N/A</v>
      </c>
      <c r="DP14" s="53" t="e">
        <f t="shared" ca="1" si="102"/>
        <v>#N/A</v>
      </c>
      <c r="DQ14" s="53" t="e">
        <f t="shared" ca="1" si="102"/>
        <v>#N/A</v>
      </c>
      <c r="DR14" s="53" t="e">
        <f t="shared" ca="1" si="102"/>
        <v>#N/A</v>
      </c>
      <c r="DS14" s="53" t="e">
        <f t="shared" ca="1" si="102"/>
        <v>#N/A</v>
      </c>
      <c r="DT14" s="53" t="e">
        <f t="shared" ca="1" si="102"/>
        <v>#N/A</v>
      </c>
      <c r="DU14" s="53" t="e">
        <f t="shared" ca="1" si="102"/>
        <v>#N/A</v>
      </c>
      <c r="DV14" s="53" t="e">
        <f t="shared" ca="1" si="102"/>
        <v>#N/A</v>
      </c>
      <c r="DW14" s="53" t="e">
        <f t="shared" ca="1" si="102"/>
        <v>#N/A</v>
      </c>
      <c r="DX14" s="53" t="e">
        <f t="shared" ca="1" si="102"/>
        <v>#N/A</v>
      </c>
      <c r="DY14" s="53" t="e">
        <f t="shared" ca="1" si="102"/>
        <v>#N/A</v>
      </c>
      <c r="DZ14" s="53" t="e">
        <f t="shared" ca="1" si="102"/>
        <v>#N/A</v>
      </c>
      <c r="EA14" s="53" t="e">
        <f t="shared" ca="1" si="102"/>
        <v>#N/A</v>
      </c>
      <c r="EB14" s="53" t="e">
        <f t="shared" ca="1" si="102"/>
        <v>#N/A</v>
      </c>
      <c r="EC14" s="53" t="e">
        <f t="shared" ca="1" si="102"/>
        <v>#N/A</v>
      </c>
      <c r="ED14" s="53" t="e">
        <f t="shared" ca="1" si="102"/>
        <v>#N/A</v>
      </c>
      <c r="EE14" s="53" t="e">
        <f t="shared" ca="1" si="102"/>
        <v>#N/A</v>
      </c>
      <c r="EF14" s="53" t="e">
        <f t="shared" ca="1" si="102"/>
        <v>#N/A</v>
      </c>
      <c r="EG14" s="53" t="e">
        <f t="shared" ref="EG14:GR14" ca="1" si="103">IF(ISNA(EF5),NA(),IF(EG4&lt;$C$10,(EG5/OFFSET(EG5,0,-EG4))^(1/(EG4)),(EG5/OFFSET(EG5,0,-$C$10))^(1/$C$10))-1)</f>
        <v>#N/A</v>
      </c>
      <c r="EH14" s="53" t="e">
        <f t="shared" ca="1" si="103"/>
        <v>#N/A</v>
      </c>
      <c r="EI14" s="53" t="e">
        <f t="shared" ca="1" si="103"/>
        <v>#N/A</v>
      </c>
      <c r="EJ14" s="53" t="e">
        <f t="shared" ca="1" si="103"/>
        <v>#N/A</v>
      </c>
      <c r="EK14" s="53" t="e">
        <f t="shared" ca="1" si="103"/>
        <v>#N/A</v>
      </c>
      <c r="EL14" s="53" t="e">
        <f t="shared" ca="1" si="103"/>
        <v>#N/A</v>
      </c>
      <c r="EM14" s="53" t="e">
        <f t="shared" ca="1" si="103"/>
        <v>#N/A</v>
      </c>
      <c r="EN14" s="53" t="e">
        <f t="shared" ca="1" si="103"/>
        <v>#N/A</v>
      </c>
      <c r="EO14" s="53" t="e">
        <f t="shared" ca="1" si="103"/>
        <v>#N/A</v>
      </c>
      <c r="EP14" s="53" t="e">
        <f t="shared" ca="1" si="103"/>
        <v>#N/A</v>
      </c>
      <c r="EQ14" s="53" t="e">
        <f t="shared" ca="1" si="103"/>
        <v>#N/A</v>
      </c>
      <c r="ER14" s="53" t="e">
        <f t="shared" ca="1" si="103"/>
        <v>#N/A</v>
      </c>
      <c r="ES14" s="53" t="e">
        <f t="shared" ca="1" si="103"/>
        <v>#N/A</v>
      </c>
      <c r="ET14" s="53" t="e">
        <f t="shared" ca="1" si="103"/>
        <v>#N/A</v>
      </c>
      <c r="EU14" s="53" t="e">
        <f t="shared" ca="1" si="103"/>
        <v>#N/A</v>
      </c>
      <c r="EV14" s="53" t="e">
        <f t="shared" ca="1" si="103"/>
        <v>#N/A</v>
      </c>
      <c r="EW14" s="53" t="e">
        <f t="shared" ca="1" si="103"/>
        <v>#N/A</v>
      </c>
      <c r="EX14" s="53" t="e">
        <f t="shared" ca="1" si="103"/>
        <v>#N/A</v>
      </c>
      <c r="EY14" s="53" t="e">
        <f t="shared" ca="1" si="103"/>
        <v>#N/A</v>
      </c>
      <c r="EZ14" s="53" t="e">
        <f t="shared" ca="1" si="103"/>
        <v>#N/A</v>
      </c>
      <c r="FA14" s="53" t="e">
        <f t="shared" ca="1" si="103"/>
        <v>#N/A</v>
      </c>
      <c r="FB14" s="53" t="e">
        <f t="shared" ca="1" si="103"/>
        <v>#N/A</v>
      </c>
      <c r="FC14" s="53" t="e">
        <f t="shared" ca="1" si="103"/>
        <v>#N/A</v>
      </c>
      <c r="FD14" s="53" t="e">
        <f t="shared" ca="1" si="103"/>
        <v>#N/A</v>
      </c>
      <c r="FE14" s="53" t="e">
        <f t="shared" ca="1" si="103"/>
        <v>#N/A</v>
      </c>
      <c r="FF14" s="53" t="e">
        <f t="shared" ca="1" si="103"/>
        <v>#N/A</v>
      </c>
      <c r="FG14" s="53" t="e">
        <f t="shared" ca="1" si="103"/>
        <v>#N/A</v>
      </c>
      <c r="FH14" s="53" t="e">
        <f t="shared" ca="1" si="103"/>
        <v>#N/A</v>
      </c>
      <c r="FI14" s="53" t="e">
        <f t="shared" ca="1" si="103"/>
        <v>#N/A</v>
      </c>
      <c r="FJ14" s="53" t="e">
        <f t="shared" ca="1" si="103"/>
        <v>#N/A</v>
      </c>
      <c r="FK14" s="53" t="e">
        <f t="shared" ca="1" si="103"/>
        <v>#N/A</v>
      </c>
      <c r="FL14" s="53" t="e">
        <f t="shared" ca="1" si="103"/>
        <v>#N/A</v>
      </c>
      <c r="FM14" s="53" t="e">
        <f t="shared" ca="1" si="103"/>
        <v>#N/A</v>
      </c>
      <c r="FN14" s="53" t="e">
        <f t="shared" ca="1" si="103"/>
        <v>#N/A</v>
      </c>
      <c r="FO14" s="53" t="e">
        <f t="shared" ca="1" si="103"/>
        <v>#N/A</v>
      </c>
      <c r="FP14" s="53" t="e">
        <f t="shared" ca="1" si="103"/>
        <v>#N/A</v>
      </c>
      <c r="FQ14" s="53" t="e">
        <f t="shared" ca="1" si="103"/>
        <v>#N/A</v>
      </c>
      <c r="FR14" s="53" t="e">
        <f t="shared" ca="1" si="103"/>
        <v>#N/A</v>
      </c>
      <c r="FS14" s="53" t="e">
        <f t="shared" ca="1" si="103"/>
        <v>#N/A</v>
      </c>
      <c r="FT14" s="53" t="e">
        <f t="shared" ca="1" si="103"/>
        <v>#N/A</v>
      </c>
      <c r="FU14" s="53" t="e">
        <f t="shared" ca="1" si="103"/>
        <v>#N/A</v>
      </c>
      <c r="FV14" s="53" t="e">
        <f t="shared" ca="1" si="103"/>
        <v>#N/A</v>
      </c>
      <c r="FW14" s="53" t="e">
        <f t="shared" ca="1" si="103"/>
        <v>#N/A</v>
      </c>
      <c r="FX14" s="53" t="e">
        <f t="shared" ca="1" si="103"/>
        <v>#N/A</v>
      </c>
      <c r="FY14" s="53" t="e">
        <f t="shared" ca="1" si="103"/>
        <v>#N/A</v>
      </c>
      <c r="FZ14" s="53" t="e">
        <f t="shared" ca="1" si="103"/>
        <v>#N/A</v>
      </c>
      <c r="GA14" s="53" t="e">
        <f t="shared" ca="1" si="103"/>
        <v>#N/A</v>
      </c>
      <c r="GB14" s="53" t="e">
        <f t="shared" ca="1" si="103"/>
        <v>#N/A</v>
      </c>
      <c r="GC14" s="53" t="e">
        <f t="shared" ca="1" si="103"/>
        <v>#N/A</v>
      </c>
      <c r="GD14" s="53" t="e">
        <f t="shared" ca="1" si="103"/>
        <v>#N/A</v>
      </c>
      <c r="GE14" s="53" t="e">
        <f t="shared" ca="1" si="103"/>
        <v>#N/A</v>
      </c>
      <c r="GF14" s="53" t="e">
        <f t="shared" ca="1" si="103"/>
        <v>#N/A</v>
      </c>
      <c r="GG14" s="53" t="e">
        <f t="shared" ca="1" si="103"/>
        <v>#N/A</v>
      </c>
      <c r="GH14" s="53" t="e">
        <f t="shared" ca="1" si="103"/>
        <v>#N/A</v>
      </c>
      <c r="GI14" s="53" t="e">
        <f t="shared" ca="1" si="103"/>
        <v>#N/A</v>
      </c>
      <c r="GJ14" s="53" t="e">
        <f t="shared" ca="1" si="103"/>
        <v>#N/A</v>
      </c>
      <c r="GK14" s="53" t="e">
        <f t="shared" ca="1" si="103"/>
        <v>#N/A</v>
      </c>
      <c r="GL14" s="53" t="e">
        <f t="shared" ca="1" si="103"/>
        <v>#N/A</v>
      </c>
      <c r="GM14" s="53" t="e">
        <f t="shared" ca="1" si="103"/>
        <v>#N/A</v>
      </c>
      <c r="GN14" s="53" t="e">
        <f t="shared" ca="1" si="103"/>
        <v>#N/A</v>
      </c>
      <c r="GO14" s="53" t="e">
        <f t="shared" ca="1" si="103"/>
        <v>#N/A</v>
      </c>
      <c r="GP14" s="53" t="e">
        <f t="shared" ca="1" si="103"/>
        <v>#N/A</v>
      </c>
      <c r="GQ14" s="53" t="e">
        <f t="shared" ca="1" si="103"/>
        <v>#N/A</v>
      </c>
      <c r="GR14" s="53" t="e">
        <f t="shared" ca="1" si="103"/>
        <v>#N/A</v>
      </c>
      <c r="GS14" s="53" t="e">
        <f t="shared" ref="GS14:IN14" ca="1" si="104">IF(ISNA(GR5),NA(),IF(GS4&lt;$C$10,(GS5/OFFSET(GS5,0,-GS4))^(1/(GS4)),(GS5/OFFSET(GS5,0,-$C$10))^(1/$C$10))-1)</f>
        <v>#N/A</v>
      </c>
      <c r="GT14" s="53" t="e">
        <f t="shared" ca="1" si="104"/>
        <v>#N/A</v>
      </c>
      <c r="GU14" s="53" t="e">
        <f t="shared" ca="1" si="104"/>
        <v>#N/A</v>
      </c>
      <c r="GV14" s="53" t="e">
        <f t="shared" ca="1" si="104"/>
        <v>#N/A</v>
      </c>
      <c r="GW14" s="53" t="e">
        <f t="shared" ca="1" si="104"/>
        <v>#N/A</v>
      </c>
      <c r="GX14" s="53" t="e">
        <f t="shared" ca="1" si="104"/>
        <v>#N/A</v>
      </c>
      <c r="GY14" s="53" t="e">
        <f t="shared" ca="1" si="104"/>
        <v>#N/A</v>
      </c>
      <c r="GZ14" s="53" t="e">
        <f t="shared" ca="1" si="104"/>
        <v>#N/A</v>
      </c>
      <c r="HA14" s="53" t="e">
        <f t="shared" ca="1" si="104"/>
        <v>#N/A</v>
      </c>
      <c r="HB14" s="53" t="e">
        <f t="shared" ca="1" si="104"/>
        <v>#N/A</v>
      </c>
      <c r="HC14" s="53" t="e">
        <f t="shared" ca="1" si="104"/>
        <v>#N/A</v>
      </c>
      <c r="HD14" s="53" t="e">
        <f t="shared" ca="1" si="104"/>
        <v>#N/A</v>
      </c>
      <c r="HE14" s="53" t="e">
        <f t="shared" ca="1" si="104"/>
        <v>#N/A</v>
      </c>
      <c r="HF14" s="53" t="e">
        <f t="shared" ca="1" si="104"/>
        <v>#N/A</v>
      </c>
      <c r="HG14" s="53" t="e">
        <f t="shared" ca="1" si="104"/>
        <v>#N/A</v>
      </c>
      <c r="HH14" s="53" t="e">
        <f t="shared" ca="1" si="104"/>
        <v>#N/A</v>
      </c>
      <c r="HI14" s="53" t="e">
        <f t="shared" ca="1" si="104"/>
        <v>#N/A</v>
      </c>
      <c r="HJ14" s="53" t="e">
        <f t="shared" ca="1" si="104"/>
        <v>#N/A</v>
      </c>
      <c r="HK14" s="53" t="e">
        <f t="shared" ca="1" si="104"/>
        <v>#N/A</v>
      </c>
      <c r="HL14" s="53" t="e">
        <f t="shared" ca="1" si="104"/>
        <v>#N/A</v>
      </c>
      <c r="HM14" s="53" t="e">
        <f t="shared" ca="1" si="104"/>
        <v>#N/A</v>
      </c>
      <c r="HN14" s="53" t="e">
        <f t="shared" ca="1" si="104"/>
        <v>#N/A</v>
      </c>
      <c r="HO14" s="53" t="e">
        <f t="shared" ca="1" si="104"/>
        <v>#N/A</v>
      </c>
      <c r="HP14" s="53" t="e">
        <f t="shared" ca="1" si="104"/>
        <v>#N/A</v>
      </c>
      <c r="HQ14" s="53" t="e">
        <f t="shared" ca="1" si="104"/>
        <v>#N/A</v>
      </c>
      <c r="HR14" s="53" t="e">
        <f t="shared" ca="1" si="104"/>
        <v>#N/A</v>
      </c>
      <c r="HS14" s="53" t="e">
        <f t="shared" ca="1" si="104"/>
        <v>#N/A</v>
      </c>
      <c r="HT14" s="53" t="e">
        <f t="shared" ca="1" si="104"/>
        <v>#N/A</v>
      </c>
      <c r="HU14" s="53" t="e">
        <f t="shared" ca="1" si="104"/>
        <v>#N/A</v>
      </c>
      <c r="HV14" s="53" t="e">
        <f t="shared" ca="1" si="104"/>
        <v>#N/A</v>
      </c>
      <c r="HW14" s="53" t="e">
        <f t="shared" ca="1" si="104"/>
        <v>#N/A</v>
      </c>
      <c r="HX14" s="53" t="e">
        <f t="shared" ca="1" si="104"/>
        <v>#N/A</v>
      </c>
      <c r="HY14" s="53" t="e">
        <f t="shared" ca="1" si="104"/>
        <v>#N/A</v>
      </c>
      <c r="HZ14" s="53" t="e">
        <f t="shared" ca="1" si="104"/>
        <v>#N/A</v>
      </c>
      <c r="IA14" s="53" t="e">
        <f t="shared" ca="1" si="104"/>
        <v>#N/A</v>
      </c>
      <c r="IB14" s="53" t="e">
        <f t="shared" ca="1" si="104"/>
        <v>#N/A</v>
      </c>
      <c r="IC14" s="53" t="e">
        <f t="shared" ca="1" si="104"/>
        <v>#N/A</v>
      </c>
      <c r="ID14" s="53" t="e">
        <f t="shared" ca="1" si="104"/>
        <v>#N/A</v>
      </c>
      <c r="IE14" s="53" t="e">
        <f t="shared" ca="1" si="104"/>
        <v>#N/A</v>
      </c>
      <c r="IF14" s="53" t="e">
        <f t="shared" ca="1" si="104"/>
        <v>#N/A</v>
      </c>
      <c r="IG14" s="53" t="e">
        <f t="shared" ca="1" si="104"/>
        <v>#N/A</v>
      </c>
      <c r="IH14" s="53" t="e">
        <f t="shared" ca="1" si="104"/>
        <v>#N/A</v>
      </c>
      <c r="II14" s="53" t="e">
        <f t="shared" ca="1" si="104"/>
        <v>#N/A</v>
      </c>
      <c r="IJ14" s="53" t="e">
        <f t="shared" ca="1" si="104"/>
        <v>#N/A</v>
      </c>
      <c r="IK14" s="53" t="e">
        <f t="shared" ca="1" si="104"/>
        <v>#N/A</v>
      </c>
      <c r="IL14" s="53" t="e">
        <f t="shared" ca="1" si="104"/>
        <v>#N/A</v>
      </c>
      <c r="IM14" s="53" t="e">
        <f t="shared" ca="1" si="104"/>
        <v>#N/A</v>
      </c>
      <c r="IN14" s="53" t="e">
        <f t="shared" ca="1" si="104"/>
        <v>#N/A</v>
      </c>
    </row>
    <row r="15" spans="2:248" x14ac:dyDescent="0.3">
      <c r="B15" s="19" t="s">
        <v>466</v>
      </c>
      <c r="C15" s="25">
        <f>IF(VLOOKUP(B2,Country_Data!C:M,11,FALSE)=0,0.047,VLOOKUP(B2,Country_Data!C:M,11,FALSE)*$C$32)</f>
        <v>3.1758159053070903E-2</v>
      </c>
      <c r="E15" s="164"/>
      <c r="F15" s="19" t="s">
        <v>570</v>
      </c>
      <c r="G15" s="53" t="e">
        <f ca="1">H15</f>
        <v>#N/A</v>
      </c>
      <c r="H15" s="53" t="e">
        <f ca="1">IF(ISNA(G6),NA(),IF(H4-$C$9&lt;$C$10,(H6/OFFSET(H6,0,-H4+$C$9))^(1/(H4-$C$9)),(H6/OFFSET(H6,0,-$C$10))^(1/$C$10))-1)</f>
        <v>#N/A</v>
      </c>
      <c r="I15" s="53">
        <f ca="1">IF(ISNA(H6),NA(),IF(I4-$C$9&lt;$C$10,(I6/OFFSET(I6,0,-I4+$C$9))^(1/(I4-$C$9)),(I6/OFFSET(I6,0,-$C$10))^(1/$C$10))-1)</f>
        <v>9.0909090909090828E-2</v>
      </c>
      <c r="J15" s="53">
        <f ca="1">IF(ISNA(I6),NA(),IF(J4-$C$9&lt;$C$10,(J6/OFFSET(J6,0,-J4+$C$9))^(1/(J4-$C$9)),(J6/OFFSET(J6,0,-$C$10))^(1/$C$10))-1)</f>
        <v>0.12815214963553245</v>
      </c>
      <c r="K15" s="53">
        <f ca="1">IF(ISNA(J6),NA(),IF(K4-$C$9&lt;$C$10,(K6/OFFSET(K6,0,-K4+$C$9))^(1/(K4-$C$9)),(K6/OFFSET(K6,0,-$C$10))^(1/$C$10))-1)</f>
        <v>0.15616214441920406</v>
      </c>
      <c r="L15" s="53">
        <f ca="1">IF(ISNA(K6),NA(),IF(L4-$C$9&lt;$C$10,(L6/OFFSET(L6,0,-L4+$C$9))^(1/(L4-$C$9)),(L6/OFFSET(L6,0,-$C$10))^(1/$C$10))-1)</f>
        <v>0.17545674502106401</v>
      </c>
      <c r="M15" s="53">
        <f ca="1">IF(ISNA(L6),NA(),IF(M4-$C$9&lt;$C$10,(M6/OFFSET(M6,0,-M4+$C$9))^(1/(M4-$C$9)),(M6/OFFSET(M6,0,-$C$10))^(1/$C$10))-1)</f>
        <v>0.1486983549970351</v>
      </c>
      <c r="N15" s="53">
        <f ca="1">IF(ISNA(M6),NA(),IF(N4-$C$9&lt;$C$10,(N6/OFFSET(N6,0,-N4+$C$9))^(1/(N4-$C$9)),(N6/OFFSET(N6,0,-$C$10))^(1/$C$10))-1)</f>
        <v>0.18466445254224406</v>
      </c>
      <c r="O15" s="53">
        <f ca="1">IF(ISNA(N6),NA(),IF(O4-$C$9&lt;$C$10,(O6/OFFSET(O6,0,-O4+$C$9))^(1/(O4-$C$9)),(O6/OFFSET(O6,0,-$C$10))^(1/$C$10))-1)</f>
        <v>0.20791087977228595</v>
      </c>
      <c r="P15" s="53">
        <f ca="1">IF(ISNA(O6),NA(),IF(P4-$C$9&lt;$C$10,(P6/OFFSET(P6,0,-P4+$C$9))^(1/(P4-$C$9)),(P6/OFFSET(P6,0,-$C$10))^(1/$C$10))-1)</f>
        <v>0.18664882623542334</v>
      </c>
      <c r="Q15" s="53">
        <f ca="1">IF(ISNA(P6),NA(),IF(Q4-$C$9&lt;$C$10,(Q6/OFFSET(Q6,0,-Q4+$C$9))^(1/(Q4-$C$9)),(Q6/OFFSET(Q6,0,-$C$10))^(1/$C$10))-1)</f>
        <v>0.17483185214392605</v>
      </c>
      <c r="R15" s="53">
        <f ca="1">IF(ISNA(Q6),NA(),IF(R4-$C$9&lt;$C$10,(R6/OFFSET(R6,0,-R4+$C$9))^(1/(R4-$C$9)),(R6/OFFSET(R6,0,-$C$10))^(1/$C$10))-1)</f>
        <v>0.1967245924901726</v>
      </c>
      <c r="S15" s="53">
        <f ca="1">IF(ISNA(R6),NA(),IF(S4-$C$9&lt;$C$10,(S6/OFFSET(S6,0,-S4+$C$9))^(1/(S4-$C$9)),(S6/OFFSET(S6,0,-$C$10))^(1/$C$10))-1)</f>
        <v>0.17607902252467356</v>
      </c>
      <c r="T15" s="53">
        <f ca="1">IF(ISNA(S6),NA(),IF(T4-$C$9&lt;$C$10,(T6/OFFSET(T6,0,-T4+$C$9))^(1/(T4-$C$9)),(T6/OFFSET(T6,0,-$C$10))^(1/$C$10))-1)</f>
        <v>0.18747174576884862</v>
      </c>
      <c r="U15" s="53">
        <f ca="1">IF(ISNA(T6),NA(),IF(U4-$C$9&lt;$C$10,(U6/OFFSET(U6,0,-U4+$C$9))^(1/(U4-$C$9)),(U6/OFFSET(U6,0,-$C$10))^(1/$C$10))-1)</f>
        <v>0.21975540946693473</v>
      </c>
      <c r="V15" s="53">
        <f ca="1">IF(ISNA(U6),NA(),IF(V4-$C$9&lt;$C$10,(V6/OFFSET(V6,0,-V4+$C$9))^(1/(V4-$C$9)),(V6/OFFSET(V6,0,-$C$10))^(1/$C$10))-1)</f>
        <v>0.20214493199953942</v>
      </c>
      <c r="W15" s="53">
        <f ca="1">IF(ISNA(V6),NA(),IF(W4-$C$9&lt;$C$10,(W6/OFFSET(W6,0,-W4+$C$9))^(1/(W4-$C$9)),(W6/OFFSET(W6,0,-$C$10))^(1/$C$10))-1)</f>
        <v>0.29935328030539643</v>
      </c>
      <c r="X15" s="53">
        <f ca="1">IF(ISNA(W6),NA(),IF(X4-$C$9&lt;$C$10,(X6/OFFSET(X6,0,-X4+$C$9))^(1/(X4-$C$9)),(X6/OFFSET(X6,0,-$C$10))^(1/$C$10))-1)</f>
        <v>0.31102162512174147</v>
      </c>
      <c r="Y15" s="53">
        <f ca="1">IF(ISNA(X6),NA(),IF(Y4-$C$9&lt;$C$10,(Y6/OFFSET(Y6,0,-Y4+$C$9))^(1/(Y4-$C$9)),(Y6/OFFSET(Y6,0,-$C$10))^(1/$C$10))-1)</f>
        <v>0.29283734880064749</v>
      </c>
      <c r="Z15" s="53">
        <f ca="1">IF(ISNA(Y6),NA(),IF(Z4-$C$9&lt;$C$10,(Z6/OFFSET(Z6,0,-Z4+$C$9))^(1/(Z4-$C$9)),(Z6/OFFSET(Z6,0,-$C$10))^(1/$C$10))-1)</f>
        <v>0.3102146764437772</v>
      </c>
      <c r="AA15" s="53">
        <f ca="1">IF(ISNA(Z6),NA(),IF(AA4-$C$9&lt;$C$10,(AA6/OFFSET(AA6,0,-AA4+$C$9))^(1/(AA4-$C$9)),(AA6/OFFSET(AA6,0,-$C$10))^(1/$C$10))-1)</f>
        <v>0.3639380262552574</v>
      </c>
      <c r="AB15" s="53" t="e">
        <f ca="1">IF(ISNA(AA6),NA(),IF(AB4-$C$9&lt;$C$10,(AB6/OFFSET(AB6,0,-AB4+$C$9))^(1/(AB4-$C$9)),(AB6/OFFSET(AB6,0,-$C$10))^(1/$C$10))-1)</f>
        <v>#N/A</v>
      </c>
      <c r="AC15" s="53" t="e">
        <f ca="1">IF(ISNA(AB6),NA(),IF(AC4-$C$9&lt;$C$10,(AC6/OFFSET(AC6,0,-AC4+$C$9))^(1/(AC4-$C$9)),(AC6/OFFSET(AC6,0,-$C$10))^(1/$C$10))-1)</f>
        <v>#N/A</v>
      </c>
      <c r="AD15" s="53" t="e">
        <f ca="1">IF(ISNA(AC6),NA(),IF(AD4-$C$9&lt;$C$10,(AD6/OFFSET(AD6,0,-AD4+$C$9))^(1/(AD4-$C$9)),(AD6/OFFSET(AD6,0,-$C$10))^(1/$C$10))-1)</f>
        <v>#N/A</v>
      </c>
      <c r="AE15" s="53" t="e">
        <f ca="1">IF(ISNA(AD6),NA(),IF(AE4-$C$9&lt;$C$10,(AE6/OFFSET(AE6,0,-AE4+$C$9))^(1/(AE4-$C$9)),(AE6/OFFSET(AE6,0,-$C$10))^(1/$C$10))-1)</f>
        <v>#N/A</v>
      </c>
      <c r="AF15" s="53" t="e">
        <f ca="1">IF(ISNA(AE6),NA(),IF(AF4-$C$9&lt;$C$10,(AF6/OFFSET(AF6,0,-AF4+$C$9))^(1/(AF4-$C$9)),(AF6/OFFSET(AF6,0,-$C$10))^(1/$C$10))-1)</f>
        <v>#N/A</v>
      </c>
      <c r="AG15" s="53" t="e">
        <f ca="1">IF(ISNA(AF6),NA(),IF(AG4-$C$9&lt;$C$10,(AG6/OFFSET(AG6,0,-AG4+$C$9))^(1/(AG4-$C$9)),(AG6/OFFSET(AG6,0,-$C$10))^(1/$C$10))-1)</f>
        <v>#N/A</v>
      </c>
      <c r="AH15" s="53" t="e">
        <f ca="1">IF(ISNA(AG6),NA(),IF(AH4-$C$9&lt;$C$10,(AH6/OFFSET(AH6,0,-AH4+$C$9))^(1/(AH4-$C$9)),(AH6/OFFSET(AH6,0,-$C$10))^(1/$C$10))-1)</f>
        <v>#N/A</v>
      </c>
      <c r="AI15" s="53" t="e">
        <f ca="1">IF(ISNA(AH6),NA(),IF(AI4-$C$9&lt;$C$10,(AI6/OFFSET(AI6,0,-AI4+$C$9))^(1/(AI4-$C$9)),(AI6/OFFSET(AI6,0,-$C$10))^(1/$C$10))-1)</f>
        <v>#N/A</v>
      </c>
      <c r="AJ15" s="53" t="e">
        <f ca="1">IF(ISNA(AI6),NA(),IF(AJ4-$C$9&lt;$C$10,(AJ6/OFFSET(AJ6,0,-AJ4+$C$9))^(1/(AJ4-$C$9)),(AJ6/OFFSET(AJ6,0,-$C$10))^(1/$C$10))-1)</f>
        <v>#N/A</v>
      </c>
      <c r="AK15" s="53" t="e">
        <f ca="1">IF(ISNA(AJ6),NA(),IF(AK4-$C$9&lt;$C$10,(AK6/OFFSET(AK6,0,-AK4+$C$9))^(1/(AK4-$C$9)),(AK6/OFFSET(AK6,0,-$C$10))^(1/$C$10))-1)</f>
        <v>#N/A</v>
      </c>
      <c r="AL15" s="53" t="e">
        <f ca="1">IF(ISNA(AK6),NA(),IF(AL4-$C$9&lt;$C$10,(AL6/OFFSET(AL6,0,-AL4+$C$9))^(1/(AL4-$C$9)),(AL6/OFFSET(AL6,0,-$C$10))^(1/$C$10))-1)</f>
        <v>#N/A</v>
      </c>
      <c r="AM15" s="53" t="e">
        <f ca="1">IF(ISNA(AL6),NA(),IF(AM4-$C$9&lt;$C$10,(AM6/OFFSET(AM6,0,-AM4+$C$9))^(1/(AM4-$C$9)),(AM6/OFFSET(AM6,0,-$C$10))^(1/$C$10))-1)</f>
        <v>#N/A</v>
      </c>
      <c r="AN15" s="53" t="e">
        <f ca="1">IF(ISNA(AM6),NA(),IF(AN4-$C$9&lt;$C$10,(AN6/OFFSET(AN6,0,-AN4+$C$9))^(1/(AN4-$C$9)),(AN6/OFFSET(AN6,0,-$C$10))^(1/$C$10))-1)</f>
        <v>#N/A</v>
      </c>
      <c r="AO15" s="53" t="e">
        <f ca="1">IF(ISNA(AN6),NA(),IF(AO4-$C$9&lt;$C$10,(AO6/OFFSET(AO6,0,-AO4+$C$9))^(1/(AO4-$C$9)),(AO6/OFFSET(AO6,0,-$C$10))^(1/$C$10))-1)</f>
        <v>#N/A</v>
      </c>
      <c r="AP15" s="53" t="e">
        <f ca="1">IF(ISNA(AO6),NA(),IF(AP4-$C$9&lt;$C$10,(AP6/OFFSET(AP6,0,-AP4+$C$9))^(1/(AP4-$C$9)),(AP6/OFFSET(AP6,0,-$C$10))^(1/$C$10))-1)</f>
        <v>#N/A</v>
      </c>
      <c r="AQ15" s="53" t="e">
        <f ca="1">IF(ISNA(AP6),NA(),IF(AQ4-$C$9&lt;$C$10,(AQ6/OFFSET(AQ6,0,-AQ4+$C$9))^(1/(AQ4-$C$9)),(AQ6/OFFSET(AQ6,0,-$C$10))^(1/$C$10))-1)</f>
        <v>#N/A</v>
      </c>
      <c r="AR15" s="53" t="e">
        <f ca="1">IF(ISNA(AQ6),NA(),IF(AR4-$C$9&lt;$C$10,(AR6/OFFSET(AR6,0,-AR4+$C$9))^(1/(AR4-$C$9)),(AR6/OFFSET(AR6,0,-$C$10))^(1/$C$10))-1)</f>
        <v>#N/A</v>
      </c>
      <c r="AS15" s="53" t="e">
        <f ca="1">IF(ISNA(AR6),NA(),IF(AS4-$C$9&lt;$C$10,(AS6/OFFSET(AS6,0,-AS4+$C$9))^(1/(AS4-$C$9)),(AS6/OFFSET(AS6,0,-$C$10))^(1/$C$10))-1)</f>
        <v>#N/A</v>
      </c>
      <c r="AT15" s="53" t="e">
        <f ca="1">IF(ISNA(AS6),NA(),IF(AT4-$C$9&lt;$C$10,(AT6/OFFSET(AT6,0,-AT4+$C$9))^(1/(AT4-$C$9)),(AT6/OFFSET(AT6,0,-$C$10))^(1/$C$10))-1)</f>
        <v>#N/A</v>
      </c>
      <c r="AU15" s="53" t="e">
        <f ca="1">IF(ISNA(AT6),NA(),IF(AU4-$C$9&lt;$C$10,(AU6/OFFSET(AU6,0,-AU4+$C$9))^(1/(AU4-$C$9)),(AU6/OFFSET(AU6,0,-$C$10))^(1/$C$10))-1)</f>
        <v>#N/A</v>
      </c>
      <c r="AV15" s="53" t="e">
        <f ca="1">IF(ISNA(AU6),NA(),IF(AV4-$C$9&lt;$C$10,(AV6/OFFSET(AV6,0,-AV4+$C$9))^(1/(AV4-$C$9)),(AV6/OFFSET(AV6,0,-$C$10))^(1/$C$10))-1)</f>
        <v>#N/A</v>
      </c>
      <c r="AW15" s="53" t="e">
        <f ca="1">IF(ISNA(AV6),NA(),IF(AW4-$C$9&lt;$C$10,(AW6/OFFSET(AW6,0,-AW4+$C$9))^(1/(AW4-$C$9)),(AW6/OFFSET(AW6,0,-$C$10))^(1/$C$10))-1)</f>
        <v>#N/A</v>
      </c>
      <c r="AX15" s="53" t="e">
        <f ca="1">IF(ISNA(AW6),NA(),IF(AX4-$C$9&lt;$C$10,(AX6/OFFSET(AX6,0,-AX4+$C$9))^(1/(AX4-$C$9)),(AX6/OFFSET(AX6,0,-$C$10))^(1/$C$10))-1)</f>
        <v>#N/A</v>
      </c>
      <c r="AY15" s="53" t="e">
        <f ca="1">IF(ISNA(AX6),NA(),IF(AY4-$C$9&lt;$C$10,(AY6/OFFSET(AY6,0,-AY4+$C$9))^(1/(AY4-$C$9)),(AY6/OFFSET(AY6,0,-$C$10))^(1/$C$10))-1)</f>
        <v>#N/A</v>
      </c>
      <c r="AZ15" s="53" t="e">
        <f ca="1">IF(ISNA(AY6),NA(),IF(AZ4-$C$9&lt;$C$10,(AZ6/OFFSET(AZ6,0,-AZ4+$C$9))^(1/(AZ4-$C$9)),(AZ6/OFFSET(AZ6,0,-$C$10))^(1/$C$10))-1)</f>
        <v>#N/A</v>
      </c>
      <c r="BA15" s="53" t="e">
        <f ca="1">IF(ISNA(AZ6),NA(),IF(BA4-$C$9&lt;$C$10,(BA6/OFFSET(BA6,0,-BA4+$C$9))^(1/(BA4-$C$9)),(BA6/OFFSET(BA6,0,-$C$10))^(1/$C$10))-1)</f>
        <v>#N/A</v>
      </c>
      <c r="BB15" s="53" t="e">
        <f ca="1">IF(ISNA(BA6),NA(),IF(BB4-$C$9&lt;$C$10,(BB6/OFFSET(BB6,0,-BB4+$C$9))^(1/(BB4-$C$9)),(BB6/OFFSET(BB6,0,-$C$10))^(1/$C$10))-1)</f>
        <v>#N/A</v>
      </c>
      <c r="BC15" s="53" t="e">
        <f ca="1">IF(ISNA(BB6),NA(),IF(BC4-$C$9&lt;$C$10,(BC6/OFFSET(BC6,0,-BC4+$C$9))^(1/(BC4-$C$9)),(BC6/OFFSET(BC6,0,-$C$10))^(1/$C$10))-1)</f>
        <v>#N/A</v>
      </c>
      <c r="BD15" s="53" t="e">
        <f ca="1">IF(ISNA(BC6),NA(),IF(BD4-$C$9&lt;$C$10,(BD6/OFFSET(BD6,0,-BD4+$C$9))^(1/(BD4-$C$9)),(BD6/OFFSET(BD6,0,-$C$10))^(1/$C$10))-1)</f>
        <v>#N/A</v>
      </c>
      <c r="BE15" s="53" t="e">
        <f ca="1">IF(ISNA(BD6),NA(),IF(BE4-$C$9&lt;$C$10,(BE6/OFFSET(BE6,0,-BE4+$C$9))^(1/(BE4-$C$9)),(BE6/OFFSET(BE6,0,-$C$10))^(1/$C$10))-1)</f>
        <v>#N/A</v>
      </c>
      <c r="BF15" s="53" t="e">
        <f ca="1">IF(ISNA(BE6),NA(),IF(BF4-$C$9&lt;$C$10,(BF6/OFFSET(BF6,0,-BF4+$C$9))^(1/(BF4-$C$9)),(BF6/OFFSET(BF6,0,-$C$10))^(1/$C$10))-1)</f>
        <v>#N/A</v>
      </c>
      <c r="BG15" s="53" t="e">
        <f ca="1">IF(ISNA(BF6),NA(),IF(BG4-$C$9&lt;$C$10,(BG6/OFFSET(BG6,0,-BG4+$C$9))^(1/(BG4-$C$9)),(BG6/OFFSET(BG6,0,-$C$10))^(1/$C$10))-1)</f>
        <v>#N/A</v>
      </c>
      <c r="BH15" s="53" t="e">
        <f ca="1">IF(ISNA(BG6),NA(),IF(BH4-$C$9&lt;$C$10,(BH6/OFFSET(BH6,0,-BH4+$C$9))^(1/(BH4-$C$9)),(BH6/OFFSET(BH6,0,-$C$10))^(1/$C$10))-1)</f>
        <v>#N/A</v>
      </c>
      <c r="BI15" s="53" t="e">
        <f ca="1">IF(ISNA(BH6),NA(),IF(BI4-$C$9&lt;$C$10,(BI6/OFFSET(BI6,0,-BI4+$C$9))^(1/(BI4-$C$9)),(BI6/OFFSET(BI6,0,-$C$10))^(1/$C$10))-1)</f>
        <v>#N/A</v>
      </c>
      <c r="BJ15" s="53" t="e">
        <f ca="1">IF(ISNA(BI6),NA(),IF(BJ4-$C$9&lt;$C$10,(BJ6/OFFSET(BJ6,0,-BJ4+$C$9))^(1/(BJ4-$C$9)),(BJ6/OFFSET(BJ6,0,-$C$10))^(1/$C$10))-1)</f>
        <v>#N/A</v>
      </c>
      <c r="BK15" s="53" t="e">
        <f ca="1">IF(ISNA(BJ6),NA(),IF(BK4-$C$9&lt;$C$10,(BK6/OFFSET(BK6,0,-BK4+$C$9))^(1/(BK4-$C$9)),(BK6/OFFSET(BK6,0,-$C$10))^(1/$C$10))-1)</f>
        <v>#N/A</v>
      </c>
      <c r="BL15" s="53" t="e">
        <f ca="1">IF(ISNA(BK6),NA(),IF(BL4-$C$9&lt;$C$10,(BL6/OFFSET(BL6,0,-BL4+$C$9))^(1/(BL4-$C$9)),(BL6/OFFSET(BL6,0,-$C$10))^(1/$C$10))-1)</f>
        <v>#N/A</v>
      </c>
      <c r="BM15" s="53" t="e">
        <f ca="1">IF(ISNA(BL6),NA(),IF(BM4-$C$9&lt;$C$10,(BM6/OFFSET(BM6,0,-BM4+$C$9))^(1/(BM4-$C$9)),(BM6/OFFSET(BM6,0,-$C$10))^(1/$C$10))-1)</f>
        <v>#N/A</v>
      </c>
      <c r="BN15" s="53" t="e">
        <f ca="1">IF(ISNA(BM6),NA(),IF(BN4-$C$9&lt;$C$10,(BN6/OFFSET(BN6,0,-BN4+$C$9))^(1/(BN4-$C$9)),(BN6/OFFSET(BN6,0,-$C$10))^(1/$C$10))-1)</f>
        <v>#N/A</v>
      </c>
      <c r="BO15" s="53" t="e">
        <f ca="1">IF(ISNA(BN6),NA(),IF(BO4-$C$9&lt;$C$10,(BO6/OFFSET(BO6,0,-BO4+$C$9))^(1/(BO4-$C$9)),(BO6/OFFSET(BO6,0,-$C$10))^(1/$C$10))-1)</f>
        <v>#N/A</v>
      </c>
      <c r="BP15" s="53" t="e">
        <f ca="1">IF(ISNA(BO6),NA(),IF(BP4-$C$9&lt;$C$10,(BP6/OFFSET(BP6,0,-BP4+$C$9))^(1/(BP4-$C$9)),(BP6/OFFSET(BP6,0,-$C$10))^(1/$C$10))-1)</f>
        <v>#N/A</v>
      </c>
      <c r="BQ15" s="53" t="e">
        <f ca="1">IF(ISNA(BP6),NA(),IF(BQ4-$C$9&lt;$C$10,(BQ6/OFFSET(BQ6,0,-BQ4+$C$9))^(1/(BQ4-$C$9)),(BQ6/OFFSET(BQ6,0,-$C$10))^(1/$C$10))-1)</f>
        <v>#N/A</v>
      </c>
      <c r="BR15" s="53" t="e">
        <f ca="1">IF(ISNA(BQ6),NA(),IF(BR4-$C$9&lt;$C$10,(BR6/OFFSET(BR6,0,-BR4+$C$9))^(1/(BR4-$C$9)),(BR6/OFFSET(BR6,0,-$C$10))^(1/$C$10))-1)</f>
        <v>#N/A</v>
      </c>
      <c r="BS15" s="53" t="e">
        <f ca="1">IF(ISNA(BR6),NA(),IF(BS4-$C$9&lt;$C$10,(BS6/OFFSET(BS6,0,-BS4+$C$9))^(1/(BS4-$C$9)),(BS6/OFFSET(BS6,0,-$C$10))^(1/$C$10))-1)</f>
        <v>#N/A</v>
      </c>
      <c r="BT15" s="53" t="e">
        <f ca="1">IF(ISNA(BS6),NA(),IF(BT4-$C$9&lt;$C$10,(BT6/OFFSET(BT6,0,-BT4+$C$9))^(1/(BT4-$C$9)),(BT6/OFFSET(BT6,0,-$C$10))^(1/$C$10))-1)</f>
        <v>#N/A</v>
      </c>
      <c r="BU15" s="53" t="e">
        <f ca="1">IF(ISNA(BT6),NA(),IF(BU4-$C$9&lt;$C$10,(BU6/OFFSET(BU6,0,-BU4+$C$9))^(1/(BU4-$C$9)),(BU6/OFFSET(BU6,0,-$C$10))^(1/$C$10))-1)</f>
        <v>#N/A</v>
      </c>
      <c r="BV15" s="53" t="e">
        <f ca="1">IF(ISNA(BU6),NA(),IF(BV4-$C$9&lt;$C$10,(BV6/OFFSET(BV6,0,-BV4+$C$9))^(1/(BV4-$C$9)),(BV6/OFFSET(BV6,0,-$C$10))^(1/$C$10))-1)</f>
        <v>#N/A</v>
      </c>
      <c r="BW15" s="53" t="e">
        <f ca="1">IF(ISNA(BV6),NA(),IF(BW4-$C$9&lt;$C$10,(BW6/OFFSET(BW6,0,-BW4+$C$9))^(1/(BW4-$C$9)),(BW6/OFFSET(BW6,0,-$C$10))^(1/$C$10))-1)</f>
        <v>#N/A</v>
      </c>
      <c r="BX15" s="53" t="e">
        <f ca="1">IF(ISNA(BW6),NA(),IF(BX4-$C$9&lt;$C$10,(BX6/OFFSET(BX6,0,-BX4+$C$9))^(1/(BX4-$C$9)),(BX6/OFFSET(BX6,0,-$C$10))^(1/$C$10))-1)</f>
        <v>#N/A</v>
      </c>
      <c r="BY15" s="53" t="e">
        <f ca="1">IF(ISNA(BX6),NA(),IF(BY4-$C$9&lt;$C$10,(BY6/OFFSET(BY6,0,-BY4+$C$9))^(1/(BY4-$C$9)),(BY6/OFFSET(BY6,0,-$C$10))^(1/$C$10))-1)</f>
        <v>#N/A</v>
      </c>
      <c r="BZ15" s="53" t="e">
        <f ca="1">IF(ISNA(BY6),NA(),IF(BZ4-$C$9&lt;$C$10,(BZ6/OFFSET(BZ6,0,-BZ4+$C$9))^(1/(BZ4-$C$9)),(BZ6/OFFSET(BZ6,0,-$C$10))^(1/$C$10))-1)</f>
        <v>#N/A</v>
      </c>
      <c r="CA15" s="53" t="e">
        <f ca="1">IF(ISNA(BZ6),NA(),IF(CA4-$C$9&lt;$C$10,(CA6/OFFSET(CA6,0,-CA4+$C$9))^(1/(CA4-$C$9)),(CA6/OFFSET(CA6,0,-$C$10))^(1/$C$10))-1)</f>
        <v>#N/A</v>
      </c>
      <c r="CB15" s="53" t="e">
        <f ca="1">IF(ISNA(CA6),NA(),IF(CB4-$C$9&lt;$C$10,(CB6/OFFSET(CB6,0,-CB4+$C$9))^(1/(CB4-$C$9)),(CB6/OFFSET(CB6,0,-$C$10))^(1/$C$10))-1)</f>
        <v>#N/A</v>
      </c>
      <c r="CC15" s="53" t="e">
        <f ca="1">IF(ISNA(CB6),NA(),IF(CC4-$C$9&lt;$C$10,(CC6/OFFSET(CC6,0,-CC4+$C$9))^(1/(CC4-$C$9)),(CC6/OFFSET(CC6,0,-$C$10))^(1/$C$10))-1)</f>
        <v>#N/A</v>
      </c>
      <c r="CD15" s="53" t="e">
        <f ca="1">IF(ISNA(CC6),NA(),IF(CD4-$C$9&lt;$C$10,(CD6/OFFSET(CD6,0,-CD4+$C$9))^(1/(CD4-$C$9)),(CD6/OFFSET(CD6,0,-$C$10))^(1/$C$10))-1)</f>
        <v>#N/A</v>
      </c>
      <c r="CE15" s="53" t="e">
        <f ca="1">IF(ISNA(CD6),NA(),IF(CE4-$C$9&lt;$C$10,(CE6/OFFSET(CE6,0,-CE4+$C$9))^(1/(CE4-$C$9)),(CE6/OFFSET(CE6,0,-$C$10))^(1/$C$10))-1)</f>
        <v>#N/A</v>
      </c>
      <c r="CF15" s="53" t="e">
        <f ca="1">IF(ISNA(CE6),NA(),IF(CF4-$C$9&lt;$C$10,(CF6/OFFSET(CF6,0,-CF4+$C$9))^(1/(CF4-$C$9)),(CF6/OFFSET(CF6,0,-$C$10))^(1/$C$10))-1)</f>
        <v>#N/A</v>
      </c>
      <c r="CG15" s="53" t="e">
        <f ca="1">IF(ISNA(CF6),NA(),IF(CG4-$C$9&lt;$C$10,(CG6/OFFSET(CG6,0,-CG4+$C$9))^(1/(CG4-$C$9)),(CG6/OFFSET(CG6,0,-$C$10))^(1/$C$10))-1)</f>
        <v>#N/A</v>
      </c>
      <c r="CH15" s="53" t="e">
        <f ca="1">IF(ISNA(CG6),NA(),IF(CH4-$C$9&lt;$C$10,(CH6/OFFSET(CH6,0,-CH4+$C$9))^(1/(CH4-$C$9)),(CH6/OFFSET(CH6,0,-$C$10))^(1/$C$10))-1)</f>
        <v>#N/A</v>
      </c>
      <c r="CI15" s="53" t="e">
        <f ca="1">IF(ISNA(CH6),NA(),IF(CI4-$C$9&lt;$C$10,(CI6/OFFSET(CI6,0,-CI4+$C$9))^(1/(CI4-$C$9)),(CI6/OFFSET(CI6,0,-$C$10))^(1/$C$10))-1)</f>
        <v>#N/A</v>
      </c>
      <c r="CJ15" s="53" t="e">
        <f ca="1">IF(ISNA(CI6),NA(),IF(CJ4-$C$9&lt;$C$10,(CJ6/OFFSET(CJ6,0,-CJ4+$C$9))^(1/(CJ4-$C$9)),(CJ6/OFFSET(CJ6,0,-$C$10))^(1/$C$10))-1)</f>
        <v>#N/A</v>
      </c>
      <c r="CK15" s="53" t="e">
        <f ca="1">IF(ISNA(CJ6),NA(),IF(CK4-$C$9&lt;$C$10,(CK6/OFFSET(CK6,0,-CK4+$C$9))^(1/(CK4-$C$9)),(CK6/OFFSET(CK6,0,-$C$10))^(1/$C$10))-1)</f>
        <v>#N/A</v>
      </c>
      <c r="CL15" s="53" t="e">
        <f ca="1">IF(ISNA(CK6),NA(),IF(CL4-$C$9&lt;$C$10,(CL6/OFFSET(CL6,0,-CL4+$C$9))^(1/(CL4-$C$9)),(CL6/OFFSET(CL6,0,-$C$10))^(1/$C$10))-1)</f>
        <v>#N/A</v>
      </c>
      <c r="CM15" s="53" t="e">
        <f ca="1">IF(ISNA(CL6),NA(),IF(CM4-$C$9&lt;$C$10,(CM6/OFFSET(CM6,0,-CM4+$C$9))^(1/(CM4-$C$9)),(CM6/OFFSET(CM6,0,-$C$10))^(1/$C$10))-1)</f>
        <v>#N/A</v>
      </c>
      <c r="CN15" s="53" t="e">
        <f ca="1">IF(ISNA(CM6),NA(),IF(CN4-$C$9&lt;$C$10,(CN6/OFFSET(CN6,0,-CN4+$C$9))^(1/(CN4-$C$9)),(CN6/OFFSET(CN6,0,-$C$10))^(1/$C$10))-1)</f>
        <v>#N/A</v>
      </c>
      <c r="CO15" s="53" t="e">
        <f ca="1">IF(ISNA(CN6),NA(),IF(CO4-$C$9&lt;$C$10,(CO6/OFFSET(CO6,0,-CO4+$C$9))^(1/(CO4-$C$9)),(CO6/OFFSET(CO6,0,-$C$10))^(1/$C$10))-1)</f>
        <v>#N/A</v>
      </c>
      <c r="CP15" s="53" t="e">
        <f ca="1">IF(ISNA(CO6),NA(),IF(CP4-$C$9&lt;$C$10,(CP6/OFFSET(CP6,0,-CP4+$C$9))^(1/(CP4-$C$9)),(CP6/OFFSET(CP6,0,-$C$10))^(1/$C$10))-1)</f>
        <v>#N/A</v>
      </c>
      <c r="CQ15" s="53" t="e">
        <f ca="1">IF(ISNA(CP6),NA(),IF(CQ4-$C$9&lt;$C$10,(CQ6/OFFSET(CQ6,0,-CQ4+$C$9))^(1/(CQ4-$C$9)),(CQ6/OFFSET(CQ6,0,-$C$10))^(1/$C$10))-1)</f>
        <v>#N/A</v>
      </c>
      <c r="CR15" s="53" t="e">
        <f ca="1">IF(ISNA(CQ6),NA(),IF(CR4-$C$9&lt;$C$10,(CR6/OFFSET(CR6,0,-CR4+$C$9))^(1/(CR4-$C$9)),(CR6/OFFSET(CR6,0,-$C$10))^(1/$C$10))-1)</f>
        <v>#N/A</v>
      </c>
      <c r="CS15" s="53" t="e">
        <f ca="1">IF(ISNA(CR6),NA(),IF(CS4-$C$9&lt;$C$10,(CS6/OFFSET(CS6,0,-CS4+$C$9))^(1/(CS4-$C$9)),(CS6/OFFSET(CS6,0,-$C$10))^(1/$C$10))-1)</f>
        <v>#N/A</v>
      </c>
      <c r="CT15" s="53" t="e">
        <f ca="1">IF(ISNA(CS6),NA(),IF(CT4-$C$9&lt;$C$10,(CT6/OFFSET(CT6,0,-CT4+$C$9))^(1/(CT4-$C$9)),(CT6/OFFSET(CT6,0,-$C$10))^(1/$C$10))-1)</f>
        <v>#N/A</v>
      </c>
      <c r="CU15" s="53" t="e">
        <f ca="1">IF(ISNA(CT6),NA(),IF(CU4-$C$9&lt;$C$10,(CU6/OFFSET(CU6,0,-CU4+$C$9))^(1/(CU4-$C$9)),(CU6/OFFSET(CU6,0,-$C$10))^(1/$C$10))-1)</f>
        <v>#N/A</v>
      </c>
      <c r="CV15" s="53" t="e">
        <f ca="1">IF(ISNA(CU6),NA(),IF(CV4-$C$9&lt;$C$10,(CV6/OFFSET(CV6,0,-CV4+$C$9))^(1/(CV4-$C$9)),(CV6/OFFSET(CV6,0,-$C$10))^(1/$C$10))-1)</f>
        <v>#N/A</v>
      </c>
      <c r="CW15" s="53" t="e">
        <f ca="1">IF(ISNA(CV6),NA(),IF(CW4-$C$9&lt;$C$10,(CW6/OFFSET(CW6,0,-CW4+$C$9))^(1/(CW4-$C$9)),(CW6/OFFSET(CW6,0,-$C$10))^(1/$C$10))-1)</f>
        <v>#N/A</v>
      </c>
      <c r="CX15" s="53" t="e">
        <f ca="1">IF(ISNA(CW6),NA(),IF(CX4-$C$9&lt;$C$10,(CX6/OFFSET(CX6,0,-CX4+$C$9))^(1/(CX4-$C$9)),(CX6/OFFSET(CX6,0,-$C$10))^(1/$C$10))-1)</f>
        <v>#N/A</v>
      </c>
      <c r="CY15" s="53" t="e">
        <f ca="1">IF(ISNA(CX6),NA(),IF(CY4-$C$9&lt;$C$10,(CY6/OFFSET(CY6,0,-CY4+$C$9))^(1/(CY4-$C$9)),(CY6/OFFSET(CY6,0,-$C$10))^(1/$C$10))-1)</f>
        <v>#N/A</v>
      </c>
      <c r="CZ15" s="53" t="e">
        <f ca="1">IF(ISNA(CY6),NA(),IF(CZ4-$C$9&lt;$C$10,(CZ6/OFFSET(CZ6,0,-CZ4+$C$9))^(1/(CZ4-$C$9)),(CZ6/OFFSET(CZ6,0,-$C$10))^(1/$C$10))-1)</f>
        <v>#N/A</v>
      </c>
      <c r="DA15" s="53" t="e">
        <f ca="1">IF(ISNA(CZ6),NA(),IF(DA4-$C$9&lt;$C$10,(DA6/OFFSET(DA6,0,-DA4+$C$9))^(1/(DA4-$C$9)),(DA6/OFFSET(DA6,0,-$C$10))^(1/$C$10))-1)</f>
        <v>#N/A</v>
      </c>
      <c r="DB15" s="53" t="e">
        <f ca="1">IF(ISNA(DA6),NA(),IF(DB4-$C$9&lt;$C$10,(DB6/OFFSET(DB6,0,-DB4+$C$9))^(1/(DB4-$C$9)),(DB6/OFFSET(DB6,0,-$C$10))^(1/$C$10))-1)</f>
        <v>#N/A</v>
      </c>
      <c r="DC15" s="53" t="e">
        <f ca="1">IF(ISNA(DB6),NA(),IF(DC4-$C$9&lt;$C$10,(DC6/OFFSET(DC6,0,-DC4+$C$9))^(1/(DC4-$C$9)),(DC6/OFFSET(DC6,0,-$C$10))^(1/$C$10))-1)</f>
        <v>#N/A</v>
      </c>
      <c r="DD15" s="53" t="e">
        <f ca="1">IF(ISNA(DC6),NA(),IF(DD4-$C$9&lt;$C$10,(DD6/OFFSET(DD6,0,-DD4+$C$9))^(1/(DD4-$C$9)),(DD6/OFFSET(DD6,0,-$C$10))^(1/$C$10))-1)</f>
        <v>#N/A</v>
      </c>
      <c r="DE15" s="53" t="e">
        <f ca="1">IF(ISNA(DD6),NA(),IF(DE4-$C$9&lt;$C$10,(DE6/OFFSET(DE6,0,-DE4+$C$9))^(1/(DE4-$C$9)),(DE6/OFFSET(DE6,0,-$C$10))^(1/$C$10))-1)</f>
        <v>#N/A</v>
      </c>
      <c r="DF15" s="53" t="e">
        <f ca="1">IF(ISNA(DE6),NA(),IF(DF4-$C$9&lt;$C$10,(DF6/OFFSET(DF6,0,-DF4+$C$9))^(1/(DF4-$C$9)),(DF6/OFFSET(DF6,0,-$C$10))^(1/$C$10))-1)</f>
        <v>#N/A</v>
      </c>
      <c r="DG15" s="53" t="e">
        <f ca="1">IF(ISNA(DF6),NA(),IF(DG4-$C$9&lt;$C$10,(DG6/OFFSET(DG6,0,-DG4+$C$9))^(1/(DG4-$C$9)),(DG6/OFFSET(DG6,0,-$C$10))^(1/$C$10))-1)</f>
        <v>#N/A</v>
      </c>
      <c r="DH15" s="53" t="e">
        <f ca="1">IF(ISNA(DG6),NA(),IF(DH4-$C$9&lt;$C$10,(DH6/OFFSET(DH6,0,-DH4+$C$9))^(1/(DH4-$C$9)),(DH6/OFFSET(DH6,0,-$C$10))^(1/$C$10))-1)</f>
        <v>#N/A</v>
      </c>
      <c r="DI15" s="53" t="e">
        <f ca="1">IF(ISNA(DH6),NA(),IF(DI4-$C$9&lt;$C$10,(DI6/OFFSET(DI6,0,-DI4+$C$9))^(1/(DI4-$C$9)),(DI6/OFFSET(DI6,0,-$C$10))^(1/$C$10))-1)</f>
        <v>#N/A</v>
      </c>
      <c r="DJ15" s="53" t="e">
        <f ca="1">IF(ISNA(DI6),NA(),IF(DJ4-$C$9&lt;$C$10,(DJ6/OFFSET(DJ6,0,-DJ4+$C$9))^(1/(DJ4-$C$9)),(DJ6/OFFSET(DJ6,0,-$C$10))^(1/$C$10))-1)</f>
        <v>#N/A</v>
      </c>
      <c r="DK15" s="53" t="e">
        <f ca="1">IF(ISNA(DJ6),NA(),IF(DK4-$C$9&lt;$C$10,(DK6/OFFSET(DK6,0,-DK4+$C$9))^(1/(DK4-$C$9)),(DK6/OFFSET(DK6,0,-$C$10))^(1/$C$10))-1)</f>
        <v>#N/A</v>
      </c>
      <c r="DL15" s="53" t="e">
        <f ca="1">IF(ISNA(DK6),NA(),IF(DL4-$C$9&lt;$C$10,(DL6/OFFSET(DL6,0,-DL4+$C$9))^(1/(DL4-$C$9)),(DL6/OFFSET(DL6,0,-$C$10))^(1/$C$10))-1)</f>
        <v>#N/A</v>
      </c>
      <c r="DM15" s="53" t="e">
        <f ca="1">IF(ISNA(DL6),NA(),IF(DM4-$C$9&lt;$C$10,(DM6/OFFSET(DM6,0,-DM4+$C$9))^(1/(DM4-$C$9)),(DM6/OFFSET(DM6,0,-$C$10))^(1/$C$10))-1)</f>
        <v>#N/A</v>
      </c>
      <c r="DN15" s="53" t="e">
        <f ca="1">IF(ISNA(DM6),NA(),IF(DN4-$C$9&lt;$C$10,(DN6/OFFSET(DN6,0,-DN4+$C$9))^(1/(DN4-$C$9)),(DN6/OFFSET(DN6,0,-$C$10))^(1/$C$10))-1)</f>
        <v>#N/A</v>
      </c>
      <c r="DO15" s="53" t="e">
        <f ca="1">IF(ISNA(DN6),NA(),IF(DO4-$C$9&lt;$C$10,(DO6/OFFSET(DO6,0,-DO4+$C$9))^(1/(DO4-$C$9)),(DO6/OFFSET(DO6,0,-$C$10))^(1/$C$10))-1)</f>
        <v>#N/A</v>
      </c>
      <c r="DP15" s="53" t="e">
        <f ca="1">IF(ISNA(DO6),NA(),IF(DP4-$C$9&lt;$C$10,(DP6/OFFSET(DP6,0,-DP4+$C$9))^(1/(DP4-$C$9)),(DP6/OFFSET(DP6,0,-$C$10))^(1/$C$10))-1)</f>
        <v>#N/A</v>
      </c>
      <c r="DQ15" s="53" t="e">
        <f ca="1">IF(ISNA(DP6),NA(),IF(DQ4-$C$9&lt;$C$10,(DQ6/OFFSET(DQ6,0,-DQ4+$C$9))^(1/(DQ4-$C$9)),(DQ6/OFFSET(DQ6,0,-$C$10))^(1/$C$10))-1)</f>
        <v>#N/A</v>
      </c>
      <c r="DR15" s="53" t="e">
        <f ca="1">IF(ISNA(DQ6),NA(),IF(DR4-$C$9&lt;$C$10,(DR6/OFFSET(DR6,0,-DR4+$C$9))^(1/(DR4-$C$9)),(DR6/OFFSET(DR6,0,-$C$10))^(1/$C$10))-1)</f>
        <v>#N/A</v>
      </c>
      <c r="DS15" s="53" t="e">
        <f ca="1">IF(ISNA(DR6),NA(),IF(DS4-$C$9&lt;$C$10,(DS6/OFFSET(DS6,0,-DS4+$C$9))^(1/(DS4-$C$9)),(DS6/OFFSET(DS6,0,-$C$10))^(1/$C$10))-1)</f>
        <v>#N/A</v>
      </c>
      <c r="DT15" s="53" t="e">
        <f ca="1">IF(ISNA(DS6),NA(),IF(DT4-$C$9&lt;$C$10,(DT6/OFFSET(DT6,0,-DT4+$C$9))^(1/(DT4-$C$9)),(DT6/OFFSET(DT6,0,-$C$10))^(1/$C$10))-1)</f>
        <v>#N/A</v>
      </c>
      <c r="DU15" s="53" t="e">
        <f ca="1">IF(ISNA(DT6),NA(),IF(DU4-$C$9&lt;$C$10,(DU6/OFFSET(DU6,0,-DU4+$C$9))^(1/(DU4-$C$9)),(DU6/OFFSET(DU6,0,-$C$10))^(1/$C$10))-1)</f>
        <v>#N/A</v>
      </c>
      <c r="DV15" s="53" t="e">
        <f ca="1">IF(ISNA(DU6),NA(),IF(DV4-$C$9&lt;$C$10,(DV6/OFFSET(DV6,0,-DV4+$C$9))^(1/(DV4-$C$9)),(DV6/OFFSET(DV6,0,-$C$10))^(1/$C$10))-1)</f>
        <v>#N/A</v>
      </c>
      <c r="DW15" s="53" t="e">
        <f ca="1">IF(ISNA(DV6),NA(),IF(DW4-$C$9&lt;$C$10,(DW6/OFFSET(DW6,0,-DW4+$C$9))^(1/(DW4-$C$9)),(DW6/OFFSET(DW6,0,-$C$10))^(1/$C$10))-1)</f>
        <v>#N/A</v>
      </c>
      <c r="DX15" s="53" t="e">
        <f ca="1">IF(ISNA(DW6),NA(),IF(DX4-$C$9&lt;$C$10,(DX6/OFFSET(DX6,0,-DX4+$C$9))^(1/(DX4-$C$9)),(DX6/OFFSET(DX6,0,-$C$10))^(1/$C$10))-1)</f>
        <v>#N/A</v>
      </c>
      <c r="DY15" s="53" t="e">
        <f ca="1">IF(ISNA(DX6),NA(),IF(DY4-$C$9&lt;$C$10,(DY6/OFFSET(DY6,0,-DY4+$C$9))^(1/(DY4-$C$9)),(DY6/OFFSET(DY6,0,-$C$10))^(1/$C$10))-1)</f>
        <v>#N/A</v>
      </c>
      <c r="DZ15" s="53" t="e">
        <f ca="1">IF(ISNA(DY6),NA(),IF(DZ4-$C$9&lt;$C$10,(DZ6/OFFSET(DZ6,0,-DZ4+$C$9))^(1/(DZ4-$C$9)),(DZ6/OFFSET(DZ6,0,-$C$10))^(1/$C$10))-1)</f>
        <v>#N/A</v>
      </c>
      <c r="EA15" s="53" t="e">
        <f ca="1">IF(ISNA(DZ6),NA(),IF(EA4-$C$9&lt;$C$10,(EA6/OFFSET(EA6,0,-EA4+$C$9))^(1/(EA4-$C$9)),(EA6/OFFSET(EA6,0,-$C$10))^(1/$C$10))-1)</f>
        <v>#N/A</v>
      </c>
      <c r="EB15" s="53" t="e">
        <f ca="1">IF(ISNA(EA6),NA(),IF(EB4-$C$9&lt;$C$10,(EB6/OFFSET(EB6,0,-EB4+$C$9))^(1/(EB4-$C$9)),(EB6/OFFSET(EB6,0,-$C$10))^(1/$C$10))-1)</f>
        <v>#N/A</v>
      </c>
      <c r="EC15" s="53" t="e">
        <f ca="1">IF(ISNA(EB6),NA(),IF(EC4-$C$9&lt;$C$10,(EC6/OFFSET(EC6,0,-EC4+$C$9))^(1/(EC4-$C$9)),(EC6/OFFSET(EC6,0,-$C$10))^(1/$C$10))-1)</f>
        <v>#N/A</v>
      </c>
      <c r="ED15" s="53" t="e">
        <f ca="1">IF(ISNA(EC6),NA(),IF(ED4-$C$9&lt;$C$10,(ED6/OFFSET(ED6,0,-ED4+$C$9))^(1/(ED4-$C$9)),(ED6/OFFSET(ED6,0,-$C$10))^(1/$C$10))-1)</f>
        <v>#N/A</v>
      </c>
      <c r="EE15" s="53" t="e">
        <f ca="1">IF(ISNA(ED6),NA(),IF(EE4-$C$9&lt;$C$10,(EE6/OFFSET(EE6,0,-EE4+$C$9))^(1/(EE4-$C$9)),(EE6/OFFSET(EE6,0,-$C$10))^(1/$C$10))-1)</f>
        <v>#N/A</v>
      </c>
      <c r="EF15" s="53" t="e">
        <f ca="1">IF(ISNA(EE6),NA(),IF(EF4-$C$9&lt;$C$10,(EF6/OFFSET(EF6,0,-EF4+$C$9))^(1/(EF4-$C$9)),(EF6/OFFSET(EF6,0,-$C$10))^(1/$C$10))-1)</f>
        <v>#N/A</v>
      </c>
      <c r="EG15" s="53" t="e">
        <f ca="1">IF(ISNA(EF6),NA(),IF(EG4-$C$9&lt;$C$10,(EG6/OFFSET(EG6,0,-EG4+$C$9))^(1/(EG4-$C$9)),(EG6/OFFSET(EG6,0,-$C$10))^(1/$C$10))-1)</f>
        <v>#N/A</v>
      </c>
      <c r="EH15" s="53" t="e">
        <f ca="1">IF(ISNA(EG6),NA(),IF(EH4-$C$9&lt;$C$10,(EH6/OFFSET(EH6,0,-EH4+$C$9))^(1/(EH4-$C$9)),(EH6/OFFSET(EH6,0,-$C$10))^(1/$C$10))-1)</f>
        <v>#N/A</v>
      </c>
      <c r="EI15" s="53" t="e">
        <f ca="1">IF(ISNA(EH6),NA(),IF(EI4-$C$9&lt;$C$10,(EI6/OFFSET(EI6,0,-EI4+$C$9))^(1/(EI4-$C$9)),(EI6/OFFSET(EI6,0,-$C$10))^(1/$C$10))-1)</f>
        <v>#N/A</v>
      </c>
      <c r="EJ15" s="53" t="e">
        <f ca="1">IF(ISNA(EI6),NA(),IF(EJ4-$C$9&lt;$C$10,(EJ6/OFFSET(EJ6,0,-EJ4+$C$9))^(1/(EJ4-$C$9)),(EJ6/OFFSET(EJ6,0,-$C$10))^(1/$C$10))-1)</f>
        <v>#N/A</v>
      </c>
      <c r="EK15" s="53" t="e">
        <f ca="1">IF(ISNA(EJ6),NA(),IF(EK4-$C$9&lt;$C$10,(EK6/OFFSET(EK6,0,-EK4+$C$9))^(1/(EK4-$C$9)),(EK6/OFFSET(EK6,0,-$C$10))^(1/$C$10))-1)</f>
        <v>#N/A</v>
      </c>
      <c r="EL15" s="53" t="e">
        <f ca="1">IF(ISNA(EK6),NA(),IF(EL4-$C$9&lt;$C$10,(EL6/OFFSET(EL6,0,-EL4+$C$9))^(1/(EL4-$C$9)),(EL6/OFFSET(EL6,0,-$C$10))^(1/$C$10))-1)</f>
        <v>#N/A</v>
      </c>
      <c r="EM15" s="53" t="e">
        <f ca="1">IF(ISNA(EL6),NA(),IF(EM4-$C$9&lt;$C$10,(EM6/OFFSET(EM6,0,-EM4+$C$9))^(1/(EM4-$C$9)),(EM6/OFFSET(EM6,0,-$C$10))^(1/$C$10))-1)</f>
        <v>#N/A</v>
      </c>
      <c r="EN15" s="53" t="e">
        <f ca="1">IF(ISNA(EM6),NA(),IF(EN4-$C$9&lt;$C$10,(EN6/OFFSET(EN6,0,-EN4+$C$9))^(1/(EN4-$C$9)),(EN6/OFFSET(EN6,0,-$C$10))^(1/$C$10))-1)</f>
        <v>#N/A</v>
      </c>
      <c r="EO15" s="53" t="e">
        <f ca="1">IF(ISNA(EN6),NA(),IF(EO4-$C$9&lt;$C$10,(EO6/OFFSET(EO6,0,-EO4+$C$9))^(1/(EO4-$C$9)),(EO6/OFFSET(EO6,0,-$C$10))^(1/$C$10))-1)</f>
        <v>#N/A</v>
      </c>
      <c r="EP15" s="53" t="e">
        <f ca="1">IF(ISNA(EO6),NA(),IF(EP4-$C$9&lt;$C$10,(EP6/OFFSET(EP6,0,-EP4+$C$9))^(1/(EP4-$C$9)),(EP6/OFFSET(EP6,0,-$C$10))^(1/$C$10))-1)</f>
        <v>#N/A</v>
      </c>
      <c r="EQ15" s="53" t="e">
        <f ca="1">IF(ISNA(EP6),NA(),IF(EQ4-$C$9&lt;$C$10,(EQ6/OFFSET(EQ6,0,-EQ4+$C$9))^(1/(EQ4-$C$9)),(EQ6/OFFSET(EQ6,0,-$C$10))^(1/$C$10))-1)</f>
        <v>#N/A</v>
      </c>
      <c r="ER15" s="53" t="e">
        <f ca="1">IF(ISNA(EQ6),NA(),IF(ER4-$C$9&lt;$C$10,(ER6/OFFSET(ER6,0,-ER4+$C$9))^(1/(ER4-$C$9)),(ER6/OFFSET(ER6,0,-$C$10))^(1/$C$10))-1)</f>
        <v>#N/A</v>
      </c>
      <c r="ES15" s="53" t="e">
        <f ca="1">IF(ISNA(ER6),NA(),IF(ES4-$C$9&lt;$C$10,(ES6/OFFSET(ES6,0,-ES4+$C$9))^(1/(ES4-$C$9)),(ES6/OFFSET(ES6,0,-$C$10))^(1/$C$10))-1)</f>
        <v>#N/A</v>
      </c>
      <c r="ET15" s="53" t="e">
        <f ca="1">IF(ISNA(ES6),NA(),IF(ET4-$C$9&lt;$C$10,(ET6/OFFSET(ET6,0,-ET4+$C$9))^(1/(ET4-$C$9)),(ET6/OFFSET(ET6,0,-$C$10))^(1/$C$10))-1)</f>
        <v>#N/A</v>
      </c>
      <c r="EU15" s="53" t="e">
        <f ca="1">IF(ISNA(ET6),NA(),IF(EU4-$C$9&lt;$C$10,(EU6/OFFSET(EU6,0,-EU4+$C$9))^(1/(EU4-$C$9)),(EU6/OFFSET(EU6,0,-$C$10))^(1/$C$10))-1)</f>
        <v>#N/A</v>
      </c>
      <c r="EV15" s="53" t="e">
        <f ca="1">IF(ISNA(EU6),NA(),IF(EV4-$C$9&lt;$C$10,(EV6/OFFSET(EV6,0,-EV4+$C$9))^(1/(EV4-$C$9)),(EV6/OFFSET(EV6,0,-$C$10))^(1/$C$10))-1)</f>
        <v>#N/A</v>
      </c>
      <c r="EW15" s="53" t="e">
        <f ca="1">IF(ISNA(EV6),NA(),IF(EW4-$C$9&lt;$C$10,(EW6/OFFSET(EW6,0,-EW4+$C$9))^(1/(EW4-$C$9)),(EW6/OFFSET(EW6,0,-$C$10))^(1/$C$10))-1)</f>
        <v>#N/A</v>
      </c>
      <c r="EX15" s="53" t="e">
        <f ca="1">IF(ISNA(EW6),NA(),IF(EX4-$C$9&lt;$C$10,(EX6/OFFSET(EX6,0,-EX4+$C$9))^(1/(EX4-$C$9)),(EX6/OFFSET(EX6,0,-$C$10))^(1/$C$10))-1)</f>
        <v>#N/A</v>
      </c>
      <c r="EY15" s="53" t="e">
        <f ca="1">IF(ISNA(EX6),NA(),IF(EY4-$C$9&lt;$C$10,(EY6/OFFSET(EY6,0,-EY4+$C$9))^(1/(EY4-$C$9)),(EY6/OFFSET(EY6,0,-$C$10))^(1/$C$10))-1)</f>
        <v>#N/A</v>
      </c>
      <c r="EZ15" s="53" t="e">
        <f ca="1">IF(ISNA(EY6),NA(),IF(EZ4-$C$9&lt;$C$10,(EZ6/OFFSET(EZ6,0,-EZ4+$C$9))^(1/(EZ4-$C$9)),(EZ6/OFFSET(EZ6,0,-$C$10))^(1/$C$10))-1)</f>
        <v>#N/A</v>
      </c>
      <c r="FA15" s="53" t="e">
        <f ca="1">IF(ISNA(EZ6),NA(),IF(FA4-$C$9&lt;$C$10,(FA6/OFFSET(FA6,0,-FA4+$C$9))^(1/(FA4-$C$9)),(FA6/OFFSET(FA6,0,-$C$10))^(1/$C$10))-1)</f>
        <v>#N/A</v>
      </c>
      <c r="FB15" s="53" t="e">
        <f ca="1">IF(ISNA(FA6),NA(),IF(FB4-$C$9&lt;$C$10,(FB6/OFFSET(FB6,0,-FB4+$C$9))^(1/(FB4-$C$9)),(FB6/OFFSET(FB6,0,-$C$10))^(1/$C$10))-1)</f>
        <v>#N/A</v>
      </c>
      <c r="FC15" s="53" t="e">
        <f ca="1">IF(ISNA(FB6),NA(),IF(FC4-$C$9&lt;$C$10,(FC6/OFFSET(FC6,0,-FC4+$C$9))^(1/(FC4-$C$9)),(FC6/OFFSET(FC6,0,-$C$10))^(1/$C$10))-1)</f>
        <v>#N/A</v>
      </c>
      <c r="FD15" s="53" t="e">
        <f ca="1">IF(ISNA(FC6),NA(),IF(FD4-$C$9&lt;$C$10,(FD6/OFFSET(FD6,0,-FD4+$C$9))^(1/(FD4-$C$9)),(FD6/OFFSET(FD6,0,-$C$10))^(1/$C$10))-1)</f>
        <v>#N/A</v>
      </c>
      <c r="FE15" s="53" t="e">
        <f ca="1">IF(ISNA(FD6),NA(),IF(FE4-$C$9&lt;$C$10,(FE6/OFFSET(FE6,0,-FE4+$C$9))^(1/(FE4-$C$9)),(FE6/OFFSET(FE6,0,-$C$10))^(1/$C$10))-1)</f>
        <v>#N/A</v>
      </c>
      <c r="FF15" s="53" t="e">
        <f ca="1">IF(ISNA(FE6),NA(),IF(FF4-$C$9&lt;$C$10,(FF6/OFFSET(FF6,0,-FF4+$C$9))^(1/(FF4-$C$9)),(FF6/OFFSET(FF6,0,-$C$10))^(1/$C$10))-1)</f>
        <v>#N/A</v>
      </c>
      <c r="FG15" s="53" t="e">
        <f ca="1">IF(ISNA(FF6),NA(),IF(FG4-$C$9&lt;$C$10,(FG6/OFFSET(FG6,0,-FG4+$C$9))^(1/(FG4-$C$9)),(FG6/OFFSET(FG6,0,-$C$10))^(1/$C$10))-1)</f>
        <v>#N/A</v>
      </c>
      <c r="FH15" s="53" t="e">
        <f ca="1">IF(ISNA(FG6),NA(),IF(FH4-$C$9&lt;$C$10,(FH6/OFFSET(FH6,0,-FH4+$C$9))^(1/(FH4-$C$9)),(FH6/OFFSET(FH6,0,-$C$10))^(1/$C$10))-1)</f>
        <v>#N/A</v>
      </c>
      <c r="FI15" s="53" t="e">
        <f ca="1">IF(ISNA(FH6),NA(),IF(FI4-$C$9&lt;$C$10,(FI6/OFFSET(FI6,0,-FI4+$C$9))^(1/(FI4-$C$9)),(FI6/OFFSET(FI6,0,-$C$10))^(1/$C$10))-1)</f>
        <v>#N/A</v>
      </c>
      <c r="FJ15" s="53" t="e">
        <f ca="1">IF(ISNA(FI6),NA(),IF(FJ4-$C$9&lt;$C$10,(FJ6/OFFSET(FJ6,0,-FJ4+$C$9))^(1/(FJ4-$C$9)),(FJ6/OFFSET(FJ6,0,-$C$10))^(1/$C$10))-1)</f>
        <v>#N/A</v>
      </c>
      <c r="FK15" s="53" t="e">
        <f ca="1">IF(ISNA(FJ6),NA(),IF(FK4-$C$9&lt;$C$10,(FK6/OFFSET(FK6,0,-FK4+$C$9))^(1/(FK4-$C$9)),(FK6/OFFSET(FK6,0,-$C$10))^(1/$C$10))-1)</f>
        <v>#N/A</v>
      </c>
      <c r="FL15" s="53" t="e">
        <f ca="1">IF(ISNA(FK6),NA(),IF(FL4-$C$9&lt;$C$10,(FL6/OFFSET(FL6,0,-FL4+$C$9))^(1/(FL4-$C$9)),(FL6/OFFSET(FL6,0,-$C$10))^(1/$C$10))-1)</f>
        <v>#N/A</v>
      </c>
      <c r="FM15" s="53" t="e">
        <f ca="1">IF(ISNA(FL6),NA(),IF(FM4-$C$9&lt;$C$10,(FM6/OFFSET(FM6,0,-FM4+$C$9))^(1/(FM4-$C$9)),(FM6/OFFSET(FM6,0,-$C$10))^(1/$C$10))-1)</f>
        <v>#N/A</v>
      </c>
      <c r="FN15" s="53" t="e">
        <f ca="1">IF(ISNA(FM6),NA(),IF(FN4-$C$9&lt;$C$10,(FN6/OFFSET(FN6,0,-FN4+$C$9))^(1/(FN4-$C$9)),(FN6/OFFSET(FN6,0,-$C$10))^(1/$C$10))-1)</f>
        <v>#N/A</v>
      </c>
      <c r="FO15" s="53" t="e">
        <f ca="1">IF(ISNA(FN6),NA(),IF(FO4-$C$9&lt;$C$10,(FO6/OFFSET(FO6,0,-FO4+$C$9))^(1/(FO4-$C$9)),(FO6/OFFSET(FO6,0,-$C$10))^(1/$C$10))-1)</f>
        <v>#N/A</v>
      </c>
      <c r="FP15" s="53" t="e">
        <f ca="1">IF(ISNA(FO6),NA(),IF(FP4-$C$9&lt;$C$10,(FP6/OFFSET(FP6,0,-FP4+$C$9))^(1/(FP4-$C$9)),(FP6/OFFSET(FP6,0,-$C$10))^(1/$C$10))-1)</f>
        <v>#N/A</v>
      </c>
      <c r="FQ15" s="53" t="e">
        <f ca="1">IF(ISNA(FP6),NA(),IF(FQ4-$C$9&lt;$C$10,(FQ6/OFFSET(FQ6,0,-FQ4+$C$9))^(1/(FQ4-$C$9)),(FQ6/OFFSET(FQ6,0,-$C$10))^(1/$C$10))-1)</f>
        <v>#N/A</v>
      </c>
      <c r="FR15" s="53" t="e">
        <f ca="1">IF(ISNA(FQ6),NA(),IF(FR4-$C$9&lt;$C$10,(FR6/OFFSET(FR6,0,-FR4+$C$9))^(1/(FR4-$C$9)),(FR6/OFFSET(FR6,0,-$C$10))^(1/$C$10))-1)</f>
        <v>#N/A</v>
      </c>
      <c r="FS15" s="53" t="e">
        <f ca="1">IF(ISNA(FR6),NA(),IF(FS4-$C$9&lt;$C$10,(FS6/OFFSET(FS6,0,-FS4+$C$9))^(1/(FS4-$C$9)),(FS6/OFFSET(FS6,0,-$C$10))^(1/$C$10))-1)</f>
        <v>#N/A</v>
      </c>
      <c r="FT15" s="53" t="e">
        <f ca="1">IF(ISNA(FS6),NA(),IF(FT4-$C$9&lt;$C$10,(FT6/OFFSET(FT6,0,-FT4+$C$9))^(1/(FT4-$C$9)),(FT6/OFFSET(FT6,0,-$C$10))^(1/$C$10))-1)</f>
        <v>#N/A</v>
      </c>
      <c r="FU15" s="53" t="e">
        <f ca="1">IF(ISNA(FT6),NA(),IF(FU4-$C$9&lt;$C$10,(FU6/OFFSET(FU6,0,-FU4+$C$9))^(1/(FU4-$C$9)),(FU6/OFFSET(FU6,0,-$C$10))^(1/$C$10))-1)</f>
        <v>#N/A</v>
      </c>
      <c r="FV15" s="53" t="e">
        <f ca="1">IF(ISNA(FU6),NA(),IF(FV4-$C$9&lt;$C$10,(FV6/OFFSET(FV6,0,-FV4+$C$9))^(1/(FV4-$C$9)),(FV6/OFFSET(FV6,0,-$C$10))^(1/$C$10))-1)</f>
        <v>#N/A</v>
      </c>
      <c r="FW15" s="53" t="e">
        <f ca="1">IF(ISNA(FV6),NA(),IF(FW4-$C$9&lt;$C$10,(FW6/OFFSET(FW6,0,-FW4+$C$9))^(1/(FW4-$C$9)),(FW6/OFFSET(FW6,0,-$C$10))^(1/$C$10))-1)</f>
        <v>#N/A</v>
      </c>
      <c r="FX15" s="53" t="e">
        <f ca="1">IF(ISNA(FW6),NA(),IF(FX4-$C$9&lt;$C$10,(FX6/OFFSET(FX6,0,-FX4+$C$9))^(1/(FX4-$C$9)),(FX6/OFFSET(FX6,0,-$C$10))^(1/$C$10))-1)</f>
        <v>#N/A</v>
      </c>
      <c r="FY15" s="53" t="e">
        <f ca="1">IF(ISNA(FX6),NA(),IF(FY4-$C$9&lt;$C$10,(FY6/OFFSET(FY6,0,-FY4+$C$9))^(1/(FY4-$C$9)),(FY6/OFFSET(FY6,0,-$C$10))^(1/$C$10))-1)</f>
        <v>#N/A</v>
      </c>
      <c r="FZ15" s="53" t="e">
        <f ca="1">IF(ISNA(FY6),NA(),IF(FZ4-$C$9&lt;$C$10,(FZ6/OFFSET(FZ6,0,-FZ4+$C$9))^(1/(FZ4-$C$9)),(FZ6/OFFSET(FZ6,0,-$C$10))^(1/$C$10))-1)</f>
        <v>#N/A</v>
      </c>
      <c r="GA15" s="53" t="e">
        <f ca="1">IF(ISNA(FZ6),NA(),IF(GA4-$C$9&lt;$C$10,(GA6/OFFSET(GA6,0,-GA4+$C$9))^(1/(GA4-$C$9)),(GA6/OFFSET(GA6,0,-$C$10))^(1/$C$10))-1)</f>
        <v>#N/A</v>
      </c>
      <c r="GB15" s="53" t="e">
        <f ca="1">IF(ISNA(GA6),NA(),IF(GB4-$C$9&lt;$C$10,(GB6/OFFSET(GB6,0,-GB4+$C$9))^(1/(GB4-$C$9)),(GB6/OFFSET(GB6,0,-$C$10))^(1/$C$10))-1)</f>
        <v>#N/A</v>
      </c>
      <c r="GC15" s="53" t="e">
        <f ca="1">IF(ISNA(GB6),NA(),IF(GC4-$C$9&lt;$C$10,(GC6/OFFSET(GC6,0,-GC4+$C$9))^(1/(GC4-$C$9)),(GC6/OFFSET(GC6,0,-$C$10))^(1/$C$10))-1)</f>
        <v>#N/A</v>
      </c>
      <c r="GD15" s="53" t="e">
        <f ca="1">IF(ISNA(GC6),NA(),IF(GD4-$C$9&lt;$C$10,(GD6/OFFSET(GD6,0,-GD4+$C$9))^(1/(GD4-$C$9)),(GD6/OFFSET(GD6,0,-$C$10))^(1/$C$10))-1)</f>
        <v>#N/A</v>
      </c>
      <c r="GE15" s="53" t="e">
        <f ca="1">IF(ISNA(GD6),NA(),IF(GE4-$C$9&lt;$C$10,(GE6/OFFSET(GE6,0,-GE4+$C$9))^(1/(GE4-$C$9)),(GE6/OFFSET(GE6,0,-$C$10))^(1/$C$10))-1)</f>
        <v>#N/A</v>
      </c>
      <c r="GF15" s="53" t="e">
        <f ca="1">IF(ISNA(GE6),NA(),IF(GF4-$C$9&lt;$C$10,(GF6/OFFSET(GF6,0,-GF4+$C$9))^(1/(GF4-$C$9)),(GF6/OFFSET(GF6,0,-$C$10))^(1/$C$10))-1)</f>
        <v>#N/A</v>
      </c>
      <c r="GG15" s="53" t="e">
        <f ca="1">IF(ISNA(GF6),NA(),IF(GG4-$C$9&lt;$C$10,(GG6/OFFSET(GG6,0,-GG4+$C$9))^(1/(GG4-$C$9)),(GG6/OFFSET(GG6,0,-$C$10))^(1/$C$10))-1)</f>
        <v>#N/A</v>
      </c>
      <c r="GH15" s="53" t="e">
        <f ca="1">IF(ISNA(GG6),NA(),IF(GH4-$C$9&lt;$C$10,(GH6/OFFSET(GH6,0,-GH4+$C$9))^(1/(GH4-$C$9)),(GH6/OFFSET(GH6,0,-$C$10))^(1/$C$10))-1)</f>
        <v>#N/A</v>
      </c>
      <c r="GI15" s="53" t="e">
        <f ca="1">IF(ISNA(GH6),NA(),IF(GI4-$C$9&lt;$C$10,(GI6/OFFSET(GI6,0,-GI4+$C$9))^(1/(GI4-$C$9)),(GI6/OFFSET(GI6,0,-$C$10))^(1/$C$10))-1)</f>
        <v>#N/A</v>
      </c>
      <c r="GJ15" s="53" t="e">
        <f ca="1">IF(ISNA(GI6),NA(),IF(GJ4-$C$9&lt;$C$10,(GJ6/OFFSET(GJ6,0,-GJ4+$C$9))^(1/(GJ4-$C$9)),(GJ6/OFFSET(GJ6,0,-$C$10))^(1/$C$10))-1)</f>
        <v>#N/A</v>
      </c>
      <c r="GK15" s="53" t="e">
        <f ca="1">IF(ISNA(GJ6),NA(),IF(GK4-$C$9&lt;$C$10,(GK6/OFFSET(GK6,0,-GK4+$C$9))^(1/(GK4-$C$9)),(GK6/OFFSET(GK6,0,-$C$10))^(1/$C$10))-1)</f>
        <v>#N/A</v>
      </c>
      <c r="GL15" s="53" t="e">
        <f ca="1">IF(ISNA(GK6),NA(),IF(GL4-$C$9&lt;$C$10,(GL6/OFFSET(GL6,0,-GL4+$C$9))^(1/(GL4-$C$9)),(GL6/OFFSET(GL6,0,-$C$10))^(1/$C$10))-1)</f>
        <v>#N/A</v>
      </c>
      <c r="GM15" s="53" t="e">
        <f ca="1">IF(ISNA(GL6),NA(),IF(GM4-$C$9&lt;$C$10,(GM6/OFFSET(GM6,0,-GM4+$C$9))^(1/(GM4-$C$9)),(GM6/OFFSET(GM6,0,-$C$10))^(1/$C$10))-1)</f>
        <v>#N/A</v>
      </c>
      <c r="GN15" s="53" t="e">
        <f ca="1">IF(ISNA(GM6),NA(),IF(GN4-$C$9&lt;$C$10,(GN6/OFFSET(GN6,0,-GN4+$C$9))^(1/(GN4-$C$9)),(GN6/OFFSET(GN6,0,-$C$10))^(1/$C$10))-1)</f>
        <v>#N/A</v>
      </c>
      <c r="GO15" s="53" t="e">
        <f ca="1">IF(ISNA(GN6),NA(),IF(GO4-$C$9&lt;$C$10,(GO6/OFFSET(GO6,0,-GO4+$C$9))^(1/(GO4-$C$9)),(GO6/OFFSET(GO6,0,-$C$10))^(1/$C$10))-1)</f>
        <v>#N/A</v>
      </c>
      <c r="GP15" s="53" t="e">
        <f ca="1">IF(ISNA(GO6),NA(),IF(GP4-$C$9&lt;$C$10,(GP6/OFFSET(GP6,0,-GP4+$C$9))^(1/(GP4-$C$9)),(GP6/OFFSET(GP6,0,-$C$10))^(1/$C$10))-1)</f>
        <v>#N/A</v>
      </c>
      <c r="GQ15" s="53" t="e">
        <f ca="1">IF(ISNA(GP6),NA(),IF(GQ4-$C$9&lt;$C$10,(GQ6/OFFSET(GQ6,0,-GQ4+$C$9))^(1/(GQ4-$C$9)),(GQ6/OFFSET(GQ6,0,-$C$10))^(1/$C$10))-1)</f>
        <v>#N/A</v>
      </c>
      <c r="GR15" s="53" t="e">
        <f ca="1">IF(ISNA(GQ6),NA(),IF(GR4-$C$9&lt;$C$10,(GR6/OFFSET(GR6,0,-GR4+$C$9))^(1/(GR4-$C$9)),(GR6/OFFSET(GR6,0,-$C$10))^(1/$C$10))-1)</f>
        <v>#N/A</v>
      </c>
      <c r="GS15" s="53" t="e">
        <f ca="1">IF(ISNA(GR6),NA(),IF(GS4-$C$9&lt;$C$10,(GS6/OFFSET(GS6,0,-GS4+$C$9))^(1/(GS4-$C$9)),(GS6/OFFSET(GS6,0,-$C$10))^(1/$C$10))-1)</f>
        <v>#N/A</v>
      </c>
      <c r="GT15" s="53" t="e">
        <f ca="1">IF(ISNA(GS6),NA(),IF(GT4-$C$9&lt;$C$10,(GT6/OFFSET(GT6,0,-GT4+$C$9))^(1/(GT4-$C$9)),(GT6/OFFSET(GT6,0,-$C$10))^(1/$C$10))-1)</f>
        <v>#N/A</v>
      </c>
      <c r="GU15" s="53" t="e">
        <f ca="1">IF(ISNA(GT6),NA(),IF(GU4-$C$9&lt;$C$10,(GU6/OFFSET(GU6,0,-GU4+$C$9))^(1/(GU4-$C$9)),(GU6/OFFSET(GU6,0,-$C$10))^(1/$C$10))-1)</f>
        <v>#N/A</v>
      </c>
      <c r="GV15" s="53" t="e">
        <f ca="1">IF(ISNA(GU6),NA(),IF(GV4-$C$9&lt;$C$10,(GV6/OFFSET(GV6,0,-GV4+$C$9))^(1/(GV4-$C$9)),(GV6/OFFSET(GV6,0,-$C$10))^(1/$C$10))-1)</f>
        <v>#N/A</v>
      </c>
      <c r="GW15" s="53" t="e">
        <f ca="1">IF(ISNA(GV6),NA(),IF(GW4-$C$9&lt;$C$10,(GW6/OFFSET(GW6,0,-GW4+$C$9))^(1/(GW4-$C$9)),(GW6/OFFSET(GW6,0,-$C$10))^(1/$C$10))-1)</f>
        <v>#N/A</v>
      </c>
      <c r="GX15" s="53" t="e">
        <f ca="1">IF(ISNA(GW6),NA(),IF(GX4-$C$9&lt;$C$10,(GX6/OFFSET(GX6,0,-GX4+$C$9))^(1/(GX4-$C$9)),(GX6/OFFSET(GX6,0,-$C$10))^(1/$C$10))-1)</f>
        <v>#N/A</v>
      </c>
      <c r="GY15" s="53" t="e">
        <f ca="1">IF(ISNA(GX6),NA(),IF(GY4-$C$9&lt;$C$10,(GY6/OFFSET(GY6,0,-GY4+$C$9))^(1/(GY4-$C$9)),(GY6/OFFSET(GY6,0,-$C$10))^(1/$C$10))-1)</f>
        <v>#N/A</v>
      </c>
      <c r="GZ15" s="53" t="e">
        <f ca="1">IF(ISNA(GY6),NA(),IF(GZ4-$C$9&lt;$C$10,(GZ6/OFFSET(GZ6,0,-GZ4+$C$9))^(1/(GZ4-$C$9)),(GZ6/OFFSET(GZ6,0,-$C$10))^(1/$C$10))-1)</f>
        <v>#N/A</v>
      </c>
      <c r="HA15" s="53" t="e">
        <f ca="1">IF(ISNA(GZ6),NA(),IF(HA4-$C$9&lt;$C$10,(HA6/OFFSET(HA6,0,-HA4+$C$9))^(1/(HA4-$C$9)),(HA6/OFFSET(HA6,0,-$C$10))^(1/$C$10))-1)</f>
        <v>#N/A</v>
      </c>
      <c r="HB15" s="53" t="e">
        <f ca="1">IF(ISNA(HA6),NA(),IF(HB4-$C$9&lt;$C$10,(HB6/OFFSET(HB6,0,-HB4+$C$9))^(1/(HB4-$C$9)),(HB6/OFFSET(HB6,0,-$C$10))^(1/$C$10))-1)</f>
        <v>#N/A</v>
      </c>
      <c r="HC15" s="53" t="e">
        <f ca="1">IF(ISNA(HB6),NA(),IF(HC4-$C$9&lt;$C$10,(HC6/OFFSET(HC6,0,-HC4+$C$9))^(1/(HC4-$C$9)),(HC6/OFFSET(HC6,0,-$C$10))^(1/$C$10))-1)</f>
        <v>#N/A</v>
      </c>
      <c r="HD15" s="53" t="e">
        <f ca="1">IF(ISNA(HC6),NA(),IF(HD4-$C$9&lt;$C$10,(HD6/OFFSET(HD6,0,-HD4+$C$9))^(1/(HD4-$C$9)),(HD6/OFFSET(HD6,0,-$C$10))^(1/$C$10))-1)</f>
        <v>#N/A</v>
      </c>
      <c r="HE15" s="53" t="e">
        <f ca="1">IF(ISNA(HD6),NA(),IF(HE4-$C$9&lt;$C$10,(HE6/OFFSET(HE6,0,-HE4+$C$9))^(1/(HE4-$C$9)),(HE6/OFFSET(HE6,0,-$C$10))^(1/$C$10))-1)</f>
        <v>#N/A</v>
      </c>
      <c r="HF15" s="53" t="e">
        <f ca="1">IF(ISNA(HE6),NA(),IF(HF4-$C$9&lt;$C$10,(HF6/OFFSET(HF6,0,-HF4+$C$9))^(1/(HF4-$C$9)),(HF6/OFFSET(HF6,0,-$C$10))^(1/$C$10))-1)</f>
        <v>#N/A</v>
      </c>
      <c r="HG15" s="53" t="e">
        <f ca="1">IF(ISNA(HF6),NA(),IF(HG4-$C$9&lt;$C$10,(HG6/OFFSET(HG6,0,-HG4+$C$9))^(1/(HG4-$C$9)),(HG6/OFFSET(HG6,0,-$C$10))^(1/$C$10))-1)</f>
        <v>#N/A</v>
      </c>
      <c r="HH15" s="53" t="e">
        <f ca="1">IF(ISNA(HG6),NA(),IF(HH4-$C$9&lt;$C$10,(HH6/OFFSET(HH6,0,-HH4+$C$9))^(1/(HH4-$C$9)),(HH6/OFFSET(HH6,0,-$C$10))^(1/$C$10))-1)</f>
        <v>#N/A</v>
      </c>
      <c r="HI15" s="53" t="e">
        <f ca="1">IF(ISNA(HH6),NA(),IF(HI4-$C$9&lt;$C$10,(HI6/OFFSET(HI6,0,-HI4+$C$9))^(1/(HI4-$C$9)),(HI6/OFFSET(HI6,0,-$C$10))^(1/$C$10))-1)</f>
        <v>#N/A</v>
      </c>
      <c r="HJ15" s="53" t="e">
        <f ca="1">IF(ISNA(HI6),NA(),IF(HJ4-$C$9&lt;$C$10,(HJ6/OFFSET(HJ6,0,-HJ4+$C$9))^(1/(HJ4-$C$9)),(HJ6/OFFSET(HJ6,0,-$C$10))^(1/$C$10))-1)</f>
        <v>#N/A</v>
      </c>
      <c r="HK15" s="53" t="e">
        <f ca="1">IF(ISNA(HJ6),NA(),IF(HK4-$C$9&lt;$C$10,(HK6/OFFSET(HK6,0,-HK4+$C$9))^(1/(HK4-$C$9)),(HK6/OFFSET(HK6,0,-$C$10))^(1/$C$10))-1)</f>
        <v>#N/A</v>
      </c>
      <c r="HL15" s="53" t="e">
        <f ca="1">IF(ISNA(HK6),NA(),IF(HL4-$C$9&lt;$C$10,(HL6/OFFSET(HL6,0,-HL4+$C$9))^(1/(HL4-$C$9)),(HL6/OFFSET(HL6,0,-$C$10))^(1/$C$10))-1)</f>
        <v>#N/A</v>
      </c>
      <c r="HM15" s="53" t="e">
        <f ca="1">IF(ISNA(HL6),NA(),IF(HM4-$C$9&lt;$C$10,(HM6/OFFSET(HM6,0,-HM4+$C$9))^(1/(HM4-$C$9)),(HM6/OFFSET(HM6,0,-$C$10))^(1/$C$10))-1)</f>
        <v>#N/A</v>
      </c>
      <c r="HN15" s="53" t="e">
        <f ca="1">IF(ISNA(HM6),NA(),IF(HN4-$C$9&lt;$C$10,(HN6/OFFSET(HN6,0,-HN4+$C$9))^(1/(HN4-$C$9)),(HN6/OFFSET(HN6,0,-$C$10))^(1/$C$10))-1)</f>
        <v>#N/A</v>
      </c>
      <c r="HO15" s="53" t="e">
        <f ca="1">IF(ISNA(HN6),NA(),IF(HO4-$C$9&lt;$C$10,(HO6/OFFSET(HO6,0,-HO4+$C$9))^(1/(HO4-$C$9)),(HO6/OFFSET(HO6,0,-$C$10))^(1/$C$10))-1)</f>
        <v>#N/A</v>
      </c>
      <c r="HP15" s="53" t="e">
        <f ca="1">IF(ISNA(HO6),NA(),IF(HP4-$C$9&lt;$C$10,(HP6/OFFSET(HP6,0,-HP4+$C$9))^(1/(HP4-$C$9)),(HP6/OFFSET(HP6,0,-$C$10))^(1/$C$10))-1)</f>
        <v>#N/A</v>
      </c>
      <c r="HQ15" s="53" t="e">
        <f ca="1">IF(ISNA(HP6),NA(),IF(HQ4-$C$9&lt;$C$10,(HQ6/OFFSET(HQ6,0,-HQ4+$C$9))^(1/(HQ4-$C$9)),(HQ6/OFFSET(HQ6,0,-$C$10))^(1/$C$10))-1)</f>
        <v>#N/A</v>
      </c>
      <c r="HR15" s="53" t="e">
        <f ca="1">IF(ISNA(HQ6),NA(),IF(HR4-$C$9&lt;$C$10,(HR6/OFFSET(HR6,0,-HR4+$C$9))^(1/(HR4-$C$9)),(HR6/OFFSET(HR6,0,-$C$10))^(1/$C$10))-1)</f>
        <v>#N/A</v>
      </c>
      <c r="HS15" s="53" t="e">
        <f ca="1">IF(ISNA(HR6),NA(),IF(HS4-$C$9&lt;$C$10,(HS6/OFFSET(HS6,0,-HS4+$C$9))^(1/(HS4-$C$9)),(HS6/OFFSET(HS6,0,-$C$10))^(1/$C$10))-1)</f>
        <v>#N/A</v>
      </c>
      <c r="HT15" s="53" t="e">
        <f ca="1">IF(ISNA(HS6),NA(),IF(HT4-$C$9&lt;$C$10,(HT6/OFFSET(HT6,0,-HT4+$C$9))^(1/(HT4-$C$9)),(HT6/OFFSET(HT6,0,-$C$10))^(1/$C$10))-1)</f>
        <v>#N/A</v>
      </c>
      <c r="HU15" s="53" t="e">
        <f ca="1">IF(ISNA(HT6),NA(),IF(HU4-$C$9&lt;$C$10,(HU6/OFFSET(HU6,0,-HU4+$C$9))^(1/(HU4-$C$9)),(HU6/OFFSET(HU6,0,-$C$10))^(1/$C$10))-1)</f>
        <v>#N/A</v>
      </c>
      <c r="HV15" s="53" t="e">
        <f ca="1">IF(ISNA(HU6),NA(),IF(HV4-$C$9&lt;$C$10,(HV6/OFFSET(HV6,0,-HV4+$C$9))^(1/(HV4-$C$9)),(HV6/OFFSET(HV6,0,-$C$10))^(1/$C$10))-1)</f>
        <v>#N/A</v>
      </c>
      <c r="HW15" s="53" t="e">
        <f ca="1">IF(ISNA(HV6),NA(),IF(HW4-$C$9&lt;$C$10,(HW6/OFFSET(HW6,0,-HW4+$C$9))^(1/(HW4-$C$9)),(HW6/OFFSET(HW6,0,-$C$10))^(1/$C$10))-1)</f>
        <v>#N/A</v>
      </c>
      <c r="HX15" s="53" t="e">
        <f ca="1">IF(ISNA(HW6),NA(),IF(HX4-$C$9&lt;$C$10,(HX6/OFFSET(HX6,0,-HX4+$C$9))^(1/(HX4-$C$9)),(HX6/OFFSET(HX6,0,-$C$10))^(1/$C$10))-1)</f>
        <v>#N/A</v>
      </c>
      <c r="HY15" s="53" t="e">
        <f ca="1">IF(ISNA(HX6),NA(),IF(HY4-$C$9&lt;$C$10,(HY6/OFFSET(HY6,0,-HY4+$C$9))^(1/(HY4-$C$9)),(HY6/OFFSET(HY6,0,-$C$10))^(1/$C$10))-1)</f>
        <v>#N/A</v>
      </c>
      <c r="HZ15" s="53" t="e">
        <f ca="1">IF(ISNA(HY6),NA(),IF(HZ4-$C$9&lt;$C$10,(HZ6/OFFSET(HZ6,0,-HZ4+$C$9))^(1/(HZ4-$C$9)),(HZ6/OFFSET(HZ6,0,-$C$10))^(1/$C$10))-1)</f>
        <v>#N/A</v>
      </c>
      <c r="IA15" s="53" t="e">
        <f ca="1">IF(ISNA(HZ6),NA(),IF(IA4-$C$9&lt;$C$10,(IA6/OFFSET(IA6,0,-IA4+$C$9))^(1/(IA4-$C$9)),(IA6/OFFSET(IA6,0,-$C$10))^(1/$C$10))-1)</f>
        <v>#N/A</v>
      </c>
      <c r="IB15" s="53" t="e">
        <f ca="1">IF(ISNA(IA6),NA(),IF(IB4-$C$9&lt;$C$10,(IB6/OFFSET(IB6,0,-IB4+$C$9))^(1/(IB4-$C$9)),(IB6/OFFSET(IB6,0,-$C$10))^(1/$C$10))-1)</f>
        <v>#N/A</v>
      </c>
      <c r="IC15" s="53" t="e">
        <f ca="1">IF(ISNA(IB6),NA(),IF(IC4-$C$9&lt;$C$10,(IC6/OFFSET(IC6,0,-IC4+$C$9))^(1/(IC4-$C$9)),(IC6/OFFSET(IC6,0,-$C$10))^(1/$C$10))-1)</f>
        <v>#N/A</v>
      </c>
      <c r="ID15" s="53" t="e">
        <f ca="1">IF(ISNA(IC6),NA(),IF(ID4-$C$9&lt;$C$10,(ID6/OFFSET(ID6,0,-ID4+$C$9))^(1/(ID4-$C$9)),(ID6/OFFSET(ID6,0,-$C$10))^(1/$C$10))-1)</f>
        <v>#N/A</v>
      </c>
      <c r="IE15" s="53" t="e">
        <f ca="1">IF(ISNA(ID6),NA(),IF(IE4-$C$9&lt;$C$10,(IE6/OFFSET(IE6,0,-IE4+$C$9))^(1/(IE4-$C$9)),(IE6/OFFSET(IE6,0,-$C$10))^(1/$C$10))-1)</f>
        <v>#N/A</v>
      </c>
      <c r="IF15" s="53" t="e">
        <f ca="1">IF(ISNA(IE6),NA(),IF(IF4-$C$9&lt;$C$10,(IF6/OFFSET(IF6,0,-IF4+$C$9))^(1/(IF4-$C$9)),(IF6/OFFSET(IF6,0,-$C$10))^(1/$C$10))-1)</f>
        <v>#N/A</v>
      </c>
      <c r="IG15" s="53" t="e">
        <f ca="1">IF(ISNA(IF6),NA(),IF(IG4-$C$9&lt;$C$10,(IG6/OFFSET(IG6,0,-IG4+$C$9))^(1/(IG4-$C$9)),(IG6/OFFSET(IG6,0,-$C$10))^(1/$C$10))-1)</f>
        <v>#N/A</v>
      </c>
      <c r="IH15" s="53" t="e">
        <f ca="1">IF(ISNA(IG6),NA(),IF(IH4-$C$9&lt;$C$10,(IH6/OFFSET(IH6,0,-IH4+$C$9))^(1/(IH4-$C$9)),(IH6/OFFSET(IH6,0,-$C$10))^(1/$C$10))-1)</f>
        <v>#N/A</v>
      </c>
      <c r="II15" s="53" t="e">
        <f ca="1">IF(ISNA(IH6),NA(),IF(II4-$C$9&lt;$C$10,(II6/OFFSET(II6,0,-II4+$C$9))^(1/(II4-$C$9)),(II6/OFFSET(II6,0,-$C$10))^(1/$C$10))-1)</f>
        <v>#N/A</v>
      </c>
      <c r="IJ15" s="53" t="e">
        <f ca="1">IF(ISNA(II6),NA(),IF(IJ4-$C$9&lt;$C$10,(IJ6/OFFSET(IJ6,0,-IJ4+$C$9))^(1/(IJ4-$C$9)),(IJ6/OFFSET(IJ6,0,-$C$10))^(1/$C$10))-1)</f>
        <v>#N/A</v>
      </c>
      <c r="IK15" s="53" t="e">
        <f ca="1">IF(ISNA(IJ6),NA(),IF(IK4-$C$9&lt;$C$10,(IK6/OFFSET(IK6,0,-IK4+$C$9))^(1/(IK4-$C$9)),(IK6/OFFSET(IK6,0,-$C$10))^(1/$C$10))-1)</f>
        <v>#N/A</v>
      </c>
      <c r="IL15" s="53" t="e">
        <f ca="1">IF(ISNA(IK6),NA(),IF(IL4-$C$9&lt;$C$10,(IL6/OFFSET(IL6,0,-IL4+$C$9))^(1/(IL4-$C$9)),(IL6/OFFSET(IL6,0,-$C$10))^(1/$C$10))-1)</f>
        <v>#N/A</v>
      </c>
      <c r="IM15" s="53" t="e">
        <f ca="1">IF(ISNA(IL6),NA(),IF(IM4-$C$9&lt;$C$10,(IM6/OFFSET(IM6,0,-IM4+$C$9))^(1/(IM4-$C$9)),(IM6/OFFSET(IM6,0,-$C$10))^(1/$C$10))-1)</f>
        <v>#N/A</v>
      </c>
      <c r="IN15" s="53" t="e">
        <f ca="1">IF(ISNA(IM6),NA(),IF(IN4-$C$9&lt;$C$10,(IN6/OFFSET(IN6,0,-IN4+$C$9))^(1/(IN4-$C$9)),(IN6/OFFSET(IN6,0,-$C$10))^(1/$C$10))-1)</f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96983.776743000009</v>
      </c>
      <c r="E16" s="164" t="s">
        <v>587</v>
      </c>
      <c r="F16" s="19" t="s">
        <v>571</v>
      </c>
      <c r="G16" s="165">
        <f ca="1">IFERROR(AVERAGE(D13:G13),NA())</f>
        <v>0.26271186440677963</v>
      </c>
      <c r="H16" s="165">
        <f t="shared" ref="G16:H16" ca="1" si="105">IFERROR(AVERAGE(D13:H13),NA())</f>
        <v>0.26271186440677963</v>
      </c>
      <c r="I16" s="165">
        <f ca="1">IFERROR(AVERAGE(E13:I13),NA())</f>
        <v>0.29383827373303933</v>
      </c>
      <c r="J16" s="165">
        <f t="shared" ref="J16:BS16" ca="1" si="106">IFERROR(AVERAGE(F14:J14),NA())</f>
        <v>0.29652549145045826</v>
      </c>
      <c r="K16" s="165">
        <f t="shared" ca="1" si="106"/>
        <v>0.30893689024024296</v>
      </c>
      <c r="L16" s="165">
        <f t="shared" ca="1" si="106"/>
        <v>0.32525040170320352</v>
      </c>
      <c r="M16" s="165">
        <f t="shared" ca="1" si="106"/>
        <v>0.3354481845183811</v>
      </c>
      <c r="N16" s="165">
        <f t="shared" ca="1" si="106"/>
        <v>0.33344652586258594</v>
      </c>
      <c r="O16" s="165">
        <f t="shared" ca="1" si="106"/>
        <v>0.34724231941566969</v>
      </c>
      <c r="P16" s="165">
        <f t="shared" ca="1" si="106"/>
        <v>0.34120849710771833</v>
      </c>
      <c r="Q16" s="165">
        <f t="shared" ca="1" si="106"/>
        <v>0.3389252016516332</v>
      </c>
      <c r="R16" s="165">
        <f t="shared" ca="1" si="106"/>
        <v>0.34847606188267727</v>
      </c>
      <c r="S16" s="165">
        <f t="shared" ca="1" si="106"/>
        <v>0.33835213400387054</v>
      </c>
      <c r="T16" s="165">
        <f t="shared" ca="1" si="106"/>
        <v>0.32226592207679527</v>
      </c>
      <c r="U16" s="165">
        <f t="shared" ca="1" si="106"/>
        <v>0.31862595587032616</v>
      </c>
      <c r="V16" s="165">
        <f t="shared" ca="1" si="106"/>
        <v>0.31004638663610345</v>
      </c>
      <c r="W16" s="165">
        <f t="shared" ca="1" si="106"/>
        <v>0.31387109362075</v>
      </c>
      <c r="X16" s="165">
        <f t="shared" ca="1" si="106"/>
        <v>0.33561129437690573</v>
      </c>
      <c r="Y16" s="165">
        <f t="shared" ca="1" si="106"/>
        <v>0.35826945979749036</v>
      </c>
      <c r="Z16" s="165">
        <f t="shared" ca="1" si="106"/>
        <v>0.37415691594648542</v>
      </c>
      <c r="AA16" s="165">
        <f t="shared" ca="1" si="106"/>
        <v>0.39877457396644678</v>
      </c>
      <c r="AB16" s="165" t="e">
        <f t="shared" ca="1" si="106"/>
        <v>#N/A</v>
      </c>
      <c r="AC16" s="165" t="e">
        <f t="shared" ca="1" si="106"/>
        <v>#N/A</v>
      </c>
      <c r="AD16" s="165" t="e">
        <f t="shared" ca="1" si="106"/>
        <v>#N/A</v>
      </c>
      <c r="AE16" s="165" t="e">
        <f t="shared" ca="1" si="106"/>
        <v>#N/A</v>
      </c>
      <c r="AF16" s="165" t="e">
        <f t="shared" ca="1" si="106"/>
        <v>#N/A</v>
      </c>
      <c r="AG16" s="165" t="e">
        <f t="shared" ca="1" si="106"/>
        <v>#N/A</v>
      </c>
      <c r="AH16" s="165" t="e">
        <f t="shared" ca="1" si="106"/>
        <v>#N/A</v>
      </c>
      <c r="AI16" s="165" t="e">
        <f t="shared" ca="1" si="106"/>
        <v>#N/A</v>
      </c>
      <c r="AJ16" s="165" t="e">
        <f t="shared" ca="1" si="106"/>
        <v>#N/A</v>
      </c>
      <c r="AK16" s="165" t="e">
        <f t="shared" ca="1" si="106"/>
        <v>#N/A</v>
      </c>
      <c r="AL16" s="165" t="e">
        <f t="shared" ca="1" si="106"/>
        <v>#N/A</v>
      </c>
      <c r="AM16" s="165" t="e">
        <f t="shared" ca="1" si="106"/>
        <v>#N/A</v>
      </c>
      <c r="AN16" s="165" t="e">
        <f t="shared" ca="1" si="106"/>
        <v>#N/A</v>
      </c>
      <c r="AO16" s="165" t="e">
        <f t="shared" ca="1" si="106"/>
        <v>#N/A</v>
      </c>
      <c r="AP16" s="165" t="e">
        <f t="shared" ca="1" si="106"/>
        <v>#N/A</v>
      </c>
      <c r="AQ16" s="165" t="e">
        <f t="shared" ca="1" si="106"/>
        <v>#N/A</v>
      </c>
      <c r="AR16" s="165" t="e">
        <f t="shared" ca="1" si="106"/>
        <v>#N/A</v>
      </c>
      <c r="AS16" s="165" t="e">
        <f t="shared" ca="1" si="106"/>
        <v>#N/A</v>
      </c>
      <c r="AT16" s="165" t="e">
        <f t="shared" ca="1" si="106"/>
        <v>#N/A</v>
      </c>
      <c r="AU16" s="165" t="e">
        <f t="shared" ca="1" si="106"/>
        <v>#N/A</v>
      </c>
      <c r="AV16" s="165" t="e">
        <f t="shared" ca="1" si="106"/>
        <v>#N/A</v>
      </c>
      <c r="AW16" s="165" t="e">
        <f t="shared" ca="1" si="106"/>
        <v>#N/A</v>
      </c>
      <c r="AX16" s="165" t="e">
        <f t="shared" ca="1" si="106"/>
        <v>#N/A</v>
      </c>
      <c r="AY16" s="165" t="e">
        <f t="shared" ca="1" si="106"/>
        <v>#N/A</v>
      </c>
      <c r="AZ16" s="165" t="e">
        <f t="shared" ca="1" si="106"/>
        <v>#N/A</v>
      </c>
      <c r="BA16" s="165" t="e">
        <f t="shared" ca="1" si="106"/>
        <v>#N/A</v>
      </c>
      <c r="BB16" s="165" t="e">
        <f t="shared" ca="1" si="106"/>
        <v>#N/A</v>
      </c>
      <c r="BC16" s="165" t="e">
        <f t="shared" ca="1" si="106"/>
        <v>#N/A</v>
      </c>
      <c r="BD16" s="165" t="e">
        <f t="shared" ca="1" si="106"/>
        <v>#N/A</v>
      </c>
      <c r="BE16" s="165" t="e">
        <f t="shared" ca="1" si="106"/>
        <v>#N/A</v>
      </c>
      <c r="BF16" s="165" t="e">
        <f t="shared" ca="1" si="106"/>
        <v>#N/A</v>
      </c>
      <c r="BG16" s="165" t="e">
        <f t="shared" ca="1" si="106"/>
        <v>#N/A</v>
      </c>
      <c r="BH16" s="165" t="e">
        <f t="shared" ca="1" si="106"/>
        <v>#N/A</v>
      </c>
      <c r="BI16" s="165" t="e">
        <f t="shared" ca="1" si="106"/>
        <v>#N/A</v>
      </c>
      <c r="BJ16" s="165" t="e">
        <f t="shared" ca="1" si="106"/>
        <v>#N/A</v>
      </c>
      <c r="BK16" s="165" t="e">
        <f t="shared" ca="1" si="106"/>
        <v>#N/A</v>
      </c>
      <c r="BL16" s="165" t="e">
        <f t="shared" ca="1" si="106"/>
        <v>#N/A</v>
      </c>
      <c r="BM16" s="165" t="e">
        <f t="shared" ca="1" si="106"/>
        <v>#N/A</v>
      </c>
      <c r="BN16" s="165" t="e">
        <f t="shared" ca="1" si="106"/>
        <v>#N/A</v>
      </c>
      <c r="BO16" s="165" t="e">
        <f t="shared" ca="1" si="106"/>
        <v>#N/A</v>
      </c>
      <c r="BP16" s="165" t="e">
        <f t="shared" ca="1" si="106"/>
        <v>#N/A</v>
      </c>
      <c r="BQ16" s="165" t="e">
        <f t="shared" ca="1" si="106"/>
        <v>#N/A</v>
      </c>
      <c r="BR16" s="165" t="e">
        <f t="shared" ca="1" si="106"/>
        <v>#N/A</v>
      </c>
      <c r="BS16" s="165" t="e">
        <f t="shared" ca="1" si="106"/>
        <v>#N/A</v>
      </c>
      <c r="BT16" s="165" t="e">
        <f t="shared" ref="BT16:EE16" ca="1" si="107">IFERROR(AVERAGE(BP14:BT14),NA())</f>
        <v>#N/A</v>
      </c>
      <c r="BU16" s="165" t="e">
        <f t="shared" ca="1" si="107"/>
        <v>#N/A</v>
      </c>
      <c r="BV16" s="165" t="e">
        <f t="shared" ca="1" si="107"/>
        <v>#N/A</v>
      </c>
      <c r="BW16" s="165" t="e">
        <f t="shared" ca="1" si="107"/>
        <v>#N/A</v>
      </c>
      <c r="BX16" s="165" t="e">
        <f t="shared" ca="1" si="107"/>
        <v>#N/A</v>
      </c>
      <c r="BY16" s="165" t="e">
        <f t="shared" ca="1" si="107"/>
        <v>#N/A</v>
      </c>
      <c r="BZ16" s="165" t="e">
        <f t="shared" ca="1" si="107"/>
        <v>#N/A</v>
      </c>
      <c r="CA16" s="165" t="e">
        <f t="shared" ca="1" si="107"/>
        <v>#N/A</v>
      </c>
      <c r="CB16" s="165" t="e">
        <f t="shared" ca="1" si="107"/>
        <v>#N/A</v>
      </c>
      <c r="CC16" s="165" t="e">
        <f t="shared" ca="1" si="107"/>
        <v>#N/A</v>
      </c>
      <c r="CD16" s="165" t="e">
        <f t="shared" ca="1" si="107"/>
        <v>#N/A</v>
      </c>
      <c r="CE16" s="165" t="e">
        <f t="shared" ca="1" si="107"/>
        <v>#N/A</v>
      </c>
      <c r="CF16" s="165" t="e">
        <f t="shared" ca="1" si="107"/>
        <v>#N/A</v>
      </c>
      <c r="CG16" s="165" t="e">
        <f t="shared" ca="1" si="107"/>
        <v>#N/A</v>
      </c>
      <c r="CH16" s="165" t="e">
        <f t="shared" ca="1" si="107"/>
        <v>#N/A</v>
      </c>
      <c r="CI16" s="165" t="e">
        <f t="shared" ca="1" si="107"/>
        <v>#N/A</v>
      </c>
      <c r="CJ16" s="165" t="e">
        <f t="shared" ca="1" si="107"/>
        <v>#N/A</v>
      </c>
      <c r="CK16" s="165" t="e">
        <f t="shared" ca="1" si="107"/>
        <v>#N/A</v>
      </c>
      <c r="CL16" s="165" t="e">
        <f t="shared" ca="1" si="107"/>
        <v>#N/A</v>
      </c>
      <c r="CM16" s="165" t="e">
        <f t="shared" ca="1" si="107"/>
        <v>#N/A</v>
      </c>
      <c r="CN16" s="165" t="e">
        <f t="shared" ca="1" si="107"/>
        <v>#N/A</v>
      </c>
      <c r="CO16" s="165" t="e">
        <f t="shared" ca="1" si="107"/>
        <v>#N/A</v>
      </c>
      <c r="CP16" s="165" t="e">
        <f t="shared" ca="1" si="107"/>
        <v>#N/A</v>
      </c>
      <c r="CQ16" s="165" t="e">
        <f t="shared" ca="1" si="107"/>
        <v>#N/A</v>
      </c>
      <c r="CR16" s="165" t="e">
        <f t="shared" ca="1" si="107"/>
        <v>#N/A</v>
      </c>
      <c r="CS16" s="165" t="e">
        <f t="shared" ca="1" si="107"/>
        <v>#N/A</v>
      </c>
      <c r="CT16" s="165" t="e">
        <f t="shared" ca="1" si="107"/>
        <v>#N/A</v>
      </c>
      <c r="CU16" s="165" t="e">
        <f t="shared" ca="1" si="107"/>
        <v>#N/A</v>
      </c>
      <c r="CV16" s="165" t="e">
        <f t="shared" ca="1" si="107"/>
        <v>#N/A</v>
      </c>
      <c r="CW16" s="165" t="e">
        <f t="shared" ca="1" si="107"/>
        <v>#N/A</v>
      </c>
      <c r="CX16" s="165" t="e">
        <f t="shared" ca="1" si="107"/>
        <v>#N/A</v>
      </c>
      <c r="CY16" s="165" t="e">
        <f t="shared" ca="1" si="107"/>
        <v>#N/A</v>
      </c>
      <c r="CZ16" s="165" t="e">
        <f t="shared" ca="1" si="107"/>
        <v>#N/A</v>
      </c>
      <c r="DA16" s="165" t="e">
        <f t="shared" ca="1" si="107"/>
        <v>#N/A</v>
      </c>
      <c r="DB16" s="165" t="e">
        <f t="shared" ca="1" si="107"/>
        <v>#N/A</v>
      </c>
      <c r="DC16" s="165" t="e">
        <f t="shared" ca="1" si="107"/>
        <v>#N/A</v>
      </c>
      <c r="DD16" s="165" t="e">
        <f t="shared" ca="1" si="107"/>
        <v>#N/A</v>
      </c>
      <c r="DE16" s="165" t="e">
        <f t="shared" ca="1" si="107"/>
        <v>#N/A</v>
      </c>
      <c r="DF16" s="165" t="e">
        <f t="shared" ca="1" si="107"/>
        <v>#N/A</v>
      </c>
      <c r="DG16" s="165" t="e">
        <f t="shared" ca="1" si="107"/>
        <v>#N/A</v>
      </c>
      <c r="DH16" s="165" t="e">
        <f t="shared" ca="1" si="107"/>
        <v>#N/A</v>
      </c>
      <c r="DI16" s="165" t="e">
        <f t="shared" ca="1" si="107"/>
        <v>#N/A</v>
      </c>
      <c r="DJ16" s="165" t="e">
        <f t="shared" ca="1" si="107"/>
        <v>#N/A</v>
      </c>
      <c r="DK16" s="165" t="e">
        <f t="shared" ca="1" si="107"/>
        <v>#N/A</v>
      </c>
      <c r="DL16" s="165" t="e">
        <f t="shared" ca="1" si="107"/>
        <v>#N/A</v>
      </c>
      <c r="DM16" s="165" t="e">
        <f t="shared" ca="1" si="107"/>
        <v>#N/A</v>
      </c>
      <c r="DN16" s="165" t="e">
        <f t="shared" ca="1" si="107"/>
        <v>#N/A</v>
      </c>
      <c r="DO16" s="165" t="e">
        <f t="shared" ca="1" si="107"/>
        <v>#N/A</v>
      </c>
      <c r="DP16" s="165" t="e">
        <f t="shared" ca="1" si="107"/>
        <v>#N/A</v>
      </c>
      <c r="DQ16" s="165" t="e">
        <f t="shared" ca="1" si="107"/>
        <v>#N/A</v>
      </c>
      <c r="DR16" s="165" t="e">
        <f t="shared" ca="1" si="107"/>
        <v>#N/A</v>
      </c>
      <c r="DS16" s="165" t="e">
        <f t="shared" ca="1" si="107"/>
        <v>#N/A</v>
      </c>
      <c r="DT16" s="165" t="e">
        <f t="shared" ca="1" si="107"/>
        <v>#N/A</v>
      </c>
      <c r="DU16" s="165" t="e">
        <f t="shared" ca="1" si="107"/>
        <v>#N/A</v>
      </c>
      <c r="DV16" s="165" t="e">
        <f t="shared" ca="1" si="107"/>
        <v>#N/A</v>
      </c>
      <c r="DW16" s="165" t="e">
        <f t="shared" ca="1" si="107"/>
        <v>#N/A</v>
      </c>
      <c r="DX16" s="165" t="e">
        <f t="shared" ca="1" si="107"/>
        <v>#N/A</v>
      </c>
      <c r="DY16" s="165" t="e">
        <f t="shared" ca="1" si="107"/>
        <v>#N/A</v>
      </c>
      <c r="DZ16" s="165" t="e">
        <f t="shared" ca="1" si="107"/>
        <v>#N/A</v>
      </c>
      <c r="EA16" s="165" t="e">
        <f t="shared" ca="1" si="107"/>
        <v>#N/A</v>
      </c>
      <c r="EB16" s="165" t="e">
        <f t="shared" ca="1" si="107"/>
        <v>#N/A</v>
      </c>
      <c r="EC16" s="165" t="e">
        <f t="shared" ca="1" si="107"/>
        <v>#N/A</v>
      </c>
      <c r="ED16" s="165" t="e">
        <f t="shared" ca="1" si="107"/>
        <v>#N/A</v>
      </c>
      <c r="EE16" s="165" t="e">
        <f t="shared" ca="1" si="107"/>
        <v>#N/A</v>
      </c>
      <c r="EF16" s="165" t="e">
        <f t="shared" ref="EF16:GQ16" ca="1" si="108">IFERROR(AVERAGE(EB14:EF14),NA())</f>
        <v>#N/A</v>
      </c>
      <c r="EG16" s="165" t="e">
        <f t="shared" ca="1" si="108"/>
        <v>#N/A</v>
      </c>
      <c r="EH16" s="165" t="e">
        <f t="shared" ca="1" si="108"/>
        <v>#N/A</v>
      </c>
      <c r="EI16" s="165" t="e">
        <f t="shared" ca="1" si="108"/>
        <v>#N/A</v>
      </c>
      <c r="EJ16" s="165" t="e">
        <f t="shared" ca="1" si="108"/>
        <v>#N/A</v>
      </c>
      <c r="EK16" s="165" t="e">
        <f t="shared" ca="1" si="108"/>
        <v>#N/A</v>
      </c>
      <c r="EL16" s="165" t="e">
        <f t="shared" ca="1" si="108"/>
        <v>#N/A</v>
      </c>
      <c r="EM16" s="165" t="e">
        <f t="shared" ca="1" si="108"/>
        <v>#N/A</v>
      </c>
      <c r="EN16" s="165" t="e">
        <f t="shared" ca="1" si="108"/>
        <v>#N/A</v>
      </c>
      <c r="EO16" s="165" t="e">
        <f t="shared" ca="1" si="108"/>
        <v>#N/A</v>
      </c>
      <c r="EP16" s="165" t="e">
        <f t="shared" ca="1" si="108"/>
        <v>#N/A</v>
      </c>
      <c r="EQ16" s="165" t="e">
        <f t="shared" ca="1" si="108"/>
        <v>#N/A</v>
      </c>
      <c r="ER16" s="165" t="e">
        <f t="shared" ca="1" si="108"/>
        <v>#N/A</v>
      </c>
      <c r="ES16" s="165" t="e">
        <f t="shared" ca="1" si="108"/>
        <v>#N/A</v>
      </c>
      <c r="ET16" s="165" t="e">
        <f t="shared" ca="1" si="108"/>
        <v>#N/A</v>
      </c>
      <c r="EU16" s="165" t="e">
        <f t="shared" ca="1" si="108"/>
        <v>#N/A</v>
      </c>
      <c r="EV16" s="165" t="e">
        <f t="shared" ca="1" si="108"/>
        <v>#N/A</v>
      </c>
      <c r="EW16" s="165" t="e">
        <f t="shared" ca="1" si="108"/>
        <v>#N/A</v>
      </c>
      <c r="EX16" s="165" t="e">
        <f t="shared" ca="1" si="108"/>
        <v>#N/A</v>
      </c>
      <c r="EY16" s="165" t="e">
        <f t="shared" ca="1" si="108"/>
        <v>#N/A</v>
      </c>
      <c r="EZ16" s="165" t="e">
        <f t="shared" ca="1" si="108"/>
        <v>#N/A</v>
      </c>
      <c r="FA16" s="165" t="e">
        <f t="shared" ca="1" si="108"/>
        <v>#N/A</v>
      </c>
      <c r="FB16" s="165" t="e">
        <f t="shared" ca="1" si="108"/>
        <v>#N/A</v>
      </c>
      <c r="FC16" s="165" t="e">
        <f t="shared" ca="1" si="108"/>
        <v>#N/A</v>
      </c>
      <c r="FD16" s="165" t="e">
        <f t="shared" ca="1" si="108"/>
        <v>#N/A</v>
      </c>
      <c r="FE16" s="165" t="e">
        <f t="shared" ca="1" si="108"/>
        <v>#N/A</v>
      </c>
      <c r="FF16" s="165" t="e">
        <f t="shared" ca="1" si="108"/>
        <v>#N/A</v>
      </c>
      <c r="FG16" s="165" t="e">
        <f t="shared" ca="1" si="108"/>
        <v>#N/A</v>
      </c>
      <c r="FH16" s="165" t="e">
        <f t="shared" ca="1" si="108"/>
        <v>#N/A</v>
      </c>
      <c r="FI16" s="165" t="e">
        <f t="shared" ca="1" si="108"/>
        <v>#N/A</v>
      </c>
      <c r="FJ16" s="165" t="e">
        <f t="shared" ca="1" si="108"/>
        <v>#N/A</v>
      </c>
      <c r="FK16" s="165" t="e">
        <f t="shared" ca="1" si="108"/>
        <v>#N/A</v>
      </c>
      <c r="FL16" s="165" t="e">
        <f t="shared" ca="1" si="108"/>
        <v>#N/A</v>
      </c>
      <c r="FM16" s="165" t="e">
        <f t="shared" ca="1" si="108"/>
        <v>#N/A</v>
      </c>
      <c r="FN16" s="165" t="e">
        <f t="shared" ca="1" si="108"/>
        <v>#N/A</v>
      </c>
      <c r="FO16" s="165" t="e">
        <f t="shared" ca="1" si="108"/>
        <v>#N/A</v>
      </c>
      <c r="FP16" s="165" t="e">
        <f t="shared" ca="1" si="108"/>
        <v>#N/A</v>
      </c>
      <c r="FQ16" s="165" t="e">
        <f t="shared" ca="1" si="108"/>
        <v>#N/A</v>
      </c>
      <c r="FR16" s="165" t="e">
        <f t="shared" ca="1" si="108"/>
        <v>#N/A</v>
      </c>
      <c r="FS16" s="165" t="e">
        <f t="shared" ca="1" si="108"/>
        <v>#N/A</v>
      </c>
      <c r="FT16" s="165" t="e">
        <f t="shared" ca="1" si="108"/>
        <v>#N/A</v>
      </c>
      <c r="FU16" s="165" t="e">
        <f t="shared" ca="1" si="108"/>
        <v>#N/A</v>
      </c>
      <c r="FV16" s="165" t="e">
        <f t="shared" ca="1" si="108"/>
        <v>#N/A</v>
      </c>
      <c r="FW16" s="165" t="e">
        <f t="shared" ca="1" si="108"/>
        <v>#N/A</v>
      </c>
      <c r="FX16" s="165" t="e">
        <f t="shared" ca="1" si="108"/>
        <v>#N/A</v>
      </c>
      <c r="FY16" s="165" t="e">
        <f t="shared" ca="1" si="108"/>
        <v>#N/A</v>
      </c>
      <c r="FZ16" s="165" t="e">
        <f t="shared" ca="1" si="108"/>
        <v>#N/A</v>
      </c>
      <c r="GA16" s="165" t="e">
        <f t="shared" ca="1" si="108"/>
        <v>#N/A</v>
      </c>
      <c r="GB16" s="165" t="e">
        <f t="shared" ca="1" si="108"/>
        <v>#N/A</v>
      </c>
      <c r="GC16" s="165" t="e">
        <f t="shared" ca="1" si="108"/>
        <v>#N/A</v>
      </c>
      <c r="GD16" s="165" t="e">
        <f t="shared" ca="1" si="108"/>
        <v>#N/A</v>
      </c>
      <c r="GE16" s="165" t="e">
        <f t="shared" ca="1" si="108"/>
        <v>#N/A</v>
      </c>
      <c r="GF16" s="165" t="e">
        <f t="shared" ca="1" si="108"/>
        <v>#N/A</v>
      </c>
      <c r="GG16" s="165" t="e">
        <f t="shared" ca="1" si="108"/>
        <v>#N/A</v>
      </c>
      <c r="GH16" s="165" t="e">
        <f t="shared" ca="1" si="108"/>
        <v>#N/A</v>
      </c>
      <c r="GI16" s="165" t="e">
        <f t="shared" ca="1" si="108"/>
        <v>#N/A</v>
      </c>
      <c r="GJ16" s="165" t="e">
        <f t="shared" ca="1" si="108"/>
        <v>#N/A</v>
      </c>
      <c r="GK16" s="165" t="e">
        <f t="shared" ca="1" si="108"/>
        <v>#N/A</v>
      </c>
      <c r="GL16" s="165" t="e">
        <f t="shared" ca="1" si="108"/>
        <v>#N/A</v>
      </c>
      <c r="GM16" s="165" t="e">
        <f t="shared" ca="1" si="108"/>
        <v>#N/A</v>
      </c>
      <c r="GN16" s="165" t="e">
        <f t="shared" ca="1" si="108"/>
        <v>#N/A</v>
      </c>
      <c r="GO16" s="165" t="e">
        <f t="shared" ca="1" si="108"/>
        <v>#N/A</v>
      </c>
      <c r="GP16" s="165" t="e">
        <f t="shared" ca="1" si="108"/>
        <v>#N/A</v>
      </c>
      <c r="GQ16" s="165" t="e">
        <f t="shared" ca="1" si="108"/>
        <v>#N/A</v>
      </c>
      <c r="GR16" s="165" t="e">
        <f t="shared" ref="GR16:IN16" ca="1" si="109">IFERROR(AVERAGE(GN14:GR14),NA())</f>
        <v>#N/A</v>
      </c>
      <c r="GS16" s="165" t="e">
        <f t="shared" ca="1" si="109"/>
        <v>#N/A</v>
      </c>
      <c r="GT16" s="165" t="e">
        <f t="shared" ca="1" si="109"/>
        <v>#N/A</v>
      </c>
      <c r="GU16" s="165" t="e">
        <f t="shared" ca="1" si="109"/>
        <v>#N/A</v>
      </c>
      <c r="GV16" s="165" t="e">
        <f t="shared" ca="1" si="109"/>
        <v>#N/A</v>
      </c>
      <c r="GW16" s="165" t="e">
        <f t="shared" ca="1" si="109"/>
        <v>#N/A</v>
      </c>
      <c r="GX16" s="165" t="e">
        <f t="shared" ca="1" si="109"/>
        <v>#N/A</v>
      </c>
      <c r="GY16" s="165" t="e">
        <f t="shared" ca="1" si="109"/>
        <v>#N/A</v>
      </c>
      <c r="GZ16" s="165" t="e">
        <f t="shared" ca="1" si="109"/>
        <v>#N/A</v>
      </c>
      <c r="HA16" s="165" t="e">
        <f t="shared" ca="1" si="109"/>
        <v>#N/A</v>
      </c>
      <c r="HB16" s="165" t="e">
        <f t="shared" ca="1" si="109"/>
        <v>#N/A</v>
      </c>
      <c r="HC16" s="165" t="e">
        <f t="shared" ca="1" si="109"/>
        <v>#N/A</v>
      </c>
      <c r="HD16" s="165" t="e">
        <f t="shared" ca="1" si="109"/>
        <v>#N/A</v>
      </c>
      <c r="HE16" s="165" t="e">
        <f t="shared" ca="1" si="109"/>
        <v>#N/A</v>
      </c>
      <c r="HF16" s="165" t="e">
        <f t="shared" ca="1" si="109"/>
        <v>#N/A</v>
      </c>
      <c r="HG16" s="165" t="e">
        <f t="shared" ca="1" si="109"/>
        <v>#N/A</v>
      </c>
      <c r="HH16" s="165" t="e">
        <f t="shared" ca="1" si="109"/>
        <v>#N/A</v>
      </c>
      <c r="HI16" s="165" t="e">
        <f t="shared" ca="1" si="109"/>
        <v>#N/A</v>
      </c>
      <c r="HJ16" s="165" t="e">
        <f t="shared" ca="1" si="109"/>
        <v>#N/A</v>
      </c>
      <c r="HK16" s="165" t="e">
        <f t="shared" ca="1" si="109"/>
        <v>#N/A</v>
      </c>
      <c r="HL16" s="165" t="e">
        <f t="shared" ca="1" si="109"/>
        <v>#N/A</v>
      </c>
      <c r="HM16" s="165" t="e">
        <f t="shared" ca="1" si="109"/>
        <v>#N/A</v>
      </c>
      <c r="HN16" s="165" t="e">
        <f t="shared" ca="1" si="109"/>
        <v>#N/A</v>
      </c>
      <c r="HO16" s="165" t="e">
        <f t="shared" ca="1" si="109"/>
        <v>#N/A</v>
      </c>
      <c r="HP16" s="165" t="e">
        <f t="shared" ca="1" si="109"/>
        <v>#N/A</v>
      </c>
      <c r="HQ16" s="165" t="e">
        <f t="shared" ca="1" si="109"/>
        <v>#N/A</v>
      </c>
      <c r="HR16" s="165" t="e">
        <f t="shared" ca="1" si="109"/>
        <v>#N/A</v>
      </c>
      <c r="HS16" s="165" t="e">
        <f t="shared" ca="1" si="109"/>
        <v>#N/A</v>
      </c>
      <c r="HT16" s="165" t="e">
        <f t="shared" ca="1" si="109"/>
        <v>#N/A</v>
      </c>
      <c r="HU16" s="165" t="e">
        <f t="shared" ca="1" si="109"/>
        <v>#N/A</v>
      </c>
      <c r="HV16" s="165" t="e">
        <f t="shared" ca="1" si="109"/>
        <v>#N/A</v>
      </c>
      <c r="HW16" s="165" t="e">
        <f t="shared" ca="1" si="109"/>
        <v>#N/A</v>
      </c>
      <c r="HX16" s="165" t="e">
        <f t="shared" ca="1" si="109"/>
        <v>#N/A</v>
      </c>
      <c r="HY16" s="165" t="e">
        <f t="shared" ca="1" si="109"/>
        <v>#N/A</v>
      </c>
      <c r="HZ16" s="165" t="e">
        <f t="shared" ca="1" si="109"/>
        <v>#N/A</v>
      </c>
      <c r="IA16" s="165" t="e">
        <f t="shared" ca="1" si="109"/>
        <v>#N/A</v>
      </c>
      <c r="IB16" s="165" t="e">
        <f t="shared" ca="1" si="109"/>
        <v>#N/A</v>
      </c>
      <c r="IC16" s="165" t="e">
        <f t="shared" ca="1" si="109"/>
        <v>#N/A</v>
      </c>
      <c r="ID16" s="165" t="e">
        <f t="shared" ca="1" si="109"/>
        <v>#N/A</v>
      </c>
      <c r="IE16" s="165" t="e">
        <f t="shared" ca="1" si="109"/>
        <v>#N/A</v>
      </c>
      <c r="IF16" s="165" t="e">
        <f t="shared" ca="1" si="109"/>
        <v>#N/A</v>
      </c>
      <c r="IG16" s="165" t="e">
        <f t="shared" ca="1" si="109"/>
        <v>#N/A</v>
      </c>
      <c r="IH16" s="165" t="e">
        <f t="shared" ca="1" si="109"/>
        <v>#N/A</v>
      </c>
      <c r="II16" s="165" t="e">
        <f t="shared" ca="1" si="109"/>
        <v>#N/A</v>
      </c>
      <c r="IJ16" s="165" t="e">
        <f t="shared" ca="1" si="109"/>
        <v>#N/A</v>
      </c>
      <c r="IK16" s="165" t="e">
        <f t="shared" ca="1" si="109"/>
        <v>#N/A</v>
      </c>
      <c r="IL16" s="165" t="e">
        <f t="shared" ca="1" si="109"/>
        <v>#N/A</v>
      </c>
      <c r="IM16" s="165" t="e">
        <f t="shared" ca="1" si="109"/>
        <v>#N/A</v>
      </c>
      <c r="IN16" s="165" t="e">
        <f t="shared" ca="1" si="109"/>
        <v>#N/A</v>
      </c>
    </row>
    <row r="17" spans="2:248" x14ac:dyDescent="0.3">
      <c r="B17" s="19" t="s">
        <v>497</v>
      </c>
      <c r="C17" s="23">
        <v>2.5000000000000001E-2</v>
      </c>
      <c r="E17" s="164" t="s">
        <v>587</v>
      </c>
      <c r="F17" s="19" t="s">
        <v>570</v>
      </c>
      <c r="G17" s="165" t="e">
        <f t="shared" ref="G17:H17" ca="1" si="110">IFERROR(AVERAGE(C15:G15),NA())</f>
        <v>#N/A</v>
      </c>
      <c r="H17" s="165" t="e">
        <f t="shared" ca="1" si="110"/>
        <v>#N/A</v>
      </c>
      <c r="I17" s="165" t="e">
        <f ca="1">IFERROR(AVERAGE(E15:I15),NA())</f>
        <v>#N/A</v>
      </c>
      <c r="J17" s="165" t="e">
        <f ca="1">IFERROR(AVERAGE(F15:J15),NA())</f>
        <v>#N/A</v>
      </c>
      <c r="K17" s="165" t="e">
        <f t="shared" ref="J17:BS17" ca="1" si="111">IFERROR(AVERAGE(G15:K15),NA())</f>
        <v>#N/A</v>
      </c>
      <c r="L17" s="165" t="e">
        <f t="shared" ca="1" si="111"/>
        <v>#N/A</v>
      </c>
      <c r="M17" s="165">
        <f t="shared" ca="1" si="111"/>
        <v>0.1398756969963853</v>
      </c>
      <c r="N17" s="165">
        <f t="shared" ca="1" si="111"/>
        <v>0.15862676932301595</v>
      </c>
      <c r="O17" s="165">
        <f t="shared" ca="1" si="111"/>
        <v>0.17457851535036664</v>
      </c>
      <c r="P17" s="165">
        <f t="shared" ca="1" si="111"/>
        <v>0.1806758517136105</v>
      </c>
      <c r="Q17" s="165">
        <f t="shared" ca="1" si="111"/>
        <v>0.18055087313818291</v>
      </c>
      <c r="R17" s="165">
        <f t="shared" ca="1" si="111"/>
        <v>0.19015612063681039</v>
      </c>
      <c r="S17" s="165">
        <f t="shared" ca="1" si="111"/>
        <v>0.18843903463329631</v>
      </c>
      <c r="T17" s="165">
        <f t="shared" ca="1" si="111"/>
        <v>0.18435120783260883</v>
      </c>
      <c r="U17" s="165">
        <f t="shared" ca="1" si="111"/>
        <v>0.19097252447891111</v>
      </c>
      <c r="V17" s="165">
        <f t="shared" ca="1" si="111"/>
        <v>0.1964351404500338</v>
      </c>
      <c r="W17" s="165">
        <f t="shared" ca="1" si="111"/>
        <v>0.21696087801307856</v>
      </c>
      <c r="X17" s="165">
        <f t="shared" ca="1" si="111"/>
        <v>0.24394939853249215</v>
      </c>
      <c r="Y17" s="165">
        <f t="shared" ca="1" si="111"/>
        <v>0.26502251913885189</v>
      </c>
      <c r="Z17" s="165">
        <f t="shared" ca="1" si="111"/>
        <v>0.28311437253422039</v>
      </c>
      <c r="AA17" s="165">
        <f t="shared" ca="1" si="111"/>
        <v>0.315472991385364</v>
      </c>
      <c r="AB17" s="165" t="e">
        <f t="shared" ca="1" si="111"/>
        <v>#N/A</v>
      </c>
      <c r="AC17" s="165" t="e">
        <f t="shared" ca="1" si="111"/>
        <v>#N/A</v>
      </c>
      <c r="AD17" s="165" t="e">
        <f t="shared" ca="1" si="111"/>
        <v>#N/A</v>
      </c>
      <c r="AE17" s="165" t="e">
        <f t="shared" ca="1" si="111"/>
        <v>#N/A</v>
      </c>
      <c r="AF17" s="165" t="e">
        <f t="shared" ca="1" si="111"/>
        <v>#N/A</v>
      </c>
      <c r="AG17" s="165" t="e">
        <f t="shared" ca="1" si="111"/>
        <v>#N/A</v>
      </c>
      <c r="AH17" s="165" t="e">
        <f t="shared" ca="1" si="111"/>
        <v>#N/A</v>
      </c>
      <c r="AI17" s="165" t="e">
        <f t="shared" ca="1" si="111"/>
        <v>#N/A</v>
      </c>
      <c r="AJ17" s="165" t="e">
        <f t="shared" ca="1" si="111"/>
        <v>#N/A</v>
      </c>
      <c r="AK17" s="165" t="e">
        <f t="shared" ca="1" si="111"/>
        <v>#N/A</v>
      </c>
      <c r="AL17" s="165" t="e">
        <f t="shared" ca="1" si="111"/>
        <v>#N/A</v>
      </c>
      <c r="AM17" s="165" t="e">
        <f t="shared" ca="1" si="111"/>
        <v>#N/A</v>
      </c>
      <c r="AN17" s="165" t="e">
        <f t="shared" ca="1" si="111"/>
        <v>#N/A</v>
      </c>
      <c r="AO17" s="165" t="e">
        <f t="shared" ca="1" si="111"/>
        <v>#N/A</v>
      </c>
      <c r="AP17" s="165" t="e">
        <f t="shared" ca="1" si="111"/>
        <v>#N/A</v>
      </c>
      <c r="AQ17" s="165" t="e">
        <f t="shared" ca="1" si="111"/>
        <v>#N/A</v>
      </c>
      <c r="AR17" s="165" t="e">
        <f t="shared" ca="1" si="111"/>
        <v>#N/A</v>
      </c>
      <c r="AS17" s="165" t="e">
        <f t="shared" ca="1" si="111"/>
        <v>#N/A</v>
      </c>
      <c r="AT17" s="165" t="e">
        <f t="shared" ca="1" si="111"/>
        <v>#N/A</v>
      </c>
      <c r="AU17" s="165" t="e">
        <f t="shared" ca="1" si="111"/>
        <v>#N/A</v>
      </c>
      <c r="AV17" s="165" t="e">
        <f t="shared" ca="1" si="111"/>
        <v>#N/A</v>
      </c>
      <c r="AW17" s="165" t="e">
        <f t="shared" ca="1" si="111"/>
        <v>#N/A</v>
      </c>
      <c r="AX17" s="165" t="e">
        <f t="shared" ca="1" si="111"/>
        <v>#N/A</v>
      </c>
      <c r="AY17" s="165" t="e">
        <f t="shared" ca="1" si="111"/>
        <v>#N/A</v>
      </c>
      <c r="AZ17" s="165" t="e">
        <f t="shared" ca="1" si="111"/>
        <v>#N/A</v>
      </c>
      <c r="BA17" s="165" t="e">
        <f t="shared" ca="1" si="111"/>
        <v>#N/A</v>
      </c>
      <c r="BB17" s="165" t="e">
        <f t="shared" ca="1" si="111"/>
        <v>#N/A</v>
      </c>
      <c r="BC17" s="165" t="e">
        <f t="shared" ca="1" si="111"/>
        <v>#N/A</v>
      </c>
      <c r="BD17" s="165" t="e">
        <f t="shared" ca="1" si="111"/>
        <v>#N/A</v>
      </c>
      <c r="BE17" s="165" t="e">
        <f t="shared" ca="1" si="111"/>
        <v>#N/A</v>
      </c>
      <c r="BF17" s="165" t="e">
        <f t="shared" ca="1" si="111"/>
        <v>#N/A</v>
      </c>
      <c r="BG17" s="165" t="e">
        <f t="shared" ca="1" si="111"/>
        <v>#N/A</v>
      </c>
      <c r="BH17" s="165" t="e">
        <f t="shared" ca="1" si="111"/>
        <v>#N/A</v>
      </c>
      <c r="BI17" s="165" t="e">
        <f t="shared" ca="1" si="111"/>
        <v>#N/A</v>
      </c>
      <c r="BJ17" s="165" t="e">
        <f t="shared" ca="1" si="111"/>
        <v>#N/A</v>
      </c>
      <c r="BK17" s="165" t="e">
        <f t="shared" ca="1" si="111"/>
        <v>#N/A</v>
      </c>
      <c r="BL17" s="165" t="e">
        <f t="shared" ca="1" si="111"/>
        <v>#N/A</v>
      </c>
      <c r="BM17" s="165" t="e">
        <f t="shared" ca="1" si="111"/>
        <v>#N/A</v>
      </c>
      <c r="BN17" s="165" t="e">
        <f t="shared" ca="1" si="111"/>
        <v>#N/A</v>
      </c>
      <c r="BO17" s="165" t="e">
        <f t="shared" ca="1" si="111"/>
        <v>#N/A</v>
      </c>
      <c r="BP17" s="165" t="e">
        <f t="shared" ca="1" si="111"/>
        <v>#N/A</v>
      </c>
      <c r="BQ17" s="165" t="e">
        <f t="shared" ca="1" si="111"/>
        <v>#N/A</v>
      </c>
      <c r="BR17" s="165" t="e">
        <f t="shared" ca="1" si="111"/>
        <v>#N/A</v>
      </c>
      <c r="BS17" s="165" t="e">
        <f t="shared" ca="1" si="111"/>
        <v>#N/A</v>
      </c>
      <c r="BT17" s="165" t="e">
        <f t="shared" ref="BT17:EE17" ca="1" si="112">IFERROR(AVERAGE(BP15:BT15),NA())</f>
        <v>#N/A</v>
      </c>
      <c r="BU17" s="165" t="e">
        <f t="shared" ca="1" si="112"/>
        <v>#N/A</v>
      </c>
      <c r="BV17" s="165" t="e">
        <f t="shared" ca="1" si="112"/>
        <v>#N/A</v>
      </c>
      <c r="BW17" s="165" t="e">
        <f t="shared" ca="1" si="112"/>
        <v>#N/A</v>
      </c>
      <c r="BX17" s="165" t="e">
        <f t="shared" ca="1" si="112"/>
        <v>#N/A</v>
      </c>
      <c r="BY17" s="165" t="e">
        <f t="shared" ca="1" si="112"/>
        <v>#N/A</v>
      </c>
      <c r="BZ17" s="165" t="e">
        <f t="shared" ca="1" si="112"/>
        <v>#N/A</v>
      </c>
      <c r="CA17" s="165" t="e">
        <f t="shared" ca="1" si="112"/>
        <v>#N/A</v>
      </c>
      <c r="CB17" s="165" t="e">
        <f t="shared" ca="1" si="112"/>
        <v>#N/A</v>
      </c>
      <c r="CC17" s="165" t="e">
        <f t="shared" ca="1" si="112"/>
        <v>#N/A</v>
      </c>
      <c r="CD17" s="165" t="e">
        <f t="shared" ca="1" si="112"/>
        <v>#N/A</v>
      </c>
      <c r="CE17" s="165" t="e">
        <f t="shared" ca="1" si="112"/>
        <v>#N/A</v>
      </c>
      <c r="CF17" s="165" t="e">
        <f t="shared" ca="1" si="112"/>
        <v>#N/A</v>
      </c>
      <c r="CG17" s="165" t="e">
        <f t="shared" ca="1" si="112"/>
        <v>#N/A</v>
      </c>
      <c r="CH17" s="165" t="e">
        <f t="shared" ca="1" si="112"/>
        <v>#N/A</v>
      </c>
      <c r="CI17" s="165" t="e">
        <f t="shared" ca="1" si="112"/>
        <v>#N/A</v>
      </c>
      <c r="CJ17" s="165" t="e">
        <f t="shared" ca="1" si="112"/>
        <v>#N/A</v>
      </c>
      <c r="CK17" s="165" t="e">
        <f t="shared" ca="1" si="112"/>
        <v>#N/A</v>
      </c>
      <c r="CL17" s="165" t="e">
        <f t="shared" ca="1" si="112"/>
        <v>#N/A</v>
      </c>
      <c r="CM17" s="165" t="e">
        <f t="shared" ca="1" si="112"/>
        <v>#N/A</v>
      </c>
      <c r="CN17" s="165" t="e">
        <f t="shared" ca="1" si="112"/>
        <v>#N/A</v>
      </c>
      <c r="CO17" s="165" t="e">
        <f t="shared" ca="1" si="112"/>
        <v>#N/A</v>
      </c>
      <c r="CP17" s="165" t="e">
        <f t="shared" ca="1" si="112"/>
        <v>#N/A</v>
      </c>
      <c r="CQ17" s="165" t="e">
        <f t="shared" ca="1" si="112"/>
        <v>#N/A</v>
      </c>
      <c r="CR17" s="165" t="e">
        <f t="shared" ca="1" si="112"/>
        <v>#N/A</v>
      </c>
      <c r="CS17" s="165" t="e">
        <f t="shared" ca="1" si="112"/>
        <v>#N/A</v>
      </c>
      <c r="CT17" s="165" t="e">
        <f t="shared" ca="1" si="112"/>
        <v>#N/A</v>
      </c>
      <c r="CU17" s="165" t="e">
        <f t="shared" ca="1" si="112"/>
        <v>#N/A</v>
      </c>
      <c r="CV17" s="165" t="e">
        <f t="shared" ca="1" si="112"/>
        <v>#N/A</v>
      </c>
      <c r="CW17" s="165" t="e">
        <f t="shared" ca="1" si="112"/>
        <v>#N/A</v>
      </c>
      <c r="CX17" s="165" t="e">
        <f t="shared" ca="1" si="112"/>
        <v>#N/A</v>
      </c>
      <c r="CY17" s="165" t="e">
        <f t="shared" ca="1" si="112"/>
        <v>#N/A</v>
      </c>
      <c r="CZ17" s="165" t="e">
        <f t="shared" ca="1" si="112"/>
        <v>#N/A</v>
      </c>
      <c r="DA17" s="165" t="e">
        <f t="shared" ca="1" si="112"/>
        <v>#N/A</v>
      </c>
      <c r="DB17" s="165" t="e">
        <f t="shared" ca="1" si="112"/>
        <v>#N/A</v>
      </c>
      <c r="DC17" s="165" t="e">
        <f t="shared" ca="1" si="112"/>
        <v>#N/A</v>
      </c>
      <c r="DD17" s="165" t="e">
        <f t="shared" ca="1" si="112"/>
        <v>#N/A</v>
      </c>
      <c r="DE17" s="165" t="e">
        <f t="shared" ca="1" si="112"/>
        <v>#N/A</v>
      </c>
      <c r="DF17" s="165" t="e">
        <f t="shared" ca="1" si="112"/>
        <v>#N/A</v>
      </c>
      <c r="DG17" s="165" t="e">
        <f t="shared" ca="1" si="112"/>
        <v>#N/A</v>
      </c>
      <c r="DH17" s="165" t="e">
        <f t="shared" ca="1" si="112"/>
        <v>#N/A</v>
      </c>
      <c r="DI17" s="165" t="e">
        <f t="shared" ca="1" si="112"/>
        <v>#N/A</v>
      </c>
      <c r="DJ17" s="165" t="e">
        <f t="shared" ca="1" si="112"/>
        <v>#N/A</v>
      </c>
      <c r="DK17" s="165" t="e">
        <f t="shared" ca="1" si="112"/>
        <v>#N/A</v>
      </c>
      <c r="DL17" s="165" t="e">
        <f t="shared" ca="1" si="112"/>
        <v>#N/A</v>
      </c>
      <c r="DM17" s="165" t="e">
        <f t="shared" ca="1" si="112"/>
        <v>#N/A</v>
      </c>
      <c r="DN17" s="165" t="e">
        <f t="shared" ca="1" si="112"/>
        <v>#N/A</v>
      </c>
      <c r="DO17" s="165" t="e">
        <f t="shared" ca="1" si="112"/>
        <v>#N/A</v>
      </c>
      <c r="DP17" s="165" t="e">
        <f t="shared" ca="1" si="112"/>
        <v>#N/A</v>
      </c>
      <c r="DQ17" s="165" t="e">
        <f t="shared" ca="1" si="112"/>
        <v>#N/A</v>
      </c>
      <c r="DR17" s="165" t="e">
        <f t="shared" ca="1" si="112"/>
        <v>#N/A</v>
      </c>
      <c r="DS17" s="165" t="e">
        <f t="shared" ca="1" si="112"/>
        <v>#N/A</v>
      </c>
      <c r="DT17" s="165" t="e">
        <f t="shared" ca="1" si="112"/>
        <v>#N/A</v>
      </c>
      <c r="DU17" s="165" t="e">
        <f t="shared" ca="1" si="112"/>
        <v>#N/A</v>
      </c>
      <c r="DV17" s="165" t="e">
        <f t="shared" ca="1" si="112"/>
        <v>#N/A</v>
      </c>
      <c r="DW17" s="165" t="e">
        <f t="shared" ca="1" si="112"/>
        <v>#N/A</v>
      </c>
      <c r="DX17" s="165" t="e">
        <f t="shared" ca="1" si="112"/>
        <v>#N/A</v>
      </c>
      <c r="DY17" s="165" t="e">
        <f t="shared" ca="1" si="112"/>
        <v>#N/A</v>
      </c>
      <c r="DZ17" s="165" t="e">
        <f t="shared" ca="1" si="112"/>
        <v>#N/A</v>
      </c>
      <c r="EA17" s="165" t="e">
        <f t="shared" ca="1" si="112"/>
        <v>#N/A</v>
      </c>
      <c r="EB17" s="165" t="e">
        <f t="shared" ca="1" si="112"/>
        <v>#N/A</v>
      </c>
      <c r="EC17" s="165" t="e">
        <f t="shared" ca="1" si="112"/>
        <v>#N/A</v>
      </c>
      <c r="ED17" s="165" t="e">
        <f t="shared" ca="1" si="112"/>
        <v>#N/A</v>
      </c>
      <c r="EE17" s="165" t="e">
        <f t="shared" ca="1" si="112"/>
        <v>#N/A</v>
      </c>
      <c r="EF17" s="165" t="e">
        <f t="shared" ref="EF17:GQ17" ca="1" si="113">IFERROR(AVERAGE(EB15:EF15),NA())</f>
        <v>#N/A</v>
      </c>
      <c r="EG17" s="165" t="e">
        <f t="shared" ca="1" si="113"/>
        <v>#N/A</v>
      </c>
      <c r="EH17" s="165" t="e">
        <f t="shared" ca="1" si="113"/>
        <v>#N/A</v>
      </c>
      <c r="EI17" s="165" t="e">
        <f t="shared" ca="1" si="113"/>
        <v>#N/A</v>
      </c>
      <c r="EJ17" s="165" t="e">
        <f t="shared" ca="1" si="113"/>
        <v>#N/A</v>
      </c>
      <c r="EK17" s="165" t="e">
        <f t="shared" ca="1" si="113"/>
        <v>#N/A</v>
      </c>
      <c r="EL17" s="165" t="e">
        <f t="shared" ca="1" si="113"/>
        <v>#N/A</v>
      </c>
      <c r="EM17" s="165" t="e">
        <f t="shared" ca="1" si="113"/>
        <v>#N/A</v>
      </c>
      <c r="EN17" s="165" t="e">
        <f t="shared" ca="1" si="113"/>
        <v>#N/A</v>
      </c>
      <c r="EO17" s="165" t="e">
        <f t="shared" ca="1" si="113"/>
        <v>#N/A</v>
      </c>
      <c r="EP17" s="165" t="e">
        <f t="shared" ca="1" si="113"/>
        <v>#N/A</v>
      </c>
      <c r="EQ17" s="165" t="e">
        <f t="shared" ca="1" si="113"/>
        <v>#N/A</v>
      </c>
      <c r="ER17" s="165" t="e">
        <f t="shared" ca="1" si="113"/>
        <v>#N/A</v>
      </c>
      <c r="ES17" s="165" t="e">
        <f t="shared" ca="1" si="113"/>
        <v>#N/A</v>
      </c>
      <c r="ET17" s="165" t="e">
        <f t="shared" ca="1" si="113"/>
        <v>#N/A</v>
      </c>
      <c r="EU17" s="165" t="e">
        <f t="shared" ca="1" si="113"/>
        <v>#N/A</v>
      </c>
      <c r="EV17" s="165" t="e">
        <f t="shared" ca="1" si="113"/>
        <v>#N/A</v>
      </c>
      <c r="EW17" s="165" t="e">
        <f t="shared" ca="1" si="113"/>
        <v>#N/A</v>
      </c>
      <c r="EX17" s="165" t="e">
        <f t="shared" ca="1" si="113"/>
        <v>#N/A</v>
      </c>
      <c r="EY17" s="165" t="e">
        <f t="shared" ca="1" si="113"/>
        <v>#N/A</v>
      </c>
      <c r="EZ17" s="165" t="e">
        <f t="shared" ca="1" si="113"/>
        <v>#N/A</v>
      </c>
      <c r="FA17" s="165" t="e">
        <f t="shared" ca="1" si="113"/>
        <v>#N/A</v>
      </c>
      <c r="FB17" s="165" t="e">
        <f t="shared" ca="1" si="113"/>
        <v>#N/A</v>
      </c>
      <c r="FC17" s="165" t="e">
        <f t="shared" ca="1" si="113"/>
        <v>#N/A</v>
      </c>
      <c r="FD17" s="165" t="e">
        <f t="shared" ca="1" si="113"/>
        <v>#N/A</v>
      </c>
      <c r="FE17" s="165" t="e">
        <f t="shared" ca="1" si="113"/>
        <v>#N/A</v>
      </c>
      <c r="FF17" s="165" t="e">
        <f t="shared" ca="1" si="113"/>
        <v>#N/A</v>
      </c>
      <c r="FG17" s="165" t="e">
        <f t="shared" ca="1" si="113"/>
        <v>#N/A</v>
      </c>
      <c r="FH17" s="165" t="e">
        <f t="shared" ca="1" si="113"/>
        <v>#N/A</v>
      </c>
      <c r="FI17" s="165" t="e">
        <f t="shared" ca="1" si="113"/>
        <v>#N/A</v>
      </c>
      <c r="FJ17" s="165" t="e">
        <f t="shared" ca="1" si="113"/>
        <v>#N/A</v>
      </c>
      <c r="FK17" s="165" t="e">
        <f t="shared" ca="1" si="113"/>
        <v>#N/A</v>
      </c>
      <c r="FL17" s="165" t="e">
        <f t="shared" ca="1" si="113"/>
        <v>#N/A</v>
      </c>
      <c r="FM17" s="165" t="e">
        <f t="shared" ca="1" si="113"/>
        <v>#N/A</v>
      </c>
      <c r="FN17" s="165" t="e">
        <f t="shared" ca="1" si="113"/>
        <v>#N/A</v>
      </c>
      <c r="FO17" s="165" t="e">
        <f t="shared" ca="1" si="113"/>
        <v>#N/A</v>
      </c>
      <c r="FP17" s="165" t="e">
        <f t="shared" ca="1" si="113"/>
        <v>#N/A</v>
      </c>
      <c r="FQ17" s="165" t="e">
        <f t="shared" ca="1" si="113"/>
        <v>#N/A</v>
      </c>
      <c r="FR17" s="165" t="e">
        <f t="shared" ca="1" si="113"/>
        <v>#N/A</v>
      </c>
      <c r="FS17" s="165" t="e">
        <f t="shared" ca="1" si="113"/>
        <v>#N/A</v>
      </c>
      <c r="FT17" s="165" t="e">
        <f t="shared" ca="1" si="113"/>
        <v>#N/A</v>
      </c>
      <c r="FU17" s="165" t="e">
        <f t="shared" ca="1" si="113"/>
        <v>#N/A</v>
      </c>
      <c r="FV17" s="165" t="e">
        <f t="shared" ca="1" si="113"/>
        <v>#N/A</v>
      </c>
      <c r="FW17" s="165" t="e">
        <f t="shared" ca="1" si="113"/>
        <v>#N/A</v>
      </c>
      <c r="FX17" s="165" t="e">
        <f t="shared" ca="1" si="113"/>
        <v>#N/A</v>
      </c>
      <c r="FY17" s="165" t="e">
        <f t="shared" ca="1" si="113"/>
        <v>#N/A</v>
      </c>
      <c r="FZ17" s="165" t="e">
        <f t="shared" ca="1" si="113"/>
        <v>#N/A</v>
      </c>
      <c r="GA17" s="165" t="e">
        <f t="shared" ca="1" si="113"/>
        <v>#N/A</v>
      </c>
      <c r="GB17" s="165" t="e">
        <f t="shared" ca="1" si="113"/>
        <v>#N/A</v>
      </c>
      <c r="GC17" s="165" t="e">
        <f t="shared" ca="1" si="113"/>
        <v>#N/A</v>
      </c>
      <c r="GD17" s="165" t="e">
        <f t="shared" ca="1" si="113"/>
        <v>#N/A</v>
      </c>
      <c r="GE17" s="165" t="e">
        <f t="shared" ca="1" si="113"/>
        <v>#N/A</v>
      </c>
      <c r="GF17" s="165" t="e">
        <f t="shared" ca="1" si="113"/>
        <v>#N/A</v>
      </c>
      <c r="GG17" s="165" t="e">
        <f t="shared" ca="1" si="113"/>
        <v>#N/A</v>
      </c>
      <c r="GH17" s="165" t="e">
        <f t="shared" ca="1" si="113"/>
        <v>#N/A</v>
      </c>
      <c r="GI17" s="165" t="e">
        <f t="shared" ca="1" si="113"/>
        <v>#N/A</v>
      </c>
      <c r="GJ17" s="165" t="e">
        <f t="shared" ca="1" si="113"/>
        <v>#N/A</v>
      </c>
      <c r="GK17" s="165" t="e">
        <f t="shared" ca="1" si="113"/>
        <v>#N/A</v>
      </c>
      <c r="GL17" s="165" t="e">
        <f t="shared" ca="1" si="113"/>
        <v>#N/A</v>
      </c>
      <c r="GM17" s="165" t="e">
        <f t="shared" ca="1" si="113"/>
        <v>#N/A</v>
      </c>
      <c r="GN17" s="165" t="e">
        <f t="shared" ca="1" si="113"/>
        <v>#N/A</v>
      </c>
      <c r="GO17" s="165" t="e">
        <f t="shared" ca="1" si="113"/>
        <v>#N/A</v>
      </c>
      <c r="GP17" s="165" t="e">
        <f t="shared" ca="1" si="113"/>
        <v>#N/A</v>
      </c>
      <c r="GQ17" s="165" t="e">
        <f t="shared" ca="1" si="113"/>
        <v>#N/A</v>
      </c>
      <c r="GR17" s="165" t="e">
        <f t="shared" ref="GR17:IN17" ca="1" si="114">IFERROR(AVERAGE(GN15:GR15),NA())</f>
        <v>#N/A</v>
      </c>
      <c r="GS17" s="165" t="e">
        <f t="shared" ca="1" si="114"/>
        <v>#N/A</v>
      </c>
      <c r="GT17" s="165" t="e">
        <f t="shared" ca="1" si="114"/>
        <v>#N/A</v>
      </c>
      <c r="GU17" s="165" t="e">
        <f t="shared" ca="1" si="114"/>
        <v>#N/A</v>
      </c>
      <c r="GV17" s="165" t="e">
        <f t="shared" ca="1" si="114"/>
        <v>#N/A</v>
      </c>
      <c r="GW17" s="165" t="e">
        <f t="shared" ca="1" si="114"/>
        <v>#N/A</v>
      </c>
      <c r="GX17" s="165" t="e">
        <f t="shared" ca="1" si="114"/>
        <v>#N/A</v>
      </c>
      <c r="GY17" s="165" t="e">
        <f t="shared" ca="1" si="114"/>
        <v>#N/A</v>
      </c>
      <c r="GZ17" s="165" t="e">
        <f t="shared" ca="1" si="114"/>
        <v>#N/A</v>
      </c>
      <c r="HA17" s="165" t="e">
        <f t="shared" ca="1" si="114"/>
        <v>#N/A</v>
      </c>
      <c r="HB17" s="165" t="e">
        <f t="shared" ca="1" si="114"/>
        <v>#N/A</v>
      </c>
      <c r="HC17" s="165" t="e">
        <f t="shared" ca="1" si="114"/>
        <v>#N/A</v>
      </c>
      <c r="HD17" s="165" t="e">
        <f t="shared" ca="1" si="114"/>
        <v>#N/A</v>
      </c>
      <c r="HE17" s="165" t="e">
        <f t="shared" ca="1" si="114"/>
        <v>#N/A</v>
      </c>
      <c r="HF17" s="165" t="e">
        <f t="shared" ca="1" si="114"/>
        <v>#N/A</v>
      </c>
      <c r="HG17" s="165" t="e">
        <f t="shared" ca="1" si="114"/>
        <v>#N/A</v>
      </c>
      <c r="HH17" s="165" t="e">
        <f t="shared" ca="1" si="114"/>
        <v>#N/A</v>
      </c>
      <c r="HI17" s="165" t="e">
        <f t="shared" ca="1" si="114"/>
        <v>#N/A</v>
      </c>
      <c r="HJ17" s="165" t="e">
        <f t="shared" ca="1" si="114"/>
        <v>#N/A</v>
      </c>
      <c r="HK17" s="165" t="e">
        <f t="shared" ca="1" si="114"/>
        <v>#N/A</v>
      </c>
      <c r="HL17" s="165" t="e">
        <f t="shared" ca="1" si="114"/>
        <v>#N/A</v>
      </c>
      <c r="HM17" s="165" t="e">
        <f t="shared" ca="1" si="114"/>
        <v>#N/A</v>
      </c>
      <c r="HN17" s="165" t="e">
        <f t="shared" ca="1" si="114"/>
        <v>#N/A</v>
      </c>
      <c r="HO17" s="165" t="e">
        <f t="shared" ca="1" si="114"/>
        <v>#N/A</v>
      </c>
      <c r="HP17" s="165" t="e">
        <f t="shared" ca="1" si="114"/>
        <v>#N/A</v>
      </c>
      <c r="HQ17" s="165" t="e">
        <f t="shared" ca="1" si="114"/>
        <v>#N/A</v>
      </c>
      <c r="HR17" s="165" t="e">
        <f t="shared" ca="1" si="114"/>
        <v>#N/A</v>
      </c>
      <c r="HS17" s="165" t="e">
        <f t="shared" ca="1" si="114"/>
        <v>#N/A</v>
      </c>
      <c r="HT17" s="165" t="e">
        <f t="shared" ca="1" si="114"/>
        <v>#N/A</v>
      </c>
      <c r="HU17" s="165" t="e">
        <f t="shared" ca="1" si="114"/>
        <v>#N/A</v>
      </c>
      <c r="HV17" s="165" t="e">
        <f t="shared" ca="1" si="114"/>
        <v>#N/A</v>
      </c>
      <c r="HW17" s="165" t="e">
        <f t="shared" ca="1" si="114"/>
        <v>#N/A</v>
      </c>
      <c r="HX17" s="165" t="e">
        <f t="shared" ca="1" si="114"/>
        <v>#N/A</v>
      </c>
      <c r="HY17" s="165" t="e">
        <f t="shared" ca="1" si="114"/>
        <v>#N/A</v>
      </c>
      <c r="HZ17" s="165" t="e">
        <f t="shared" ca="1" si="114"/>
        <v>#N/A</v>
      </c>
      <c r="IA17" s="165" t="e">
        <f t="shared" ca="1" si="114"/>
        <v>#N/A</v>
      </c>
      <c r="IB17" s="165" t="e">
        <f t="shared" ca="1" si="114"/>
        <v>#N/A</v>
      </c>
      <c r="IC17" s="165" t="e">
        <f t="shared" ca="1" si="114"/>
        <v>#N/A</v>
      </c>
      <c r="ID17" s="165" t="e">
        <f t="shared" ca="1" si="114"/>
        <v>#N/A</v>
      </c>
      <c r="IE17" s="165" t="e">
        <f t="shared" ca="1" si="114"/>
        <v>#N/A</v>
      </c>
      <c r="IF17" s="165" t="e">
        <f t="shared" ca="1" si="114"/>
        <v>#N/A</v>
      </c>
      <c r="IG17" s="165" t="e">
        <f t="shared" ca="1" si="114"/>
        <v>#N/A</v>
      </c>
      <c r="IH17" s="165" t="e">
        <f t="shared" ca="1" si="114"/>
        <v>#N/A</v>
      </c>
      <c r="II17" s="165" t="e">
        <f t="shared" ca="1" si="114"/>
        <v>#N/A</v>
      </c>
      <c r="IJ17" s="165" t="e">
        <f t="shared" ca="1" si="114"/>
        <v>#N/A</v>
      </c>
      <c r="IK17" s="165" t="e">
        <f t="shared" ca="1" si="114"/>
        <v>#N/A</v>
      </c>
      <c r="IL17" s="165" t="e">
        <f t="shared" ca="1" si="114"/>
        <v>#N/A</v>
      </c>
      <c r="IM17" s="165" t="e">
        <f t="shared" ca="1" si="114"/>
        <v>#N/A</v>
      </c>
      <c r="IN17" s="165" t="e">
        <f t="shared" ca="1" si="114"/>
        <v>#N/A</v>
      </c>
    </row>
    <row r="19" spans="2:248" x14ac:dyDescent="0.3">
      <c r="B19" s="19" t="s">
        <v>478</v>
      </c>
      <c r="C19" s="40">
        <f>VLOOKUP(B2,Country_Data!B:J,9,FALSE)</f>
        <v>331002651</v>
      </c>
      <c r="F19" s="19" t="s">
        <v>465</v>
      </c>
      <c r="G19" s="40">
        <f>$C$16</f>
        <v>96983.776743000009</v>
      </c>
      <c r="H19" s="40">
        <f t="shared" ref="H19:BS19" si="115">$C$16</f>
        <v>96983.776743000009</v>
      </c>
      <c r="I19" s="40">
        <f t="shared" si="115"/>
        <v>96983.776743000009</v>
      </c>
      <c r="J19" s="40">
        <f t="shared" si="115"/>
        <v>96983.776743000009</v>
      </c>
      <c r="K19" s="40">
        <f t="shared" si="115"/>
        <v>96983.776743000009</v>
      </c>
      <c r="L19" s="40">
        <f t="shared" si="115"/>
        <v>96983.776743000009</v>
      </c>
      <c r="M19" s="40">
        <f t="shared" si="115"/>
        <v>96983.776743000009</v>
      </c>
      <c r="N19" s="40">
        <f t="shared" si="115"/>
        <v>96983.776743000009</v>
      </c>
      <c r="O19" s="40">
        <f t="shared" si="115"/>
        <v>96983.776743000009</v>
      </c>
      <c r="P19" s="40">
        <f t="shared" si="115"/>
        <v>96983.776743000009</v>
      </c>
      <c r="Q19" s="40">
        <f t="shared" si="115"/>
        <v>96983.776743000009</v>
      </c>
      <c r="R19" s="40">
        <f t="shared" si="115"/>
        <v>96983.776743000009</v>
      </c>
      <c r="S19" s="40">
        <f t="shared" si="115"/>
        <v>96983.776743000009</v>
      </c>
      <c r="T19" s="40">
        <f t="shared" si="115"/>
        <v>96983.776743000009</v>
      </c>
      <c r="U19" s="40">
        <f t="shared" si="115"/>
        <v>96983.776743000009</v>
      </c>
      <c r="V19" s="40">
        <f t="shared" si="115"/>
        <v>96983.776743000009</v>
      </c>
      <c r="W19" s="40">
        <f t="shared" si="115"/>
        <v>96983.776743000009</v>
      </c>
      <c r="X19" s="40">
        <f t="shared" si="115"/>
        <v>96983.776743000009</v>
      </c>
      <c r="Y19" s="40">
        <f t="shared" si="115"/>
        <v>96983.776743000009</v>
      </c>
      <c r="Z19" s="40">
        <f t="shared" si="115"/>
        <v>96983.776743000009</v>
      </c>
      <c r="AA19" s="40">
        <f t="shared" si="115"/>
        <v>96983.776743000009</v>
      </c>
      <c r="AB19" s="40">
        <f t="shared" si="115"/>
        <v>96983.776743000009</v>
      </c>
      <c r="AC19" s="40">
        <f t="shared" si="115"/>
        <v>96983.776743000009</v>
      </c>
      <c r="AD19" s="40">
        <f t="shared" si="115"/>
        <v>96983.776743000009</v>
      </c>
      <c r="AE19" s="40">
        <f t="shared" si="115"/>
        <v>96983.776743000009</v>
      </c>
      <c r="AF19" s="40">
        <f t="shared" si="115"/>
        <v>96983.776743000009</v>
      </c>
      <c r="AG19" s="40">
        <f t="shared" si="115"/>
        <v>96983.776743000009</v>
      </c>
      <c r="AH19" s="40">
        <f t="shared" si="115"/>
        <v>96983.776743000009</v>
      </c>
      <c r="AI19" s="40">
        <f t="shared" si="115"/>
        <v>96983.776743000009</v>
      </c>
      <c r="AJ19" s="40">
        <f t="shared" si="115"/>
        <v>96983.776743000009</v>
      </c>
      <c r="AK19" s="40">
        <f t="shared" si="115"/>
        <v>96983.776743000009</v>
      </c>
      <c r="AL19" s="40">
        <f t="shared" si="115"/>
        <v>96983.776743000009</v>
      </c>
      <c r="AM19" s="40">
        <f t="shared" si="115"/>
        <v>96983.776743000009</v>
      </c>
      <c r="AN19" s="40">
        <f t="shared" si="115"/>
        <v>96983.776743000009</v>
      </c>
      <c r="AO19" s="40">
        <f t="shared" si="115"/>
        <v>96983.776743000009</v>
      </c>
      <c r="AP19" s="40">
        <f t="shared" si="115"/>
        <v>96983.776743000009</v>
      </c>
      <c r="AQ19" s="40">
        <f t="shared" si="115"/>
        <v>96983.776743000009</v>
      </c>
      <c r="AR19" s="40">
        <f t="shared" si="115"/>
        <v>96983.776743000009</v>
      </c>
      <c r="AS19" s="40">
        <f t="shared" si="115"/>
        <v>96983.776743000009</v>
      </c>
      <c r="AT19" s="40">
        <f t="shared" si="115"/>
        <v>96983.776743000009</v>
      </c>
      <c r="AU19" s="40">
        <f t="shared" si="115"/>
        <v>96983.776743000009</v>
      </c>
      <c r="AV19" s="40">
        <f t="shared" si="115"/>
        <v>96983.776743000009</v>
      </c>
      <c r="AW19" s="40">
        <f t="shared" si="115"/>
        <v>96983.776743000009</v>
      </c>
      <c r="AX19" s="40">
        <f t="shared" si="115"/>
        <v>96983.776743000009</v>
      </c>
      <c r="AY19" s="40">
        <f t="shared" si="115"/>
        <v>96983.776743000009</v>
      </c>
      <c r="AZ19" s="40">
        <f t="shared" si="115"/>
        <v>96983.776743000009</v>
      </c>
      <c r="BA19" s="40">
        <f t="shared" si="115"/>
        <v>96983.776743000009</v>
      </c>
      <c r="BB19" s="40">
        <f t="shared" si="115"/>
        <v>96983.776743000009</v>
      </c>
      <c r="BC19" s="40">
        <f t="shared" si="115"/>
        <v>96983.776743000009</v>
      </c>
      <c r="BD19" s="40">
        <f t="shared" si="115"/>
        <v>96983.776743000009</v>
      </c>
      <c r="BE19" s="40">
        <f t="shared" si="115"/>
        <v>96983.776743000009</v>
      </c>
      <c r="BF19" s="40">
        <f t="shared" si="115"/>
        <v>96983.776743000009</v>
      </c>
      <c r="BG19" s="40">
        <f t="shared" si="115"/>
        <v>96983.776743000009</v>
      </c>
      <c r="BH19" s="40">
        <f t="shared" si="115"/>
        <v>96983.776743000009</v>
      </c>
      <c r="BI19" s="40">
        <f t="shared" si="115"/>
        <v>96983.776743000009</v>
      </c>
      <c r="BJ19" s="40">
        <f t="shared" si="115"/>
        <v>96983.776743000009</v>
      </c>
      <c r="BK19" s="40">
        <f t="shared" si="115"/>
        <v>96983.776743000009</v>
      </c>
      <c r="BL19" s="40">
        <f t="shared" si="115"/>
        <v>96983.776743000009</v>
      </c>
      <c r="BM19" s="40">
        <f t="shared" si="115"/>
        <v>96983.776743000009</v>
      </c>
      <c r="BN19" s="40">
        <f t="shared" si="115"/>
        <v>96983.776743000009</v>
      </c>
      <c r="BO19" s="40">
        <f t="shared" si="115"/>
        <v>96983.776743000009</v>
      </c>
      <c r="BP19" s="40">
        <f t="shared" si="115"/>
        <v>96983.776743000009</v>
      </c>
      <c r="BQ19" s="40">
        <f t="shared" si="115"/>
        <v>96983.776743000009</v>
      </c>
      <c r="BR19" s="40">
        <f t="shared" si="115"/>
        <v>96983.776743000009</v>
      </c>
      <c r="BS19" s="40">
        <f t="shared" si="115"/>
        <v>96983.776743000009</v>
      </c>
      <c r="BT19" s="40">
        <f t="shared" ref="BT19:EE19" si="116">$C$16</f>
        <v>96983.776743000009</v>
      </c>
      <c r="BU19" s="40">
        <f t="shared" si="116"/>
        <v>96983.776743000009</v>
      </c>
      <c r="BV19" s="40">
        <f t="shared" si="116"/>
        <v>96983.776743000009</v>
      </c>
      <c r="BW19" s="40">
        <f t="shared" si="116"/>
        <v>96983.776743000009</v>
      </c>
      <c r="BX19" s="40">
        <f t="shared" si="116"/>
        <v>96983.776743000009</v>
      </c>
      <c r="BY19" s="40">
        <f t="shared" si="116"/>
        <v>96983.776743000009</v>
      </c>
      <c r="BZ19" s="40">
        <f t="shared" si="116"/>
        <v>96983.776743000009</v>
      </c>
      <c r="CA19" s="40">
        <f t="shared" si="116"/>
        <v>96983.776743000009</v>
      </c>
      <c r="CB19" s="40">
        <f t="shared" si="116"/>
        <v>96983.776743000009</v>
      </c>
      <c r="CC19" s="40">
        <f t="shared" si="116"/>
        <v>96983.776743000009</v>
      </c>
      <c r="CD19" s="40">
        <f t="shared" si="116"/>
        <v>96983.776743000009</v>
      </c>
      <c r="CE19" s="40">
        <f t="shared" si="116"/>
        <v>96983.776743000009</v>
      </c>
      <c r="CF19" s="40">
        <f t="shared" si="116"/>
        <v>96983.776743000009</v>
      </c>
      <c r="CG19" s="40">
        <f t="shared" si="116"/>
        <v>96983.776743000009</v>
      </c>
      <c r="CH19" s="40">
        <f t="shared" si="116"/>
        <v>96983.776743000009</v>
      </c>
      <c r="CI19" s="40">
        <f t="shared" si="116"/>
        <v>96983.776743000009</v>
      </c>
      <c r="CJ19" s="40">
        <f t="shared" si="116"/>
        <v>96983.776743000009</v>
      </c>
      <c r="CK19" s="40">
        <f t="shared" si="116"/>
        <v>96983.776743000009</v>
      </c>
      <c r="CL19" s="40">
        <f t="shared" si="116"/>
        <v>96983.776743000009</v>
      </c>
      <c r="CM19" s="40">
        <f t="shared" si="116"/>
        <v>96983.776743000009</v>
      </c>
      <c r="CN19" s="40">
        <f t="shared" si="116"/>
        <v>96983.776743000009</v>
      </c>
      <c r="CO19" s="40">
        <f t="shared" si="116"/>
        <v>96983.776743000009</v>
      </c>
      <c r="CP19" s="40">
        <f t="shared" si="116"/>
        <v>96983.776743000009</v>
      </c>
      <c r="CQ19" s="40">
        <f t="shared" si="116"/>
        <v>96983.776743000009</v>
      </c>
      <c r="CR19" s="40">
        <f t="shared" si="116"/>
        <v>96983.776743000009</v>
      </c>
      <c r="CS19" s="40">
        <f t="shared" si="116"/>
        <v>96983.776743000009</v>
      </c>
      <c r="CT19" s="40">
        <f t="shared" si="116"/>
        <v>96983.776743000009</v>
      </c>
      <c r="CU19" s="40">
        <f t="shared" si="116"/>
        <v>96983.776743000009</v>
      </c>
      <c r="CV19" s="40">
        <f t="shared" si="116"/>
        <v>96983.776743000009</v>
      </c>
      <c r="CW19" s="40">
        <f t="shared" si="116"/>
        <v>96983.776743000009</v>
      </c>
      <c r="CX19" s="40">
        <f t="shared" si="116"/>
        <v>96983.776743000009</v>
      </c>
      <c r="CY19" s="40">
        <f t="shared" si="116"/>
        <v>96983.776743000009</v>
      </c>
      <c r="CZ19" s="40">
        <f t="shared" si="116"/>
        <v>96983.776743000009</v>
      </c>
      <c r="DA19" s="40">
        <f t="shared" si="116"/>
        <v>96983.776743000009</v>
      </c>
      <c r="DB19" s="40">
        <f t="shared" si="116"/>
        <v>96983.776743000009</v>
      </c>
      <c r="DC19" s="40">
        <f t="shared" si="116"/>
        <v>96983.776743000009</v>
      </c>
      <c r="DD19" s="40">
        <f t="shared" si="116"/>
        <v>96983.776743000009</v>
      </c>
      <c r="DE19" s="40">
        <f t="shared" si="116"/>
        <v>96983.776743000009</v>
      </c>
      <c r="DF19" s="40">
        <f t="shared" si="116"/>
        <v>96983.776743000009</v>
      </c>
      <c r="DG19" s="40">
        <f t="shared" si="116"/>
        <v>96983.776743000009</v>
      </c>
      <c r="DH19" s="40">
        <f t="shared" si="116"/>
        <v>96983.776743000009</v>
      </c>
      <c r="DI19" s="40">
        <f t="shared" si="116"/>
        <v>96983.776743000009</v>
      </c>
      <c r="DJ19" s="40">
        <f t="shared" si="116"/>
        <v>96983.776743000009</v>
      </c>
      <c r="DK19" s="40">
        <f t="shared" si="116"/>
        <v>96983.776743000009</v>
      </c>
      <c r="DL19" s="40">
        <f t="shared" si="116"/>
        <v>96983.776743000009</v>
      </c>
      <c r="DM19" s="40">
        <f t="shared" si="116"/>
        <v>96983.776743000009</v>
      </c>
      <c r="DN19" s="40">
        <f t="shared" si="116"/>
        <v>96983.776743000009</v>
      </c>
      <c r="DO19" s="40">
        <f t="shared" si="116"/>
        <v>96983.776743000009</v>
      </c>
      <c r="DP19" s="40">
        <f t="shared" si="116"/>
        <v>96983.776743000009</v>
      </c>
      <c r="DQ19" s="40">
        <f t="shared" si="116"/>
        <v>96983.776743000009</v>
      </c>
      <c r="DR19" s="40">
        <f t="shared" si="116"/>
        <v>96983.776743000009</v>
      </c>
      <c r="DS19" s="40">
        <f t="shared" si="116"/>
        <v>96983.776743000009</v>
      </c>
      <c r="DT19" s="40">
        <f t="shared" si="116"/>
        <v>96983.776743000009</v>
      </c>
      <c r="DU19" s="40">
        <f t="shared" si="116"/>
        <v>96983.776743000009</v>
      </c>
      <c r="DV19" s="40">
        <f t="shared" si="116"/>
        <v>96983.776743000009</v>
      </c>
      <c r="DW19" s="40">
        <f t="shared" si="116"/>
        <v>96983.776743000009</v>
      </c>
      <c r="DX19" s="40">
        <f t="shared" si="116"/>
        <v>96983.776743000009</v>
      </c>
      <c r="DY19" s="40">
        <f t="shared" si="116"/>
        <v>96983.776743000009</v>
      </c>
      <c r="DZ19" s="40">
        <f t="shared" si="116"/>
        <v>96983.776743000009</v>
      </c>
      <c r="EA19" s="40">
        <f t="shared" si="116"/>
        <v>96983.776743000009</v>
      </c>
      <c r="EB19" s="40">
        <f t="shared" si="116"/>
        <v>96983.776743000009</v>
      </c>
      <c r="EC19" s="40">
        <f t="shared" si="116"/>
        <v>96983.776743000009</v>
      </c>
      <c r="ED19" s="40">
        <f t="shared" si="116"/>
        <v>96983.776743000009</v>
      </c>
      <c r="EE19" s="40">
        <f t="shared" si="116"/>
        <v>96983.776743000009</v>
      </c>
      <c r="EF19" s="40">
        <f t="shared" ref="EF19:GQ19" si="117">$C$16</f>
        <v>96983.776743000009</v>
      </c>
      <c r="EG19" s="40">
        <f t="shared" si="117"/>
        <v>96983.776743000009</v>
      </c>
      <c r="EH19" s="40">
        <f t="shared" si="117"/>
        <v>96983.776743000009</v>
      </c>
      <c r="EI19" s="40">
        <f t="shared" si="117"/>
        <v>96983.776743000009</v>
      </c>
      <c r="EJ19" s="40">
        <f t="shared" si="117"/>
        <v>96983.776743000009</v>
      </c>
      <c r="EK19" s="40">
        <f t="shared" si="117"/>
        <v>96983.776743000009</v>
      </c>
      <c r="EL19" s="40">
        <f t="shared" si="117"/>
        <v>96983.776743000009</v>
      </c>
      <c r="EM19" s="40">
        <f t="shared" si="117"/>
        <v>96983.776743000009</v>
      </c>
      <c r="EN19" s="40">
        <f t="shared" si="117"/>
        <v>96983.776743000009</v>
      </c>
      <c r="EO19" s="40">
        <f t="shared" si="117"/>
        <v>96983.776743000009</v>
      </c>
      <c r="EP19" s="40">
        <f t="shared" si="117"/>
        <v>96983.776743000009</v>
      </c>
      <c r="EQ19" s="40">
        <f t="shared" si="117"/>
        <v>96983.776743000009</v>
      </c>
      <c r="ER19" s="40">
        <f t="shared" si="117"/>
        <v>96983.776743000009</v>
      </c>
      <c r="ES19" s="40">
        <f t="shared" si="117"/>
        <v>96983.776743000009</v>
      </c>
      <c r="ET19" s="40">
        <f t="shared" si="117"/>
        <v>96983.776743000009</v>
      </c>
      <c r="EU19" s="40">
        <f t="shared" si="117"/>
        <v>96983.776743000009</v>
      </c>
      <c r="EV19" s="40">
        <f t="shared" si="117"/>
        <v>96983.776743000009</v>
      </c>
      <c r="EW19" s="40">
        <f t="shared" si="117"/>
        <v>96983.776743000009</v>
      </c>
      <c r="EX19" s="40">
        <f t="shared" si="117"/>
        <v>96983.776743000009</v>
      </c>
      <c r="EY19" s="40">
        <f t="shared" si="117"/>
        <v>96983.776743000009</v>
      </c>
      <c r="EZ19" s="40">
        <f t="shared" si="117"/>
        <v>96983.776743000009</v>
      </c>
      <c r="FA19" s="40">
        <f t="shared" si="117"/>
        <v>96983.776743000009</v>
      </c>
      <c r="FB19" s="40">
        <f t="shared" si="117"/>
        <v>96983.776743000009</v>
      </c>
      <c r="FC19" s="40">
        <f t="shared" si="117"/>
        <v>96983.776743000009</v>
      </c>
      <c r="FD19" s="40">
        <f t="shared" si="117"/>
        <v>96983.776743000009</v>
      </c>
      <c r="FE19" s="40">
        <f t="shared" si="117"/>
        <v>96983.776743000009</v>
      </c>
      <c r="FF19" s="40">
        <f t="shared" si="117"/>
        <v>96983.776743000009</v>
      </c>
      <c r="FG19" s="40">
        <f t="shared" si="117"/>
        <v>96983.776743000009</v>
      </c>
      <c r="FH19" s="40">
        <f t="shared" si="117"/>
        <v>96983.776743000009</v>
      </c>
      <c r="FI19" s="40">
        <f t="shared" si="117"/>
        <v>96983.776743000009</v>
      </c>
      <c r="FJ19" s="40">
        <f t="shared" si="117"/>
        <v>96983.776743000009</v>
      </c>
      <c r="FK19" s="40">
        <f t="shared" si="117"/>
        <v>96983.776743000009</v>
      </c>
      <c r="FL19" s="40">
        <f t="shared" si="117"/>
        <v>96983.776743000009</v>
      </c>
      <c r="FM19" s="40">
        <f t="shared" si="117"/>
        <v>96983.776743000009</v>
      </c>
      <c r="FN19" s="40">
        <f t="shared" si="117"/>
        <v>96983.776743000009</v>
      </c>
      <c r="FO19" s="40">
        <f t="shared" si="117"/>
        <v>96983.776743000009</v>
      </c>
      <c r="FP19" s="40">
        <f t="shared" si="117"/>
        <v>96983.776743000009</v>
      </c>
      <c r="FQ19" s="40">
        <f t="shared" si="117"/>
        <v>96983.776743000009</v>
      </c>
      <c r="FR19" s="40">
        <f t="shared" si="117"/>
        <v>96983.776743000009</v>
      </c>
      <c r="FS19" s="40">
        <f t="shared" si="117"/>
        <v>96983.776743000009</v>
      </c>
      <c r="FT19" s="40">
        <f t="shared" si="117"/>
        <v>96983.776743000009</v>
      </c>
      <c r="FU19" s="40">
        <f t="shared" si="117"/>
        <v>96983.776743000009</v>
      </c>
      <c r="FV19" s="40">
        <f t="shared" si="117"/>
        <v>96983.776743000009</v>
      </c>
      <c r="FW19" s="40">
        <f t="shared" si="117"/>
        <v>96983.776743000009</v>
      </c>
      <c r="FX19" s="40">
        <f t="shared" si="117"/>
        <v>96983.776743000009</v>
      </c>
      <c r="FY19" s="40">
        <f t="shared" si="117"/>
        <v>96983.776743000009</v>
      </c>
      <c r="FZ19" s="40">
        <f t="shared" si="117"/>
        <v>96983.776743000009</v>
      </c>
      <c r="GA19" s="40">
        <f t="shared" si="117"/>
        <v>96983.776743000009</v>
      </c>
      <c r="GB19" s="40">
        <f t="shared" si="117"/>
        <v>96983.776743000009</v>
      </c>
      <c r="GC19" s="40">
        <f t="shared" si="117"/>
        <v>96983.776743000009</v>
      </c>
      <c r="GD19" s="40">
        <f t="shared" si="117"/>
        <v>96983.776743000009</v>
      </c>
      <c r="GE19" s="40">
        <f t="shared" si="117"/>
        <v>96983.776743000009</v>
      </c>
      <c r="GF19" s="40">
        <f t="shared" si="117"/>
        <v>96983.776743000009</v>
      </c>
      <c r="GG19" s="40">
        <f t="shared" si="117"/>
        <v>96983.776743000009</v>
      </c>
      <c r="GH19" s="40">
        <f t="shared" si="117"/>
        <v>96983.776743000009</v>
      </c>
      <c r="GI19" s="40">
        <f t="shared" si="117"/>
        <v>96983.776743000009</v>
      </c>
      <c r="GJ19" s="40">
        <f t="shared" si="117"/>
        <v>96983.776743000009</v>
      </c>
      <c r="GK19" s="40">
        <f t="shared" si="117"/>
        <v>96983.776743000009</v>
      </c>
      <c r="GL19" s="40">
        <f t="shared" si="117"/>
        <v>96983.776743000009</v>
      </c>
      <c r="GM19" s="40">
        <f t="shared" si="117"/>
        <v>96983.776743000009</v>
      </c>
      <c r="GN19" s="40">
        <f t="shared" si="117"/>
        <v>96983.776743000009</v>
      </c>
      <c r="GO19" s="40">
        <f t="shared" si="117"/>
        <v>96983.776743000009</v>
      </c>
      <c r="GP19" s="40">
        <f t="shared" si="117"/>
        <v>96983.776743000009</v>
      </c>
      <c r="GQ19" s="40">
        <f t="shared" si="117"/>
        <v>96983.776743000009</v>
      </c>
      <c r="GR19" s="40">
        <f t="shared" ref="GR19:IN19" si="118">$C$16</f>
        <v>96983.776743000009</v>
      </c>
      <c r="GS19" s="40">
        <f t="shared" si="118"/>
        <v>96983.776743000009</v>
      </c>
      <c r="GT19" s="40">
        <f t="shared" si="118"/>
        <v>96983.776743000009</v>
      </c>
      <c r="GU19" s="40">
        <f t="shared" si="118"/>
        <v>96983.776743000009</v>
      </c>
      <c r="GV19" s="40">
        <f t="shared" si="118"/>
        <v>96983.776743000009</v>
      </c>
      <c r="GW19" s="40">
        <f t="shared" si="118"/>
        <v>96983.776743000009</v>
      </c>
      <c r="GX19" s="40">
        <f t="shared" si="118"/>
        <v>96983.776743000009</v>
      </c>
      <c r="GY19" s="40">
        <f t="shared" si="118"/>
        <v>96983.776743000009</v>
      </c>
      <c r="GZ19" s="40">
        <f t="shared" si="118"/>
        <v>96983.776743000009</v>
      </c>
      <c r="HA19" s="40">
        <f t="shared" si="118"/>
        <v>96983.776743000009</v>
      </c>
      <c r="HB19" s="40">
        <f t="shared" si="118"/>
        <v>96983.776743000009</v>
      </c>
      <c r="HC19" s="40">
        <f t="shared" si="118"/>
        <v>96983.776743000009</v>
      </c>
      <c r="HD19" s="40">
        <f t="shared" si="118"/>
        <v>96983.776743000009</v>
      </c>
      <c r="HE19" s="40">
        <f t="shared" si="118"/>
        <v>96983.776743000009</v>
      </c>
      <c r="HF19" s="40">
        <f t="shared" si="118"/>
        <v>96983.776743000009</v>
      </c>
      <c r="HG19" s="40">
        <f t="shared" si="118"/>
        <v>96983.776743000009</v>
      </c>
      <c r="HH19" s="40">
        <f t="shared" si="118"/>
        <v>96983.776743000009</v>
      </c>
      <c r="HI19" s="40">
        <f t="shared" si="118"/>
        <v>96983.776743000009</v>
      </c>
      <c r="HJ19" s="40">
        <f t="shared" si="118"/>
        <v>96983.776743000009</v>
      </c>
      <c r="HK19" s="40">
        <f t="shared" si="118"/>
        <v>96983.776743000009</v>
      </c>
      <c r="HL19" s="40">
        <f t="shared" si="118"/>
        <v>96983.776743000009</v>
      </c>
      <c r="HM19" s="40">
        <f t="shared" si="118"/>
        <v>96983.776743000009</v>
      </c>
      <c r="HN19" s="40">
        <f t="shared" si="118"/>
        <v>96983.776743000009</v>
      </c>
      <c r="HO19" s="40">
        <f t="shared" si="118"/>
        <v>96983.776743000009</v>
      </c>
      <c r="HP19" s="40">
        <f t="shared" si="118"/>
        <v>96983.776743000009</v>
      </c>
      <c r="HQ19" s="40">
        <f t="shared" si="118"/>
        <v>96983.776743000009</v>
      </c>
      <c r="HR19" s="40">
        <f t="shared" si="118"/>
        <v>96983.776743000009</v>
      </c>
      <c r="HS19" s="40">
        <f t="shared" si="118"/>
        <v>96983.776743000009</v>
      </c>
      <c r="HT19" s="40">
        <f t="shared" si="118"/>
        <v>96983.776743000009</v>
      </c>
      <c r="HU19" s="40">
        <f t="shared" si="118"/>
        <v>96983.776743000009</v>
      </c>
      <c r="HV19" s="40">
        <f t="shared" si="118"/>
        <v>96983.776743000009</v>
      </c>
      <c r="HW19" s="40">
        <f t="shared" si="118"/>
        <v>96983.776743000009</v>
      </c>
      <c r="HX19" s="40">
        <f t="shared" si="118"/>
        <v>96983.776743000009</v>
      </c>
      <c r="HY19" s="40">
        <f t="shared" si="118"/>
        <v>96983.776743000009</v>
      </c>
      <c r="HZ19" s="40">
        <f t="shared" si="118"/>
        <v>96983.776743000009</v>
      </c>
      <c r="IA19" s="40">
        <f t="shared" si="118"/>
        <v>96983.776743000009</v>
      </c>
      <c r="IB19" s="40">
        <f t="shared" si="118"/>
        <v>96983.776743000009</v>
      </c>
      <c r="IC19" s="40">
        <f t="shared" si="118"/>
        <v>96983.776743000009</v>
      </c>
      <c r="ID19" s="40">
        <f t="shared" si="118"/>
        <v>96983.776743000009</v>
      </c>
      <c r="IE19" s="40">
        <f t="shared" si="118"/>
        <v>96983.776743000009</v>
      </c>
      <c r="IF19" s="40">
        <f t="shared" si="118"/>
        <v>96983.776743000009</v>
      </c>
      <c r="IG19" s="40">
        <f t="shared" si="118"/>
        <v>96983.776743000009</v>
      </c>
      <c r="IH19" s="40">
        <f t="shared" si="118"/>
        <v>96983.776743000009</v>
      </c>
      <c r="II19" s="40">
        <f t="shared" si="118"/>
        <v>96983.776743000009</v>
      </c>
      <c r="IJ19" s="40">
        <f t="shared" si="118"/>
        <v>96983.776743000009</v>
      </c>
      <c r="IK19" s="40">
        <f t="shared" si="118"/>
        <v>96983.776743000009</v>
      </c>
      <c r="IL19" s="40">
        <f t="shared" si="118"/>
        <v>96983.776743000009</v>
      </c>
      <c r="IM19" s="40">
        <f t="shared" si="118"/>
        <v>96983.776743000009</v>
      </c>
      <c r="IN19" s="40">
        <f t="shared" si="118"/>
        <v>96983.776743000009</v>
      </c>
    </row>
    <row r="20" spans="2:248" x14ac:dyDescent="0.3">
      <c r="B20" s="19" t="s">
        <v>490</v>
      </c>
      <c r="C20" s="42">
        <v>0.4</v>
      </c>
      <c r="F20" s="19" t="s">
        <v>553</v>
      </c>
      <c r="G20" s="40">
        <f>G9*$C$15</f>
        <v>3.7474627682623667</v>
      </c>
      <c r="H20" s="40">
        <f t="shared" ref="H20:BS20" ca="1" si="119">H9*$C$15</f>
        <v>4.7319656989075645</v>
      </c>
      <c r="I20" s="40">
        <f t="shared" ca="1" si="119"/>
        <v>6.8597623554633147</v>
      </c>
      <c r="J20" s="40">
        <f t="shared" ca="1" si="119"/>
        <v>8.2253631947453645</v>
      </c>
      <c r="K20" s="40">
        <f t="shared" ca="1" si="119"/>
        <v>12.576230985016078</v>
      </c>
      <c r="L20" s="40">
        <f t="shared" ca="1" si="119"/>
        <v>16.133144798960018</v>
      </c>
      <c r="M20" s="40">
        <f t="shared" ca="1" si="119"/>
        <v>18.165666978356555</v>
      </c>
      <c r="N20" s="40">
        <f t="shared" ca="1" si="119"/>
        <v>29.916185827992791</v>
      </c>
      <c r="O20" s="40">
        <f t="shared" ca="1" si="119"/>
        <v>39.888247770657053</v>
      </c>
      <c r="P20" s="40">
        <f t="shared" ca="1" si="119"/>
        <v>51.892831892717858</v>
      </c>
      <c r="Q20" s="40">
        <f t="shared" ca="1" si="119"/>
        <v>68.057734850730938</v>
      </c>
      <c r="R20" s="40">
        <f t="shared" ca="1" si="119"/>
        <v>77.743973361917568</v>
      </c>
      <c r="S20" s="40">
        <f t="shared" ca="1" si="119"/>
        <v>103.75390562638265</v>
      </c>
      <c r="T20" s="40">
        <f t="shared" ca="1" si="119"/>
        <v>135.7661299518781</v>
      </c>
      <c r="U20" s="40">
        <f t="shared" ca="1" si="119"/>
        <v>191.24763381759297</v>
      </c>
      <c r="V20" s="40">
        <f t="shared" ca="1" si="119"/>
        <v>226.84853011608547</v>
      </c>
      <c r="W20" s="40">
        <f t="shared" ca="1" si="119"/>
        <v>408.66399069491638</v>
      </c>
      <c r="X20" s="40">
        <f t="shared" ca="1" si="119"/>
        <v>578.98299769653568</v>
      </c>
      <c r="Y20" s="40">
        <f t="shared" ca="1" si="119"/>
        <v>758.4165963463862</v>
      </c>
      <c r="Z20" s="40">
        <f t="shared" ca="1" si="119"/>
        <v>994.03037836111923</v>
      </c>
      <c r="AA20" s="40">
        <f t="shared" ca="1" si="119"/>
        <v>1311.2626291422446</v>
      </c>
      <c r="AB20" s="40">
        <f t="shared" ca="1" si="119"/>
        <v>1862.4320082299419</v>
      </c>
      <c r="AC20" s="40">
        <f t="shared" ca="1" si="119"/>
        <v>2645.2770849943422</v>
      </c>
      <c r="AD20" s="40">
        <f t="shared" ca="1" si="119"/>
        <v>3757.1792288120041</v>
      </c>
      <c r="AE20" s="40">
        <f t="shared" ca="1" si="119"/>
        <v>5336.4525922419807</v>
      </c>
      <c r="AF20" s="40">
        <f t="shared" ca="1" si="119"/>
        <v>7579.5495862598564</v>
      </c>
      <c r="AG20" s="40">
        <f t="shared" ca="1" si="119"/>
        <v>10765.498416324526</v>
      </c>
      <c r="AH20" s="40">
        <f t="shared" ca="1" si="119"/>
        <v>15290.612566475073</v>
      </c>
      <c r="AI20" s="40">
        <f t="shared" ca="1" si="119"/>
        <v>21717.789889180862</v>
      </c>
      <c r="AJ20" s="40">
        <f t="shared" ca="1" si="119"/>
        <v>30846.533820674675</v>
      </c>
      <c r="AK20" s="40">
        <f t="shared" ca="1" si="119"/>
        <v>43812.40695325259</v>
      </c>
      <c r="AL20" s="40">
        <f t="shared" ca="1" si="119"/>
        <v>62228.288409859095</v>
      </c>
      <c r="AM20" s="40">
        <f t="shared" ca="1" si="119"/>
        <v>88385.006615874197</v>
      </c>
      <c r="AN20" s="40">
        <f t="shared" ca="1" si="119"/>
        <v>125536.30501671412</v>
      </c>
      <c r="AO20" s="40">
        <f t="shared" ca="1" si="119"/>
        <v>178303.58881728083</v>
      </c>
      <c r="AP20" s="40">
        <f t="shared" ca="1" si="119"/>
        <v>253250.80088098097</v>
      </c>
      <c r="AQ20" s="40">
        <f t="shared" ca="1" si="119"/>
        <v>359700.93800289417</v>
      </c>
      <c r="AR20" s="40">
        <f t="shared" ca="1" si="119"/>
        <v>510895.77742724784</v>
      </c>
      <c r="AS20" s="40">
        <f t="shared" ca="1" si="119"/>
        <v>725643.07683537877</v>
      </c>
      <c r="AT20" s="40">
        <f t="shared" ca="1" si="119"/>
        <v>1030656.1498917416</v>
      </c>
      <c r="AU20" s="40">
        <f t="shared" ca="1" si="119"/>
        <v>1463876.8469235371</v>
      </c>
      <c r="AV20" s="40">
        <f t="shared" ca="1" si="119"/>
        <v>2079195.3001822066</v>
      </c>
      <c r="AW20" s="40">
        <f t="shared" ca="1" si="119"/>
        <v>2953153.5425162595</v>
      </c>
      <c r="AX20" s="40">
        <f t="shared" ca="1" si="119"/>
        <v>4194466.8905860232</v>
      </c>
      <c r="AY20" s="40">
        <f t="shared" ca="1" si="119"/>
        <v>4204813.9349784479</v>
      </c>
      <c r="AZ20" s="40">
        <f t="shared" ca="1" si="119"/>
        <v>4204813.9349784479</v>
      </c>
      <c r="BA20" s="40">
        <f t="shared" ca="1" si="119"/>
        <v>4204813.9349784479</v>
      </c>
      <c r="BB20" s="40">
        <f t="shared" ca="1" si="119"/>
        <v>4204813.9349784479</v>
      </c>
      <c r="BC20" s="40">
        <f t="shared" ca="1" si="119"/>
        <v>4204813.9349784479</v>
      </c>
      <c r="BD20" s="40">
        <f t="shared" ca="1" si="119"/>
        <v>4204813.9349784479</v>
      </c>
      <c r="BE20" s="40">
        <f t="shared" ca="1" si="119"/>
        <v>4204813.9349784479</v>
      </c>
      <c r="BF20" s="40">
        <f t="shared" ca="1" si="119"/>
        <v>4204813.9349784479</v>
      </c>
      <c r="BG20" s="40">
        <f t="shared" ca="1" si="119"/>
        <v>4204813.9349784479</v>
      </c>
      <c r="BH20" s="40">
        <f t="shared" ca="1" si="119"/>
        <v>4204813.9349784479</v>
      </c>
      <c r="BI20" s="40">
        <f t="shared" ca="1" si="119"/>
        <v>4204813.9349784479</v>
      </c>
      <c r="BJ20" s="40">
        <f t="shared" ca="1" si="119"/>
        <v>4204813.9349784479</v>
      </c>
      <c r="BK20" s="40">
        <f t="shared" ca="1" si="119"/>
        <v>4204813.9349784479</v>
      </c>
      <c r="BL20" s="40">
        <f t="shared" ca="1" si="119"/>
        <v>4204813.9349784479</v>
      </c>
      <c r="BM20" s="40">
        <f t="shared" ca="1" si="119"/>
        <v>4204813.9349784479</v>
      </c>
      <c r="BN20" s="40">
        <f t="shared" ca="1" si="119"/>
        <v>4204813.9349784479</v>
      </c>
      <c r="BO20" s="40">
        <f t="shared" ca="1" si="119"/>
        <v>4204813.9349784479</v>
      </c>
      <c r="BP20" s="40">
        <f t="shared" ca="1" si="119"/>
        <v>4204813.9349784479</v>
      </c>
      <c r="BQ20" s="40">
        <f t="shared" ca="1" si="119"/>
        <v>4204813.9349784479</v>
      </c>
      <c r="BR20" s="40">
        <f t="shared" ca="1" si="119"/>
        <v>4204813.9349784479</v>
      </c>
      <c r="BS20" s="40">
        <f t="shared" ca="1" si="119"/>
        <v>4204813.9349784479</v>
      </c>
      <c r="BT20" s="40">
        <f t="shared" ref="BT20:EE20" ca="1" si="120">BT9*$C$15</f>
        <v>4204813.9349784479</v>
      </c>
      <c r="BU20" s="40">
        <f t="shared" ca="1" si="120"/>
        <v>4204813.9349784479</v>
      </c>
      <c r="BV20" s="40">
        <f t="shared" ca="1" si="120"/>
        <v>4204813.9349784479</v>
      </c>
      <c r="BW20" s="40">
        <f t="shared" ca="1" si="120"/>
        <v>4204813.9349784479</v>
      </c>
      <c r="BX20" s="40">
        <f t="shared" ca="1" si="120"/>
        <v>4204813.9349784479</v>
      </c>
      <c r="BY20" s="40">
        <f t="shared" ca="1" si="120"/>
        <v>4204813.9349784479</v>
      </c>
      <c r="BZ20" s="40">
        <f t="shared" ca="1" si="120"/>
        <v>4204813.9349784479</v>
      </c>
      <c r="CA20" s="40">
        <f t="shared" ca="1" si="120"/>
        <v>4204813.9349784479</v>
      </c>
      <c r="CB20" s="40">
        <f t="shared" ca="1" si="120"/>
        <v>4204813.9349784479</v>
      </c>
      <c r="CC20" s="40">
        <f t="shared" ca="1" si="120"/>
        <v>4204813.9349784479</v>
      </c>
      <c r="CD20" s="40">
        <f t="shared" ca="1" si="120"/>
        <v>4204813.9349784479</v>
      </c>
      <c r="CE20" s="40">
        <f t="shared" ca="1" si="120"/>
        <v>4204813.9349784479</v>
      </c>
      <c r="CF20" s="40">
        <f t="shared" ca="1" si="120"/>
        <v>4204813.9349784479</v>
      </c>
      <c r="CG20" s="40">
        <f t="shared" ca="1" si="120"/>
        <v>4204813.9349784479</v>
      </c>
      <c r="CH20" s="40">
        <f t="shared" ca="1" si="120"/>
        <v>4204813.9349784479</v>
      </c>
      <c r="CI20" s="40">
        <f t="shared" ca="1" si="120"/>
        <v>4204813.9349784479</v>
      </c>
      <c r="CJ20" s="40">
        <f t="shared" ca="1" si="120"/>
        <v>4204813.9349784479</v>
      </c>
      <c r="CK20" s="40">
        <f t="shared" ca="1" si="120"/>
        <v>4204813.9349784479</v>
      </c>
      <c r="CL20" s="40">
        <f t="shared" ca="1" si="120"/>
        <v>4204813.9349784479</v>
      </c>
      <c r="CM20" s="40">
        <f t="shared" ca="1" si="120"/>
        <v>4204813.9349784479</v>
      </c>
      <c r="CN20" s="40">
        <f t="shared" ca="1" si="120"/>
        <v>4204813.9349784479</v>
      </c>
      <c r="CO20" s="40">
        <f t="shared" ca="1" si="120"/>
        <v>4204813.9349784479</v>
      </c>
      <c r="CP20" s="40">
        <f t="shared" ca="1" si="120"/>
        <v>4204813.9349784479</v>
      </c>
      <c r="CQ20" s="40">
        <f t="shared" ca="1" si="120"/>
        <v>4204813.9349784479</v>
      </c>
      <c r="CR20" s="40">
        <f t="shared" ca="1" si="120"/>
        <v>4204813.9349784479</v>
      </c>
      <c r="CS20" s="40">
        <f t="shared" ca="1" si="120"/>
        <v>4204813.9349784479</v>
      </c>
      <c r="CT20" s="40">
        <f t="shared" ca="1" si="120"/>
        <v>4204813.9349784479</v>
      </c>
      <c r="CU20" s="40">
        <f t="shared" ca="1" si="120"/>
        <v>4204813.9349784479</v>
      </c>
      <c r="CV20" s="40">
        <f t="shared" ca="1" si="120"/>
        <v>4204813.9349784479</v>
      </c>
      <c r="CW20" s="40">
        <f t="shared" ca="1" si="120"/>
        <v>4204813.9349784479</v>
      </c>
      <c r="CX20" s="40">
        <f t="shared" ca="1" si="120"/>
        <v>4204813.9349784479</v>
      </c>
      <c r="CY20" s="40">
        <f t="shared" ca="1" si="120"/>
        <v>4204813.9349784479</v>
      </c>
      <c r="CZ20" s="40">
        <f t="shared" ca="1" si="120"/>
        <v>4204813.9349784479</v>
      </c>
      <c r="DA20" s="40">
        <f t="shared" ca="1" si="120"/>
        <v>4204813.9349784479</v>
      </c>
      <c r="DB20" s="40">
        <f t="shared" ca="1" si="120"/>
        <v>4204813.9349784479</v>
      </c>
      <c r="DC20" s="40">
        <f t="shared" ca="1" si="120"/>
        <v>4204813.9349784479</v>
      </c>
      <c r="DD20" s="40">
        <f t="shared" ca="1" si="120"/>
        <v>4204813.9349784479</v>
      </c>
      <c r="DE20" s="40">
        <f t="shared" ca="1" si="120"/>
        <v>4204813.9349784479</v>
      </c>
      <c r="DF20" s="40">
        <f t="shared" ca="1" si="120"/>
        <v>4204813.9349784479</v>
      </c>
      <c r="DG20" s="40">
        <f t="shared" ca="1" si="120"/>
        <v>4204813.9349784479</v>
      </c>
      <c r="DH20" s="40">
        <f t="shared" ca="1" si="120"/>
        <v>4204813.9349784479</v>
      </c>
      <c r="DI20" s="40">
        <f t="shared" ca="1" si="120"/>
        <v>4204813.9349784479</v>
      </c>
      <c r="DJ20" s="40">
        <f t="shared" ca="1" si="120"/>
        <v>4204813.9349784479</v>
      </c>
      <c r="DK20" s="40">
        <f t="shared" ca="1" si="120"/>
        <v>4204813.9349784479</v>
      </c>
      <c r="DL20" s="40">
        <f t="shared" ca="1" si="120"/>
        <v>4204813.9349784479</v>
      </c>
      <c r="DM20" s="40">
        <f t="shared" ca="1" si="120"/>
        <v>4204813.9349784479</v>
      </c>
      <c r="DN20" s="40">
        <f t="shared" ca="1" si="120"/>
        <v>4204813.9349784479</v>
      </c>
      <c r="DO20" s="40">
        <f t="shared" ca="1" si="120"/>
        <v>4204813.9349784479</v>
      </c>
      <c r="DP20" s="40">
        <f t="shared" ca="1" si="120"/>
        <v>4204813.9349784479</v>
      </c>
      <c r="DQ20" s="40">
        <f t="shared" ca="1" si="120"/>
        <v>4204813.9349784479</v>
      </c>
      <c r="DR20" s="40">
        <f t="shared" ca="1" si="120"/>
        <v>4204813.9349784479</v>
      </c>
      <c r="DS20" s="40">
        <f t="shared" ca="1" si="120"/>
        <v>4204813.9349784479</v>
      </c>
      <c r="DT20" s="40">
        <f t="shared" ca="1" si="120"/>
        <v>4204813.9349784479</v>
      </c>
      <c r="DU20" s="40">
        <f t="shared" ca="1" si="120"/>
        <v>4204813.9349784479</v>
      </c>
      <c r="DV20" s="40">
        <f t="shared" ca="1" si="120"/>
        <v>4204813.9349784479</v>
      </c>
      <c r="DW20" s="40">
        <f t="shared" ca="1" si="120"/>
        <v>4204813.9349784479</v>
      </c>
      <c r="DX20" s="40">
        <f t="shared" ca="1" si="120"/>
        <v>4204813.9349784479</v>
      </c>
      <c r="DY20" s="40">
        <f t="shared" ca="1" si="120"/>
        <v>4204813.9349784479</v>
      </c>
      <c r="DZ20" s="40">
        <f t="shared" ca="1" si="120"/>
        <v>4204813.9349784479</v>
      </c>
      <c r="EA20" s="40">
        <f t="shared" ca="1" si="120"/>
        <v>4204813.9349784479</v>
      </c>
      <c r="EB20" s="40">
        <f t="shared" ca="1" si="120"/>
        <v>4204813.9349784479</v>
      </c>
      <c r="EC20" s="40">
        <f t="shared" ca="1" si="120"/>
        <v>4204813.9349784479</v>
      </c>
      <c r="ED20" s="40">
        <f t="shared" ca="1" si="120"/>
        <v>4204813.9349784479</v>
      </c>
      <c r="EE20" s="40">
        <f t="shared" ca="1" si="120"/>
        <v>4204813.9349784479</v>
      </c>
      <c r="EF20" s="40">
        <f t="shared" ref="EF20:GQ20" ca="1" si="121">EF9*$C$15</f>
        <v>4204813.9349784479</v>
      </c>
      <c r="EG20" s="40">
        <f t="shared" ca="1" si="121"/>
        <v>4204813.9349784479</v>
      </c>
      <c r="EH20" s="40">
        <f t="shared" ca="1" si="121"/>
        <v>4204813.9349784479</v>
      </c>
      <c r="EI20" s="40">
        <f t="shared" ca="1" si="121"/>
        <v>4204813.9349784479</v>
      </c>
      <c r="EJ20" s="40">
        <f t="shared" ca="1" si="121"/>
        <v>4204813.9349784479</v>
      </c>
      <c r="EK20" s="40">
        <f t="shared" ca="1" si="121"/>
        <v>4204813.9349784479</v>
      </c>
      <c r="EL20" s="40">
        <f t="shared" ca="1" si="121"/>
        <v>4204813.9349784479</v>
      </c>
      <c r="EM20" s="40">
        <f t="shared" ca="1" si="121"/>
        <v>4204813.9349784479</v>
      </c>
      <c r="EN20" s="40">
        <f t="shared" ca="1" si="121"/>
        <v>4204813.9349784479</v>
      </c>
      <c r="EO20" s="40">
        <f t="shared" ca="1" si="121"/>
        <v>4204813.9349784479</v>
      </c>
      <c r="EP20" s="40">
        <f t="shared" ca="1" si="121"/>
        <v>4204813.9349784479</v>
      </c>
      <c r="EQ20" s="40">
        <f t="shared" ca="1" si="121"/>
        <v>4204813.9349784479</v>
      </c>
      <c r="ER20" s="40">
        <f t="shared" ca="1" si="121"/>
        <v>4204813.9349784479</v>
      </c>
      <c r="ES20" s="40">
        <f t="shared" ca="1" si="121"/>
        <v>4204813.9349784479</v>
      </c>
      <c r="ET20" s="40">
        <f t="shared" ca="1" si="121"/>
        <v>4204813.9349784479</v>
      </c>
      <c r="EU20" s="40">
        <f t="shared" ca="1" si="121"/>
        <v>4204813.9349784479</v>
      </c>
      <c r="EV20" s="40">
        <f t="shared" ca="1" si="121"/>
        <v>4204813.9349784479</v>
      </c>
      <c r="EW20" s="40">
        <f t="shared" ca="1" si="121"/>
        <v>4204813.9349784479</v>
      </c>
      <c r="EX20" s="40">
        <f t="shared" ca="1" si="121"/>
        <v>4204813.9349784479</v>
      </c>
      <c r="EY20" s="40">
        <f t="shared" ca="1" si="121"/>
        <v>4204813.9349784479</v>
      </c>
      <c r="EZ20" s="40">
        <f t="shared" ca="1" si="121"/>
        <v>4204813.9349784479</v>
      </c>
      <c r="FA20" s="40">
        <f t="shared" ca="1" si="121"/>
        <v>4204813.9349784479</v>
      </c>
      <c r="FB20" s="40">
        <f t="shared" ca="1" si="121"/>
        <v>4204813.9349784479</v>
      </c>
      <c r="FC20" s="40">
        <f t="shared" ca="1" si="121"/>
        <v>4204813.9349784479</v>
      </c>
      <c r="FD20" s="40">
        <f t="shared" ca="1" si="121"/>
        <v>4204813.9349784479</v>
      </c>
      <c r="FE20" s="40">
        <f t="shared" ca="1" si="121"/>
        <v>4204813.9349784479</v>
      </c>
      <c r="FF20" s="40">
        <f t="shared" ca="1" si="121"/>
        <v>4204813.9349784479</v>
      </c>
      <c r="FG20" s="40">
        <f t="shared" ca="1" si="121"/>
        <v>4204813.9349784479</v>
      </c>
      <c r="FH20" s="40">
        <f t="shared" ca="1" si="121"/>
        <v>4204813.9349784479</v>
      </c>
      <c r="FI20" s="40">
        <f t="shared" ca="1" si="121"/>
        <v>4204813.9349784479</v>
      </c>
      <c r="FJ20" s="40">
        <f t="shared" ca="1" si="121"/>
        <v>4204813.9349784479</v>
      </c>
      <c r="FK20" s="40">
        <f t="shared" ca="1" si="121"/>
        <v>4204813.9349784479</v>
      </c>
      <c r="FL20" s="40">
        <f t="shared" ca="1" si="121"/>
        <v>4204813.9349784479</v>
      </c>
      <c r="FM20" s="40">
        <f t="shared" ca="1" si="121"/>
        <v>4204813.9349784479</v>
      </c>
      <c r="FN20" s="40">
        <f t="shared" ca="1" si="121"/>
        <v>4204813.9349784479</v>
      </c>
      <c r="FO20" s="40">
        <f t="shared" ca="1" si="121"/>
        <v>4204813.9349784479</v>
      </c>
      <c r="FP20" s="40">
        <f t="shared" ca="1" si="121"/>
        <v>4204813.9349784479</v>
      </c>
      <c r="FQ20" s="40">
        <f t="shared" ca="1" si="121"/>
        <v>4204813.9349784479</v>
      </c>
      <c r="FR20" s="40">
        <f t="shared" ca="1" si="121"/>
        <v>4204813.9349784479</v>
      </c>
      <c r="FS20" s="40">
        <f t="shared" ca="1" si="121"/>
        <v>4204813.9349784479</v>
      </c>
      <c r="FT20" s="40">
        <f t="shared" ca="1" si="121"/>
        <v>4204813.9349784479</v>
      </c>
      <c r="FU20" s="40">
        <f t="shared" ca="1" si="121"/>
        <v>4204813.9349784479</v>
      </c>
      <c r="FV20" s="40">
        <f t="shared" ca="1" si="121"/>
        <v>4204813.9349784479</v>
      </c>
      <c r="FW20" s="40">
        <f t="shared" ca="1" si="121"/>
        <v>4204813.9349784479</v>
      </c>
      <c r="FX20" s="40">
        <f t="shared" ca="1" si="121"/>
        <v>4204813.9349784479</v>
      </c>
      <c r="FY20" s="40">
        <f t="shared" ca="1" si="121"/>
        <v>4204813.9349784479</v>
      </c>
      <c r="FZ20" s="40">
        <f t="shared" ca="1" si="121"/>
        <v>4204813.9349784479</v>
      </c>
      <c r="GA20" s="40">
        <f t="shared" ca="1" si="121"/>
        <v>4204813.9349784479</v>
      </c>
      <c r="GB20" s="40">
        <f t="shared" ca="1" si="121"/>
        <v>4204813.9349784479</v>
      </c>
      <c r="GC20" s="40">
        <f t="shared" ca="1" si="121"/>
        <v>4204813.9349784479</v>
      </c>
      <c r="GD20" s="40">
        <f t="shared" ca="1" si="121"/>
        <v>4204813.9349784479</v>
      </c>
      <c r="GE20" s="40">
        <f t="shared" ca="1" si="121"/>
        <v>4204813.9349784479</v>
      </c>
      <c r="GF20" s="40">
        <f t="shared" ca="1" si="121"/>
        <v>4204813.9349784479</v>
      </c>
      <c r="GG20" s="40">
        <f t="shared" ca="1" si="121"/>
        <v>4204813.9349784479</v>
      </c>
      <c r="GH20" s="40">
        <f t="shared" ca="1" si="121"/>
        <v>4204813.9349784479</v>
      </c>
      <c r="GI20" s="40">
        <f t="shared" ca="1" si="121"/>
        <v>4204813.9349784479</v>
      </c>
      <c r="GJ20" s="40">
        <f t="shared" ca="1" si="121"/>
        <v>4204813.9349784479</v>
      </c>
      <c r="GK20" s="40">
        <f t="shared" ca="1" si="121"/>
        <v>4204813.9349784479</v>
      </c>
      <c r="GL20" s="40">
        <f t="shared" ca="1" si="121"/>
        <v>4204813.9349784479</v>
      </c>
      <c r="GM20" s="40">
        <f t="shared" ca="1" si="121"/>
        <v>4204813.9349784479</v>
      </c>
      <c r="GN20" s="40">
        <f t="shared" ca="1" si="121"/>
        <v>4204813.9349784479</v>
      </c>
      <c r="GO20" s="40">
        <f t="shared" ca="1" si="121"/>
        <v>4204813.9349784479</v>
      </c>
      <c r="GP20" s="40">
        <f t="shared" ca="1" si="121"/>
        <v>4204813.9349784479</v>
      </c>
      <c r="GQ20" s="40">
        <f t="shared" ca="1" si="121"/>
        <v>4204813.9349784479</v>
      </c>
      <c r="GR20" s="40">
        <f t="shared" ref="GR20:IN20" ca="1" si="122">GR9*$C$15</f>
        <v>4204813.9349784479</v>
      </c>
      <c r="GS20" s="40">
        <f t="shared" ca="1" si="122"/>
        <v>4204813.9349784479</v>
      </c>
      <c r="GT20" s="40">
        <f t="shared" ca="1" si="122"/>
        <v>4204813.9349784479</v>
      </c>
      <c r="GU20" s="40">
        <f t="shared" ca="1" si="122"/>
        <v>4204813.9349784479</v>
      </c>
      <c r="GV20" s="40">
        <f t="shared" ca="1" si="122"/>
        <v>4204813.9349784479</v>
      </c>
      <c r="GW20" s="40">
        <f t="shared" ca="1" si="122"/>
        <v>4204813.9349784479</v>
      </c>
      <c r="GX20" s="40">
        <f t="shared" ca="1" si="122"/>
        <v>4204813.9349784479</v>
      </c>
      <c r="GY20" s="40">
        <f t="shared" ca="1" si="122"/>
        <v>4204813.9349784479</v>
      </c>
      <c r="GZ20" s="40">
        <f t="shared" ca="1" si="122"/>
        <v>4204813.9349784479</v>
      </c>
      <c r="HA20" s="40">
        <f t="shared" ca="1" si="122"/>
        <v>4204813.9349784479</v>
      </c>
      <c r="HB20" s="40">
        <f t="shared" ca="1" si="122"/>
        <v>4204813.9349784479</v>
      </c>
      <c r="HC20" s="40">
        <f t="shared" ca="1" si="122"/>
        <v>4204813.9349784479</v>
      </c>
      <c r="HD20" s="40">
        <f t="shared" ca="1" si="122"/>
        <v>4204813.9349784479</v>
      </c>
      <c r="HE20" s="40">
        <f t="shared" ca="1" si="122"/>
        <v>4204813.9349784479</v>
      </c>
      <c r="HF20" s="40">
        <f t="shared" ca="1" si="122"/>
        <v>4204813.9349784479</v>
      </c>
      <c r="HG20" s="40">
        <f t="shared" ca="1" si="122"/>
        <v>4204813.9349784479</v>
      </c>
      <c r="HH20" s="40">
        <f t="shared" ca="1" si="122"/>
        <v>4204813.9349784479</v>
      </c>
      <c r="HI20" s="40">
        <f t="shared" ca="1" si="122"/>
        <v>4204813.9349784479</v>
      </c>
      <c r="HJ20" s="40">
        <f t="shared" ca="1" si="122"/>
        <v>4204813.9349784479</v>
      </c>
      <c r="HK20" s="40">
        <f t="shared" ca="1" si="122"/>
        <v>4204813.9349784479</v>
      </c>
      <c r="HL20" s="40">
        <f t="shared" ca="1" si="122"/>
        <v>4204813.9349784479</v>
      </c>
      <c r="HM20" s="40">
        <f t="shared" ca="1" si="122"/>
        <v>4204813.9349784479</v>
      </c>
      <c r="HN20" s="40">
        <f t="shared" ca="1" si="122"/>
        <v>4204813.9349784479</v>
      </c>
      <c r="HO20" s="40">
        <f t="shared" ca="1" si="122"/>
        <v>4204813.9349784479</v>
      </c>
      <c r="HP20" s="40">
        <f t="shared" ca="1" si="122"/>
        <v>4204813.9349784479</v>
      </c>
      <c r="HQ20" s="40">
        <f t="shared" ca="1" si="122"/>
        <v>4204813.9349784479</v>
      </c>
      <c r="HR20" s="40">
        <f t="shared" ca="1" si="122"/>
        <v>4204813.9349784479</v>
      </c>
      <c r="HS20" s="40">
        <f t="shared" ca="1" si="122"/>
        <v>4204813.9349784479</v>
      </c>
      <c r="HT20" s="40">
        <f t="shared" ca="1" si="122"/>
        <v>4204813.9349784479</v>
      </c>
      <c r="HU20" s="40">
        <f t="shared" ca="1" si="122"/>
        <v>4204813.9349784479</v>
      </c>
      <c r="HV20" s="40">
        <f t="shared" ca="1" si="122"/>
        <v>4204813.9349784479</v>
      </c>
      <c r="HW20" s="40">
        <f t="shared" ca="1" si="122"/>
        <v>4204813.9349784479</v>
      </c>
      <c r="HX20" s="40">
        <f t="shared" ca="1" si="122"/>
        <v>4204813.9349784479</v>
      </c>
      <c r="HY20" s="40">
        <f t="shared" ca="1" si="122"/>
        <v>4204813.9349784479</v>
      </c>
      <c r="HZ20" s="40">
        <f t="shared" ca="1" si="122"/>
        <v>4204813.9349784479</v>
      </c>
      <c r="IA20" s="40">
        <f t="shared" ca="1" si="122"/>
        <v>4204813.9349784479</v>
      </c>
      <c r="IB20" s="40">
        <f t="shared" ca="1" si="122"/>
        <v>4204813.9349784479</v>
      </c>
      <c r="IC20" s="40">
        <f t="shared" ca="1" si="122"/>
        <v>4204813.9349784479</v>
      </c>
      <c r="ID20" s="40">
        <f t="shared" ca="1" si="122"/>
        <v>4204813.9349784479</v>
      </c>
      <c r="IE20" s="40">
        <f t="shared" ca="1" si="122"/>
        <v>4204813.9349784479</v>
      </c>
      <c r="IF20" s="40">
        <f t="shared" ca="1" si="122"/>
        <v>4204813.9349784479</v>
      </c>
      <c r="IG20" s="40">
        <f t="shared" ca="1" si="122"/>
        <v>4204813.9349784479</v>
      </c>
      <c r="IH20" s="40">
        <f t="shared" ca="1" si="122"/>
        <v>4204813.9349784479</v>
      </c>
      <c r="II20" s="40">
        <f t="shared" ca="1" si="122"/>
        <v>4204813.9349784479</v>
      </c>
      <c r="IJ20" s="40">
        <f t="shared" ca="1" si="122"/>
        <v>4204813.9349784479</v>
      </c>
      <c r="IK20" s="40">
        <f t="shared" ca="1" si="122"/>
        <v>4204813.9349784479</v>
      </c>
      <c r="IL20" s="40">
        <f t="shared" ca="1" si="122"/>
        <v>4204813.9349784479</v>
      </c>
      <c r="IM20" s="40">
        <f t="shared" ca="1" si="122"/>
        <v>4204813.9349784479</v>
      </c>
      <c r="IN20" s="40">
        <f t="shared" ca="1" si="122"/>
        <v>4204813.9349784479</v>
      </c>
    </row>
    <row r="21" spans="2:248" x14ac:dyDescent="0.3">
      <c r="B21" s="19" t="s">
        <v>491</v>
      </c>
      <c r="C21" s="40">
        <f>C20*C19</f>
        <v>132401060.40000001</v>
      </c>
      <c r="F21" s="19" t="s">
        <v>493</v>
      </c>
      <c r="G21" s="40">
        <f>G10*$C$15</f>
        <v>3.7474627682623667</v>
      </c>
      <c r="H21" s="40">
        <f t="shared" ref="H21:BS22" ca="1" si="123">H10*$C$15</f>
        <v>4.7319656989075645</v>
      </c>
      <c r="I21" s="40">
        <f t="shared" ca="1" si="123"/>
        <v>6.8597623554633147</v>
      </c>
      <c r="J21" s="40">
        <f t="shared" ca="1" si="123"/>
        <v>8.2253631947453645</v>
      </c>
      <c r="K21" s="40">
        <f t="shared" ca="1" si="123"/>
        <v>12.576230985016078</v>
      </c>
      <c r="L21" s="40">
        <f t="shared" ca="1" si="123"/>
        <v>16.133144798960018</v>
      </c>
      <c r="M21" s="40">
        <f t="shared" ca="1" si="123"/>
        <v>18.165666978356555</v>
      </c>
      <c r="N21" s="40">
        <f t="shared" ca="1" si="123"/>
        <v>29.916185827992791</v>
      </c>
      <c r="O21" s="40">
        <f t="shared" ca="1" si="123"/>
        <v>39.888247770657053</v>
      </c>
      <c r="P21" s="40">
        <f t="shared" ca="1" si="123"/>
        <v>51.892831892717858</v>
      </c>
      <c r="Q21" s="40">
        <f t="shared" ca="1" si="123"/>
        <v>68.057734850730938</v>
      </c>
      <c r="R21" s="40">
        <f t="shared" ca="1" si="123"/>
        <v>77.743973361917568</v>
      </c>
      <c r="S21" s="40">
        <f t="shared" ca="1" si="123"/>
        <v>103.75390562638265</v>
      </c>
      <c r="T21" s="40">
        <f t="shared" ca="1" si="123"/>
        <v>135.7661299518781</v>
      </c>
      <c r="U21" s="40">
        <f t="shared" ca="1" si="123"/>
        <v>191.24763381759297</v>
      </c>
      <c r="V21" s="40">
        <f t="shared" ca="1" si="123"/>
        <v>226.84853011608547</v>
      </c>
      <c r="W21" s="40">
        <f t="shared" ca="1" si="123"/>
        <v>408.66399069491638</v>
      </c>
      <c r="X21" s="40">
        <f t="shared" ca="1" si="123"/>
        <v>578.98299769653568</v>
      </c>
      <c r="Y21" s="40">
        <f t="shared" ca="1" si="123"/>
        <v>758.4165963463862</v>
      </c>
      <c r="Z21" s="40">
        <f t="shared" ca="1" si="123"/>
        <v>994.03037836111923</v>
      </c>
      <c r="AA21" s="40">
        <f t="shared" ca="1" si="123"/>
        <v>1311.2626291422446</v>
      </c>
      <c r="AB21" s="40">
        <f t="shared" ca="1" si="123"/>
        <v>1442.3888920564691</v>
      </c>
      <c r="AC21" s="40">
        <f t="shared" ca="1" si="123"/>
        <v>1586.6277812621158</v>
      </c>
      <c r="AD21" s="40">
        <f t="shared" ca="1" si="123"/>
        <v>1745.2905593883277</v>
      </c>
      <c r="AE21" s="40">
        <f t="shared" ca="1" si="123"/>
        <v>1919.8196153271606</v>
      </c>
      <c r="AF21" s="40">
        <f t="shared" ca="1" si="123"/>
        <v>2111.8015768598771</v>
      </c>
      <c r="AG21" s="40">
        <f t="shared" ca="1" si="123"/>
        <v>2322.981734545865</v>
      </c>
      <c r="AH21" s="40">
        <f t="shared" ca="1" si="123"/>
        <v>2555.2799080004515</v>
      </c>
      <c r="AI21" s="40">
        <f t="shared" ca="1" si="123"/>
        <v>2810.8078988004968</v>
      </c>
      <c r="AJ21" s="40">
        <f t="shared" ca="1" si="123"/>
        <v>3091.8886886805467</v>
      </c>
      <c r="AK21" s="40">
        <f t="shared" ca="1" si="123"/>
        <v>3401.0775575486018</v>
      </c>
      <c r="AL21" s="40">
        <f t="shared" ca="1" si="123"/>
        <v>3741.185313303462</v>
      </c>
      <c r="AM21" s="40">
        <f t="shared" ca="1" si="123"/>
        <v>4115.3038446338087</v>
      </c>
      <c r="AN21" s="40">
        <f t="shared" ca="1" si="123"/>
        <v>4526.8342290971905</v>
      </c>
      <c r="AO21" s="40">
        <f t="shared" ca="1" si="123"/>
        <v>4979.5176520069099</v>
      </c>
      <c r="AP21" s="40">
        <f t="shared" ca="1" si="123"/>
        <v>5477.4694172076006</v>
      </c>
      <c r="AQ21" s="40">
        <f t="shared" ca="1" si="123"/>
        <v>6025.2163589283618</v>
      </c>
      <c r="AR21" s="40">
        <f t="shared" ca="1" si="123"/>
        <v>6627.7379948211992</v>
      </c>
      <c r="AS21" s="40">
        <f t="shared" ca="1" si="123"/>
        <v>7290.5117943033201</v>
      </c>
      <c r="AT21" s="40">
        <f t="shared" ca="1" si="123"/>
        <v>8019.5629737336531</v>
      </c>
      <c r="AU21" s="40">
        <f t="shared" ca="1" si="123"/>
        <v>8821.5192711070194</v>
      </c>
      <c r="AV21" s="40">
        <f t="shared" ca="1" si="123"/>
        <v>9703.6711982177203</v>
      </c>
      <c r="AW21" s="40">
        <f t="shared" ca="1" si="123"/>
        <v>10674.038318039495</v>
      </c>
      <c r="AX21" s="40">
        <f t="shared" ca="1" si="123"/>
        <v>11741.442149843446</v>
      </c>
      <c r="AY21" s="40">
        <f t="shared" ca="1" si="123"/>
        <v>12915.586364827792</v>
      </c>
      <c r="AZ21" s="40">
        <f t="shared" ca="1" si="123"/>
        <v>14207.145001310571</v>
      </c>
      <c r="BA21" s="40">
        <f t="shared" ca="1" si="123"/>
        <v>15627.85950144163</v>
      </c>
      <c r="BB21" s="40">
        <f t="shared" ca="1" si="123"/>
        <v>17190.645451585795</v>
      </c>
      <c r="BC21" s="40">
        <f t="shared" ca="1" si="123"/>
        <v>18909.709996744379</v>
      </c>
      <c r="BD21" s="40">
        <f t="shared" ca="1" si="123"/>
        <v>20800.680996418818</v>
      </c>
      <c r="BE21" s="40">
        <f t="shared" ca="1" si="123"/>
        <v>22880.749096060699</v>
      </c>
      <c r="BF21" s="40">
        <f t="shared" ca="1" si="123"/>
        <v>25168.824005666775</v>
      </c>
      <c r="BG21" s="40">
        <f t="shared" ca="1" si="123"/>
        <v>27685.706406233454</v>
      </c>
      <c r="BH21" s="40">
        <f t="shared" ca="1" si="123"/>
        <v>30454.277046856801</v>
      </c>
      <c r="BI21" s="40">
        <f t="shared" ca="1" si="123"/>
        <v>33499.704751542486</v>
      </c>
      <c r="BJ21" s="40">
        <f t="shared" ca="1" si="123"/>
        <v>36849.675226696738</v>
      </c>
      <c r="BK21" s="40">
        <f t="shared" ca="1" si="123"/>
        <v>40534.642749366416</v>
      </c>
      <c r="BL21" s="40">
        <f t="shared" ca="1" si="123"/>
        <v>44588.107024303055</v>
      </c>
      <c r="BM21" s="40">
        <f t="shared" ca="1" si="123"/>
        <v>49046.917726733365</v>
      </c>
      <c r="BN21" s="40">
        <f t="shared" ca="1" si="123"/>
        <v>53951.60949940671</v>
      </c>
      <c r="BO21" s="40">
        <f t="shared" ca="1" si="123"/>
        <v>59346.770449347387</v>
      </c>
      <c r="BP21" s="40">
        <f t="shared" ca="1" si="123"/>
        <v>65281.447494282133</v>
      </c>
      <c r="BQ21" s="40">
        <f t="shared" ca="1" si="123"/>
        <v>71809.592243710344</v>
      </c>
      <c r="BR21" s="40">
        <f t="shared" ca="1" si="123"/>
        <v>78990.551468081394</v>
      </c>
      <c r="BS21" s="40">
        <f t="shared" ca="1" si="123"/>
        <v>86889.606614889533</v>
      </c>
      <c r="BT21" s="40">
        <f t="shared" ref="BT21:EE23" ca="1" si="124">BT10*$C$15</f>
        <v>95578.567276378497</v>
      </c>
      <c r="BU21" s="40">
        <f t="shared" ca="1" si="124"/>
        <v>105136.42400401636</v>
      </c>
      <c r="BV21" s="40">
        <f t="shared" ca="1" si="124"/>
        <v>115650.066404418</v>
      </c>
      <c r="BW21" s="40">
        <f t="shared" ca="1" si="124"/>
        <v>127215.07304485982</v>
      </c>
      <c r="BX21" s="40">
        <f t="shared" ca="1" si="124"/>
        <v>139936.58034934581</v>
      </c>
      <c r="BY21" s="40">
        <f t="shared" ca="1" si="124"/>
        <v>153930.23838428038</v>
      </c>
      <c r="BZ21" s="40">
        <f t="shared" ca="1" si="124"/>
        <v>169323.26222270844</v>
      </c>
      <c r="CA21" s="40">
        <f t="shared" ca="1" si="124"/>
        <v>186255.58844497931</v>
      </c>
      <c r="CB21" s="40">
        <f t="shared" ca="1" si="124"/>
        <v>204881.14728947726</v>
      </c>
      <c r="CC21" s="40">
        <f t="shared" ca="1" si="124"/>
        <v>225369.26201842498</v>
      </c>
      <c r="CD21" s="40">
        <f t="shared" ca="1" si="124"/>
        <v>247906.1882202675</v>
      </c>
      <c r="CE21" s="40">
        <f t="shared" ca="1" si="124"/>
        <v>272696.8070422943</v>
      </c>
      <c r="CF21" s="40">
        <f t="shared" ca="1" si="124"/>
        <v>299966.48774652369</v>
      </c>
      <c r="CG21" s="40">
        <f t="shared" ca="1" si="124"/>
        <v>329963.13652117614</v>
      </c>
      <c r="CH21" s="40">
        <f t="shared" ca="1" si="124"/>
        <v>362959.45017329376</v>
      </c>
      <c r="CI21" s="40">
        <f t="shared" ca="1" si="124"/>
        <v>399255.39519062318</v>
      </c>
      <c r="CJ21" s="40">
        <f t="shared" ca="1" si="124"/>
        <v>439180.93470968551</v>
      </c>
      <c r="CK21" s="40">
        <f t="shared" ca="1" si="124"/>
        <v>483099.0281806541</v>
      </c>
      <c r="CL21" s="40">
        <f t="shared" ca="1" si="124"/>
        <v>531408.93099871953</v>
      </c>
      <c r="CM21" s="40">
        <f t="shared" ca="1" si="124"/>
        <v>584549.82409859158</v>
      </c>
      <c r="CN21" s="40">
        <f t="shared" ca="1" si="124"/>
        <v>643004.80650845077</v>
      </c>
      <c r="CO21" s="40">
        <f t="shared" ca="1" si="124"/>
        <v>707305.28715929599</v>
      </c>
      <c r="CP21" s="40">
        <f t="shared" ca="1" si="124"/>
        <v>778035.8158752257</v>
      </c>
      <c r="CQ21" s="40">
        <f t="shared" ca="1" si="124"/>
        <v>855839.39746274834</v>
      </c>
      <c r="CR21" s="40">
        <f t="shared" ca="1" si="124"/>
        <v>941423.3372090233</v>
      </c>
      <c r="CS21" s="40">
        <f t="shared" ca="1" si="124"/>
        <v>1035565.6709299257</v>
      </c>
      <c r="CT21" s="40">
        <f t="shared" ca="1" si="124"/>
        <v>1139122.2380229183</v>
      </c>
      <c r="CU21" s="40">
        <f t="shared" ca="1" si="124"/>
        <v>1253034.4618252101</v>
      </c>
      <c r="CV21" s="40">
        <f t="shared" ca="1" si="124"/>
        <v>1378337.9080077314</v>
      </c>
      <c r="CW21" s="40">
        <f t="shared" ca="1" si="124"/>
        <v>1516171.6988085047</v>
      </c>
      <c r="CX21" s="40">
        <f t="shared" ca="1" si="124"/>
        <v>1667788.8686893554</v>
      </c>
      <c r="CY21" s="40">
        <f t="shared" ca="1" si="124"/>
        <v>1834567.755558291</v>
      </c>
      <c r="CZ21" s="40">
        <f t="shared" ca="1" si="124"/>
        <v>2018024.5311141205</v>
      </c>
      <c r="DA21" s="40">
        <f t="shared" ca="1" si="124"/>
        <v>2219826.9842255325</v>
      </c>
      <c r="DB21" s="40">
        <f t="shared" ca="1" si="124"/>
        <v>2441809.682648086</v>
      </c>
      <c r="DC21" s="40">
        <f t="shared" ca="1" si="124"/>
        <v>2685990.6509128949</v>
      </c>
      <c r="DD21" s="40">
        <f t="shared" ca="1" si="124"/>
        <v>2954589.7160041844</v>
      </c>
      <c r="DE21" s="40">
        <f t="shared" ca="1" si="124"/>
        <v>3250048.6876046034</v>
      </c>
      <c r="DF21" s="40">
        <f t="shared" ca="1" si="124"/>
        <v>3575053.5563650639</v>
      </c>
      <c r="DG21" s="40">
        <f t="shared" ca="1" si="124"/>
        <v>3932558.9120015702</v>
      </c>
      <c r="DH21" s="40">
        <f t="shared" ca="1" si="124"/>
        <v>4204813.9349784479</v>
      </c>
      <c r="DI21" s="40">
        <f t="shared" ca="1" si="124"/>
        <v>4204813.9349784479</v>
      </c>
      <c r="DJ21" s="40">
        <f t="shared" ca="1" si="124"/>
        <v>4204813.9349784479</v>
      </c>
      <c r="DK21" s="40">
        <f t="shared" ca="1" si="124"/>
        <v>4204813.9349784479</v>
      </c>
      <c r="DL21" s="40">
        <f t="shared" ca="1" si="124"/>
        <v>4204813.9349784479</v>
      </c>
      <c r="DM21" s="40">
        <f t="shared" ca="1" si="124"/>
        <v>4204813.9349784479</v>
      </c>
      <c r="DN21" s="40">
        <f t="shared" ca="1" si="124"/>
        <v>4204813.9349784479</v>
      </c>
      <c r="DO21" s="40">
        <f t="shared" ca="1" si="124"/>
        <v>4204813.9349784479</v>
      </c>
      <c r="DP21" s="40">
        <f t="shared" ca="1" si="124"/>
        <v>4204813.9349784479</v>
      </c>
      <c r="DQ21" s="40">
        <f t="shared" ca="1" si="124"/>
        <v>4204813.9349784479</v>
      </c>
      <c r="DR21" s="40">
        <f t="shared" ca="1" si="124"/>
        <v>4204813.9349784479</v>
      </c>
      <c r="DS21" s="40">
        <f t="shared" ca="1" si="124"/>
        <v>4204813.9349784479</v>
      </c>
      <c r="DT21" s="40">
        <f t="shared" ca="1" si="124"/>
        <v>4204813.9349784479</v>
      </c>
      <c r="DU21" s="40">
        <f t="shared" ca="1" si="124"/>
        <v>4204813.9349784479</v>
      </c>
      <c r="DV21" s="40">
        <f t="shared" ca="1" si="124"/>
        <v>4204813.9349784479</v>
      </c>
      <c r="DW21" s="40">
        <f t="shared" ca="1" si="124"/>
        <v>4204813.9349784479</v>
      </c>
      <c r="DX21" s="40">
        <f t="shared" ca="1" si="124"/>
        <v>4204813.9349784479</v>
      </c>
      <c r="DY21" s="40">
        <f t="shared" ca="1" si="124"/>
        <v>4204813.9349784479</v>
      </c>
      <c r="DZ21" s="40">
        <f t="shared" ca="1" si="124"/>
        <v>4204813.9349784479</v>
      </c>
      <c r="EA21" s="40">
        <f t="shared" ca="1" si="124"/>
        <v>4204813.9349784479</v>
      </c>
      <c r="EB21" s="40">
        <f t="shared" ca="1" si="124"/>
        <v>4204813.9349784479</v>
      </c>
      <c r="EC21" s="40">
        <f t="shared" ca="1" si="124"/>
        <v>4204813.9349784479</v>
      </c>
      <c r="ED21" s="40">
        <f t="shared" ca="1" si="124"/>
        <v>4204813.9349784479</v>
      </c>
      <c r="EE21" s="40">
        <f t="shared" ca="1" si="124"/>
        <v>4204813.9349784479</v>
      </c>
      <c r="EF21" s="40">
        <f t="shared" ref="EF21:GQ23" ca="1" si="125">EF10*$C$15</f>
        <v>4204813.9349784479</v>
      </c>
      <c r="EG21" s="40">
        <f t="shared" ca="1" si="125"/>
        <v>4204813.9349784479</v>
      </c>
      <c r="EH21" s="40">
        <f t="shared" ca="1" si="125"/>
        <v>4204813.9349784479</v>
      </c>
      <c r="EI21" s="40">
        <f t="shared" ca="1" si="125"/>
        <v>4204813.9349784479</v>
      </c>
      <c r="EJ21" s="40">
        <f t="shared" ca="1" si="125"/>
        <v>4204813.9349784479</v>
      </c>
      <c r="EK21" s="40">
        <f t="shared" ca="1" si="125"/>
        <v>4204813.9349784479</v>
      </c>
      <c r="EL21" s="40">
        <f t="shared" ca="1" si="125"/>
        <v>4204813.9349784479</v>
      </c>
      <c r="EM21" s="40">
        <f t="shared" ca="1" si="125"/>
        <v>4204813.9349784479</v>
      </c>
      <c r="EN21" s="40">
        <f t="shared" ca="1" si="125"/>
        <v>4204813.9349784479</v>
      </c>
      <c r="EO21" s="40">
        <f t="shared" ca="1" si="125"/>
        <v>4204813.9349784479</v>
      </c>
      <c r="EP21" s="40">
        <f t="shared" ca="1" si="125"/>
        <v>4204813.9349784479</v>
      </c>
      <c r="EQ21" s="40">
        <f t="shared" ca="1" si="125"/>
        <v>4204813.9349784479</v>
      </c>
      <c r="ER21" s="40">
        <f t="shared" ca="1" si="125"/>
        <v>4204813.9349784479</v>
      </c>
      <c r="ES21" s="40">
        <f t="shared" ca="1" si="125"/>
        <v>4204813.9349784479</v>
      </c>
      <c r="ET21" s="40">
        <f t="shared" ca="1" si="125"/>
        <v>4204813.9349784479</v>
      </c>
      <c r="EU21" s="40">
        <f t="shared" ca="1" si="125"/>
        <v>4204813.9349784479</v>
      </c>
      <c r="EV21" s="40">
        <f t="shared" ca="1" si="125"/>
        <v>4204813.9349784479</v>
      </c>
      <c r="EW21" s="40">
        <f t="shared" ca="1" si="125"/>
        <v>4204813.9349784479</v>
      </c>
      <c r="EX21" s="40">
        <f t="shared" ca="1" si="125"/>
        <v>4204813.9349784479</v>
      </c>
      <c r="EY21" s="40">
        <f t="shared" ca="1" si="125"/>
        <v>4204813.9349784479</v>
      </c>
      <c r="EZ21" s="40">
        <f t="shared" ca="1" si="125"/>
        <v>4204813.9349784479</v>
      </c>
      <c r="FA21" s="40">
        <f t="shared" ca="1" si="125"/>
        <v>4204813.9349784479</v>
      </c>
      <c r="FB21" s="40">
        <f t="shared" ca="1" si="125"/>
        <v>4204813.9349784479</v>
      </c>
      <c r="FC21" s="40">
        <f t="shared" ca="1" si="125"/>
        <v>4204813.9349784479</v>
      </c>
      <c r="FD21" s="40">
        <f t="shared" ca="1" si="125"/>
        <v>4204813.9349784479</v>
      </c>
      <c r="FE21" s="40">
        <f t="shared" ca="1" si="125"/>
        <v>4204813.9349784479</v>
      </c>
      <c r="FF21" s="40">
        <f t="shared" ca="1" si="125"/>
        <v>4204813.9349784479</v>
      </c>
      <c r="FG21" s="40">
        <f t="shared" ca="1" si="125"/>
        <v>4204813.9349784479</v>
      </c>
      <c r="FH21" s="40">
        <f t="shared" ca="1" si="125"/>
        <v>4204813.9349784479</v>
      </c>
      <c r="FI21" s="40">
        <f t="shared" ca="1" si="125"/>
        <v>4204813.9349784479</v>
      </c>
      <c r="FJ21" s="40">
        <f t="shared" ca="1" si="125"/>
        <v>4204813.9349784479</v>
      </c>
      <c r="FK21" s="40">
        <f t="shared" ca="1" si="125"/>
        <v>4204813.9349784479</v>
      </c>
      <c r="FL21" s="40">
        <f t="shared" ca="1" si="125"/>
        <v>4204813.9349784479</v>
      </c>
      <c r="FM21" s="40">
        <f t="shared" ca="1" si="125"/>
        <v>4204813.9349784479</v>
      </c>
      <c r="FN21" s="40">
        <f t="shared" ca="1" si="125"/>
        <v>4204813.9349784479</v>
      </c>
      <c r="FO21" s="40">
        <f t="shared" ca="1" si="125"/>
        <v>4204813.9349784479</v>
      </c>
      <c r="FP21" s="40">
        <f t="shared" ca="1" si="125"/>
        <v>4204813.9349784479</v>
      </c>
      <c r="FQ21" s="40">
        <f t="shared" ca="1" si="125"/>
        <v>4204813.9349784479</v>
      </c>
      <c r="FR21" s="40">
        <f t="shared" ca="1" si="125"/>
        <v>4204813.9349784479</v>
      </c>
      <c r="FS21" s="40">
        <f t="shared" ca="1" si="125"/>
        <v>4204813.9349784479</v>
      </c>
      <c r="FT21" s="40">
        <f t="shared" ca="1" si="125"/>
        <v>4204813.9349784479</v>
      </c>
      <c r="FU21" s="40">
        <f t="shared" ca="1" si="125"/>
        <v>4204813.9349784479</v>
      </c>
      <c r="FV21" s="40">
        <f t="shared" ca="1" si="125"/>
        <v>4204813.9349784479</v>
      </c>
      <c r="FW21" s="40">
        <f t="shared" ca="1" si="125"/>
        <v>4204813.9349784479</v>
      </c>
      <c r="FX21" s="40">
        <f t="shared" ca="1" si="125"/>
        <v>4204813.9349784479</v>
      </c>
      <c r="FY21" s="40">
        <f t="shared" ca="1" si="125"/>
        <v>4204813.9349784479</v>
      </c>
      <c r="FZ21" s="40">
        <f t="shared" ca="1" si="125"/>
        <v>4204813.9349784479</v>
      </c>
      <c r="GA21" s="40">
        <f t="shared" ca="1" si="125"/>
        <v>4204813.9349784479</v>
      </c>
      <c r="GB21" s="40">
        <f t="shared" ca="1" si="125"/>
        <v>4204813.9349784479</v>
      </c>
      <c r="GC21" s="40">
        <f t="shared" ca="1" si="125"/>
        <v>4204813.9349784479</v>
      </c>
      <c r="GD21" s="40">
        <f t="shared" ca="1" si="125"/>
        <v>4204813.9349784479</v>
      </c>
      <c r="GE21" s="40">
        <f t="shared" ca="1" si="125"/>
        <v>4204813.9349784479</v>
      </c>
      <c r="GF21" s="40">
        <f t="shared" ca="1" si="125"/>
        <v>4204813.9349784479</v>
      </c>
      <c r="GG21" s="40">
        <f t="shared" ca="1" si="125"/>
        <v>4204813.9349784479</v>
      </c>
      <c r="GH21" s="40">
        <f t="shared" ca="1" si="125"/>
        <v>4204813.9349784479</v>
      </c>
      <c r="GI21" s="40">
        <f t="shared" ca="1" si="125"/>
        <v>4204813.9349784479</v>
      </c>
      <c r="GJ21" s="40">
        <f t="shared" ca="1" si="125"/>
        <v>4204813.9349784479</v>
      </c>
      <c r="GK21" s="40">
        <f t="shared" ca="1" si="125"/>
        <v>4204813.9349784479</v>
      </c>
      <c r="GL21" s="40">
        <f t="shared" ca="1" si="125"/>
        <v>4204813.9349784479</v>
      </c>
      <c r="GM21" s="40">
        <f t="shared" ca="1" si="125"/>
        <v>4204813.9349784479</v>
      </c>
      <c r="GN21" s="40">
        <f t="shared" ca="1" si="125"/>
        <v>4204813.9349784479</v>
      </c>
      <c r="GO21" s="40">
        <f t="shared" ca="1" si="125"/>
        <v>4204813.9349784479</v>
      </c>
      <c r="GP21" s="40">
        <f t="shared" ca="1" si="125"/>
        <v>4204813.9349784479</v>
      </c>
      <c r="GQ21" s="40">
        <f t="shared" ca="1" si="125"/>
        <v>4204813.9349784479</v>
      </c>
      <c r="GR21" s="40">
        <f t="shared" ref="GR21:IN23" ca="1" si="126">GR10*$C$15</f>
        <v>4204813.9349784479</v>
      </c>
      <c r="GS21" s="40">
        <f t="shared" ca="1" si="126"/>
        <v>4204813.9349784479</v>
      </c>
      <c r="GT21" s="40">
        <f t="shared" ca="1" si="126"/>
        <v>4204813.9349784479</v>
      </c>
      <c r="GU21" s="40">
        <f t="shared" ca="1" si="126"/>
        <v>4204813.9349784479</v>
      </c>
      <c r="GV21" s="40">
        <f t="shared" ca="1" si="126"/>
        <v>4204813.9349784479</v>
      </c>
      <c r="GW21" s="40">
        <f t="shared" ca="1" si="126"/>
        <v>4204813.9349784479</v>
      </c>
      <c r="GX21" s="40">
        <f t="shared" ca="1" si="126"/>
        <v>4204813.9349784479</v>
      </c>
      <c r="GY21" s="40">
        <f t="shared" ca="1" si="126"/>
        <v>4204813.9349784479</v>
      </c>
      <c r="GZ21" s="40">
        <f t="shared" ca="1" si="126"/>
        <v>4204813.9349784479</v>
      </c>
      <c r="HA21" s="40">
        <f t="shared" ca="1" si="126"/>
        <v>4204813.9349784479</v>
      </c>
      <c r="HB21" s="40">
        <f t="shared" ca="1" si="126"/>
        <v>4204813.9349784479</v>
      </c>
      <c r="HC21" s="40">
        <f t="shared" ca="1" si="126"/>
        <v>4204813.9349784479</v>
      </c>
      <c r="HD21" s="40">
        <f t="shared" ca="1" si="126"/>
        <v>4204813.9349784479</v>
      </c>
      <c r="HE21" s="40">
        <f t="shared" ca="1" si="126"/>
        <v>4204813.9349784479</v>
      </c>
      <c r="HF21" s="40">
        <f t="shared" ca="1" si="126"/>
        <v>4204813.9349784479</v>
      </c>
      <c r="HG21" s="40">
        <f t="shared" ca="1" si="126"/>
        <v>4204813.9349784479</v>
      </c>
      <c r="HH21" s="40">
        <f t="shared" ca="1" si="126"/>
        <v>4204813.9349784479</v>
      </c>
      <c r="HI21" s="40">
        <f t="shared" ca="1" si="126"/>
        <v>4204813.9349784479</v>
      </c>
      <c r="HJ21" s="40">
        <f t="shared" ca="1" si="126"/>
        <v>4204813.9349784479</v>
      </c>
      <c r="HK21" s="40">
        <f t="shared" ca="1" si="126"/>
        <v>4204813.9349784479</v>
      </c>
      <c r="HL21" s="40">
        <f t="shared" ca="1" si="126"/>
        <v>4204813.9349784479</v>
      </c>
      <c r="HM21" s="40">
        <f t="shared" ca="1" si="126"/>
        <v>4204813.9349784479</v>
      </c>
      <c r="HN21" s="40">
        <f t="shared" ca="1" si="126"/>
        <v>4204813.9349784479</v>
      </c>
      <c r="HO21" s="40">
        <f t="shared" ca="1" si="126"/>
        <v>4204813.9349784479</v>
      </c>
      <c r="HP21" s="40">
        <f t="shared" ca="1" si="126"/>
        <v>4204813.9349784479</v>
      </c>
      <c r="HQ21" s="40">
        <f t="shared" ca="1" si="126"/>
        <v>4204813.9349784479</v>
      </c>
      <c r="HR21" s="40">
        <f t="shared" ca="1" si="126"/>
        <v>4204813.9349784479</v>
      </c>
      <c r="HS21" s="40">
        <f t="shared" ca="1" si="126"/>
        <v>4204813.9349784479</v>
      </c>
      <c r="HT21" s="40">
        <f t="shared" ca="1" si="126"/>
        <v>4204813.9349784479</v>
      </c>
      <c r="HU21" s="40">
        <f t="shared" ca="1" si="126"/>
        <v>4204813.9349784479</v>
      </c>
      <c r="HV21" s="40">
        <f t="shared" ca="1" si="126"/>
        <v>4204813.9349784479</v>
      </c>
      <c r="HW21" s="40">
        <f t="shared" ca="1" si="126"/>
        <v>4204813.9349784479</v>
      </c>
      <c r="HX21" s="40">
        <f t="shared" ca="1" si="126"/>
        <v>4204813.9349784479</v>
      </c>
      <c r="HY21" s="40">
        <f t="shared" ca="1" si="126"/>
        <v>4204813.9349784479</v>
      </c>
      <c r="HZ21" s="40">
        <f t="shared" ca="1" si="126"/>
        <v>4204813.9349784479</v>
      </c>
      <c r="IA21" s="40">
        <f t="shared" ca="1" si="126"/>
        <v>4204813.9349784479</v>
      </c>
      <c r="IB21" s="40">
        <f t="shared" ca="1" si="126"/>
        <v>4204813.9349784479</v>
      </c>
      <c r="IC21" s="40">
        <f t="shared" ca="1" si="126"/>
        <v>4204813.9349784479</v>
      </c>
      <c r="ID21" s="40">
        <f t="shared" ca="1" si="126"/>
        <v>4204813.9349784479</v>
      </c>
      <c r="IE21" s="40">
        <f t="shared" ca="1" si="126"/>
        <v>4204813.9349784479</v>
      </c>
      <c r="IF21" s="40">
        <f t="shared" ca="1" si="126"/>
        <v>4204813.9349784479</v>
      </c>
      <c r="IG21" s="40">
        <f t="shared" ca="1" si="126"/>
        <v>4204813.9349784479</v>
      </c>
      <c r="IH21" s="40">
        <f t="shared" ca="1" si="126"/>
        <v>4204813.9349784479</v>
      </c>
      <c r="II21" s="40">
        <f t="shared" ca="1" si="126"/>
        <v>4204813.9349784479</v>
      </c>
      <c r="IJ21" s="40">
        <f t="shared" ca="1" si="126"/>
        <v>4204813.9349784479</v>
      </c>
      <c r="IK21" s="40">
        <f t="shared" ca="1" si="126"/>
        <v>4204813.9349784479</v>
      </c>
      <c r="IL21" s="40">
        <f t="shared" ca="1" si="126"/>
        <v>4204813.9349784479</v>
      </c>
      <c r="IM21" s="40">
        <f t="shared" ca="1" si="126"/>
        <v>4204813.9349784479</v>
      </c>
      <c r="IN21" s="40">
        <f t="shared" ca="1" si="126"/>
        <v>4204813.9349784479</v>
      </c>
    </row>
    <row r="22" spans="2:248" x14ac:dyDescent="0.3">
      <c r="C22" s="40"/>
      <c r="F22" s="19" t="s">
        <v>496</v>
      </c>
      <c r="G22" s="40">
        <f t="shared" ref="G22:V23" si="127">G11*$C$15</f>
        <v>3.7474627682623667</v>
      </c>
      <c r="H22" s="40">
        <f t="shared" ca="1" si="127"/>
        <v>4.7319656989075645</v>
      </c>
      <c r="I22" s="40">
        <f t="shared" ca="1" si="127"/>
        <v>6.8597623554633147</v>
      </c>
      <c r="J22" s="40">
        <f t="shared" ca="1" si="127"/>
        <v>8.2253631947453645</v>
      </c>
      <c r="K22" s="40">
        <f t="shared" ca="1" si="127"/>
        <v>12.576230985016078</v>
      </c>
      <c r="L22" s="40">
        <f t="shared" ca="1" si="127"/>
        <v>16.133144798960018</v>
      </c>
      <c r="M22" s="40">
        <f t="shared" ca="1" si="127"/>
        <v>18.165666978356555</v>
      </c>
      <c r="N22" s="40">
        <f t="shared" ca="1" si="127"/>
        <v>29.916185827992791</v>
      </c>
      <c r="O22" s="40">
        <f t="shared" ca="1" si="127"/>
        <v>39.888247770657053</v>
      </c>
      <c r="P22" s="40">
        <f t="shared" ca="1" si="127"/>
        <v>51.892831892717858</v>
      </c>
      <c r="Q22" s="40">
        <f t="shared" ca="1" si="127"/>
        <v>68.057734850730938</v>
      </c>
      <c r="R22" s="40">
        <f t="shared" ca="1" si="127"/>
        <v>77.743973361917568</v>
      </c>
      <c r="S22" s="40">
        <f t="shared" ca="1" si="127"/>
        <v>103.75390562638265</v>
      </c>
      <c r="T22" s="40">
        <f t="shared" ca="1" si="127"/>
        <v>135.7661299518781</v>
      </c>
      <c r="U22" s="40">
        <f t="shared" ca="1" si="127"/>
        <v>191.24763381759297</v>
      </c>
      <c r="V22" s="40">
        <f t="shared" ca="1" si="127"/>
        <v>226.84853011608547</v>
      </c>
      <c r="W22" s="40">
        <f t="shared" ca="1" si="123"/>
        <v>408.66399069491638</v>
      </c>
      <c r="X22" s="40">
        <f t="shared" ca="1" si="123"/>
        <v>578.98299769653568</v>
      </c>
      <c r="Y22" s="40">
        <f t="shared" ca="1" si="123"/>
        <v>758.4165963463862</v>
      </c>
      <c r="Z22" s="40">
        <f t="shared" ca="1" si="123"/>
        <v>994.03037836111923</v>
      </c>
      <c r="AA22" s="40">
        <f t="shared" ca="1" si="123"/>
        <v>1311.2626291422446</v>
      </c>
      <c r="AB22" s="40">
        <f t="shared" ca="1" si="123"/>
        <v>1639.0782864278056</v>
      </c>
      <c r="AC22" s="40">
        <f t="shared" ca="1" si="123"/>
        <v>2048.8478580347569</v>
      </c>
      <c r="AD22" s="40">
        <f t="shared" ca="1" si="123"/>
        <v>2561.0598225434464</v>
      </c>
      <c r="AE22" s="40">
        <f t="shared" ca="1" si="123"/>
        <v>3201.3247781793079</v>
      </c>
      <c r="AF22" s="40">
        <f t="shared" ca="1" si="123"/>
        <v>4001.6559727241347</v>
      </c>
      <c r="AG22" s="40">
        <f t="shared" ca="1" si="123"/>
        <v>5002.0699659051688</v>
      </c>
      <c r="AH22" s="40">
        <f t="shared" ca="1" si="123"/>
        <v>6252.5874573814608</v>
      </c>
      <c r="AI22" s="40">
        <f t="shared" ca="1" si="123"/>
        <v>7815.7343217268262</v>
      </c>
      <c r="AJ22" s="40">
        <f t="shared" ca="1" si="123"/>
        <v>9769.6679021585333</v>
      </c>
      <c r="AK22" s="40">
        <f t="shared" ca="1" si="123"/>
        <v>12212.084877698166</v>
      </c>
      <c r="AL22" s="40">
        <f t="shared" ca="1" si="123"/>
        <v>15265.106097122707</v>
      </c>
      <c r="AM22" s="40">
        <f t="shared" ca="1" si="123"/>
        <v>19081.382621403383</v>
      </c>
      <c r="AN22" s="40">
        <f t="shared" ca="1" si="123"/>
        <v>23851.728276754231</v>
      </c>
      <c r="AO22" s="40">
        <f t="shared" ca="1" si="123"/>
        <v>29814.660345942786</v>
      </c>
      <c r="AP22" s="40">
        <f t="shared" ca="1" si="123"/>
        <v>37268.325432428486</v>
      </c>
      <c r="AQ22" s="40">
        <f t="shared" ca="1" si="123"/>
        <v>46585.406790535606</v>
      </c>
      <c r="AR22" s="40">
        <f t="shared" ca="1" si="123"/>
        <v>58231.7584881695</v>
      </c>
      <c r="AS22" s="40">
        <f t="shared" ca="1" si="123"/>
        <v>72789.698110211888</v>
      </c>
      <c r="AT22" s="40">
        <f t="shared" ca="1" si="123"/>
        <v>90987.122637764856</v>
      </c>
      <c r="AU22" s="40">
        <f t="shared" ca="1" si="123"/>
        <v>113733.90329720607</v>
      </c>
      <c r="AV22" s="40">
        <f t="shared" ca="1" si="123"/>
        <v>142167.37912150761</v>
      </c>
      <c r="AW22" s="40">
        <f t="shared" ca="1" si="123"/>
        <v>177709.22390188448</v>
      </c>
      <c r="AX22" s="40">
        <f t="shared" ca="1" si="123"/>
        <v>222136.52987735564</v>
      </c>
      <c r="AY22" s="40">
        <f t="shared" ca="1" si="123"/>
        <v>277670.66234669456</v>
      </c>
      <c r="AZ22" s="40">
        <f t="shared" ca="1" si="123"/>
        <v>347088.32793336816</v>
      </c>
      <c r="BA22" s="40">
        <f t="shared" ca="1" si="123"/>
        <v>433860.40991671022</v>
      </c>
      <c r="BB22" s="40">
        <f t="shared" ca="1" si="123"/>
        <v>542325.51239588775</v>
      </c>
      <c r="BC22" s="40">
        <f t="shared" ca="1" si="123"/>
        <v>677906.89049485954</v>
      </c>
      <c r="BD22" s="40">
        <f t="shared" ca="1" si="123"/>
        <v>847383.61311857449</v>
      </c>
      <c r="BE22" s="40">
        <f t="shared" ca="1" si="123"/>
        <v>1059229.5163982182</v>
      </c>
      <c r="BF22" s="40">
        <f t="shared" ca="1" si="123"/>
        <v>1324036.8954977726</v>
      </c>
      <c r="BG22" s="40">
        <f t="shared" ca="1" si="123"/>
        <v>1655046.1193722158</v>
      </c>
      <c r="BH22" s="40">
        <f t="shared" ca="1" si="123"/>
        <v>2068807.6492152696</v>
      </c>
      <c r="BI22" s="40">
        <f t="shared" ca="1" si="123"/>
        <v>2586009.5615190868</v>
      </c>
      <c r="BJ22" s="40">
        <f t="shared" ca="1" si="123"/>
        <v>3232511.9518988584</v>
      </c>
      <c r="BK22" s="40">
        <f t="shared" ca="1" si="123"/>
        <v>4040639.9398735734</v>
      </c>
      <c r="BL22" s="40">
        <f t="shared" ca="1" si="123"/>
        <v>4204813.9349784479</v>
      </c>
      <c r="BM22" s="40">
        <f t="shared" ca="1" si="123"/>
        <v>4204813.9349784479</v>
      </c>
      <c r="BN22" s="40">
        <f t="shared" ca="1" si="123"/>
        <v>4204813.9349784479</v>
      </c>
      <c r="BO22" s="40">
        <f t="shared" ca="1" si="123"/>
        <v>4204813.9349784479</v>
      </c>
      <c r="BP22" s="40">
        <f t="shared" ca="1" si="123"/>
        <v>4204813.9349784479</v>
      </c>
      <c r="BQ22" s="40">
        <f t="shared" ca="1" si="123"/>
        <v>4204813.9349784479</v>
      </c>
      <c r="BR22" s="40">
        <f t="shared" ca="1" si="123"/>
        <v>4204813.9349784479</v>
      </c>
      <c r="BS22" s="40">
        <f t="shared" ca="1" si="123"/>
        <v>4204813.9349784479</v>
      </c>
      <c r="BT22" s="40">
        <f t="shared" ca="1" si="124"/>
        <v>4204813.9349784479</v>
      </c>
      <c r="BU22" s="40">
        <f t="shared" ca="1" si="124"/>
        <v>4204813.9349784479</v>
      </c>
      <c r="BV22" s="40">
        <f t="shared" ca="1" si="124"/>
        <v>4204813.9349784479</v>
      </c>
      <c r="BW22" s="40">
        <f t="shared" ca="1" si="124"/>
        <v>4204813.9349784479</v>
      </c>
      <c r="BX22" s="40">
        <f t="shared" ca="1" si="124"/>
        <v>4204813.9349784479</v>
      </c>
      <c r="BY22" s="40">
        <f t="shared" ca="1" si="124"/>
        <v>4204813.9349784479</v>
      </c>
      <c r="BZ22" s="40">
        <f t="shared" ca="1" si="124"/>
        <v>4204813.9349784479</v>
      </c>
      <c r="CA22" s="40">
        <f t="shared" ca="1" si="124"/>
        <v>4204813.9349784479</v>
      </c>
      <c r="CB22" s="40">
        <f t="shared" ca="1" si="124"/>
        <v>4204813.9349784479</v>
      </c>
      <c r="CC22" s="40">
        <f t="shared" ca="1" si="124"/>
        <v>4204813.9349784479</v>
      </c>
      <c r="CD22" s="40">
        <f t="shared" ca="1" si="124"/>
        <v>4204813.9349784479</v>
      </c>
      <c r="CE22" s="40">
        <f t="shared" ca="1" si="124"/>
        <v>4204813.9349784479</v>
      </c>
      <c r="CF22" s="40">
        <f t="shared" ca="1" si="124"/>
        <v>4204813.9349784479</v>
      </c>
      <c r="CG22" s="40">
        <f t="shared" ca="1" si="124"/>
        <v>4204813.9349784479</v>
      </c>
      <c r="CH22" s="40">
        <f t="shared" ca="1" si="124"/>
        <v>4204813.9349784479</v>
      </c>
      <c r="CI22" s="40">
        <f t="shared" ca="1" si="124"/>
        <v>4204813.9349784479</v>
      </c>
      <c r="CJ22" s="40">
        <f t="shared" ca="1" si="124"/>
        <v>4204813.9349784479</v>
      </c>
      <c r="CK22" s="40">
        <f t="shared" ca="1" si="124"/>
        <v>4204813.9349784479</v>
      </c>
      <c r="CL22" s="40">
        <f t="shared" ca="1" si="124"/>
        <v>4204813.9349784479</v>
      </c>
      <c r="CM22" s="40">
        <f t="shared" ca="1" si="124"/>
        <v>4204813.9349784479</v>
      </c>
      <c r="CN22" s="40">
        <f t="shared" ca="1" si="124"/>
        <v>4204813.9349784479</v>
      </c>
      <c r="CO22" s="40">
        <f t="shared" ca="1" si="124"/>
        <v>4204813.9349784479</v>
      </c>
      <c r="CP22" s="40">
        <f t="shared" ca="1" si="124"/>
        <v>4204813.9349784479</v>
      </c>
      <c r="CQ22" s="40">
        <f t="shared" ca="1" si="124"/>
        <v>4204813.9349784479</v>
      </c>
      <c r="CR22" s="40">
        <f t="shared" ca="1" si="124"/>
        <v>4204813.9349784479</v>
      </c>
      <c r="CS22" s="40">
        <f t="shared" ca="1" si="124"/>
        <v>4204813.9349784479</v>
      </c>
      <c r="CT22" s="40">
        <f t="shared" ca="1" si="124"/>
        <v>4204813.9349784479</v>
      </c>
      <c r="CU22" s="40">
        <f t="shared" ca="1" si="124"/>
        <v>4204813.9349784479</v>
      </c>
      <c r="CV22" s="40">
        <f t="shared" ca="1" si="124"/>
        <v>4204813.9349784479</v>
      </c>
      <c r="CW22" s="40">
        <f t="shared" ca="1" si="124"/>
        <v>4204813.9349784479</v>
      </c>
      <c r="CX22" s="40">
        <f t="shared" ca="1" si="124"/>
        <v>4204813.9349784479</v>
      </c>
      <c r="CY22" s="40">
        <f t="shared" ca="1" si="124"/>
        <v>4204813.9349784479</v>
      </c>
      <c r="CZ22" s="40">
        <f t="shared" ca="1" si="124"/>
        <v>4204813.9349784479</v>
      </c>
      <c r="DA22" s="40">
        <f t="shared" ca="1" si="124"/>
        <v>4204813.9349784479</v>
      </c>
      <c r="DB22" s="40">
        <f t="shared" ca="1" si="124"/>
        <v>4204813.9349784479</v>
      </c>
      <c r="DC22" s="40">
        <f t="shared" ca="1" si="124"/>
        <v>4204813.9349784479</v>
      </c>
      <c r="DD22" s="40">
        <f t="shared" ca="1" si="124"/>
        <v>4204813.9349784479</v>
      </c>
      <c r="DE22" s="40">
        <f t="shared" ca="1" si="124"/>
        <v>4204813.9349784479</v>
      </c>
      <c r="DF22" s="40">
        <f t="shared" ca="1" si="124"/>
        <v>4204813.9349784479</v>
      </c>
      <c r="DG22" s="40">
        <f t="shared" ca="1" si="124"/>
        <v>4204813.9349784479</v>
      </c>
      <c r="DH22" s="40">
        <f t="shared" ca="1" si="124"/>
        <v>4204813.9349784479</v>
      </c>
      <c r="DI22" s="40">
        <f t="shared" ca="1" si="124"/>
        <v>4204813.9349784479</v>
      </c>
      <c r="DJ22" s="40">
        <f t="shared" ca="1" si="124"/>
        <v>4204813.9349784479</v>
      </c>
      <c r="DK22" s="40">
        <f t="shared" ca="1" si="124"/>
        <v>4204813.9349784479</v>
      </c>
      <c r="DL22" s="40">
        <f t="shared" ca="1" si="124"/>
        <v>4204813.9349784479</v>
      </c>
      <c r="DM22" s="40">
        <f t="shared" ca="1" si="124"/>
        <v>4204813.9349784479</v>
      </c>
      <c r="DN22" s="40">
        <f t="shared" ca="1" si="124"/>
        <v>4204813.9349784479</v>
      </c>
      <c r="DO22" s="40">
        <f t="shared" ca="1" si="124"/>
        <v>4204813.9349784479</v>
      </c>
      <c r="DP22" s="40">
        <f t="shared" ca="1" si="124"/>
        <v>4204813.9349784479</v>
      </c>
      <c r="DQ22" s="40">
        <f t="shared" ca="1" si="124"/>
        <v>4204813.9349784479</v>
      </c>
      <c r="DR22" s="40">
        <f t="shared" ca="1" si="124"/>
        <v>4204813.9349784479</v>
      </c>
      <c r="DS22" s="40">
        <f t="shared" ca="1" si="124"/>
        <v>4204813.9349784479</v>
      </c>
      <c r="DT22" s="40">
        <f t="shared" ca="1" si="124"/>
        <v>4204813.9349784479</v>
      </c>
      <c r="DU22" s="40">
        <f t="shared" ca="1" si="124"/>
        <v>4204813.9349784479</v>
      </c>
      <c r="DV22" s="40">
        <f t="shared" ca="1" si="124"/>
        <v>4204813.9349784479</v>
      </c>
      <c r="DW22" s="40">
        <f t="shared" ca="1" si="124"/>
        <v>4204813.9349784479</v>
      </c>
      <c r="DX22" s="40">
        <f t="shared" ca="1" si="124"/>
        <v>4204813.9349784479</v>
      </c>
      <c r="DY22" s="40">
        <f t="shared" ca="1" si="124"/>
        <v>4204813.9349784479</v>
      </c>
      <c r="DZ22" s="40">
        <f t="shared" ca="1" si="124"/>
        <v>4204813.9349784479</v>
      </c>
      <c r="EA22" s="40">
        <f t="shared" ca="1" si="124"/>
        <v>4204813.9349784479</v>
      </c>
      <c r="EB22" s="40">
        <f t="shared" ca="1" si="124"/>
        <v>4204813.9349784479</v>
      </c>
      <c r="EC22" s="40">
        <f t="shared" ca="1" si="124"/>
        <v>4204813.9349784479</v>
      </c>
      <c r="ED22" s="40">
        <f t="shared" ca="1" si="124"/>
        <v>4204813.9349784479</v>
      </c>
      <c r="EE22" s="40">
        <f t="shared" ca="1" si="124"/>
        <v>4204813.9349784479</v>
      </c>
      <c r="EF22" s="40">
        <f t="shared" ca="1" si="125"/>
        <v>4204813.9349784479</v>
      </c>
      <c r="EG22" s="40">
        <f t="shared" ca="1" si="125"/>
        <v>4204813.9349784479</v>
      </c>
      <c r="EH22" s="40">
        <f t="shared" ca="1" si="125"/>
        <v>4204813.9349784479</v>
      </c>
      <c r="EI22" s="40">
        <f t="shared" ca="1" si="125"/>
        <v>4204813.9349784479</v>
      </c>
      <c r="EJ22" s="40">
        <f t="shared" ca="1" si="125"/>
        <v>4204813.9349784479</v>
      </c>
      <c r="EK22" s="40">
        <f t="shared" ca="1" si="125"/>
        <v>4204813.9349784479</v>
      </c>
      <c r="EL22" s="40">
        <f t="shared" ca="1" si="125"/>
        <v>4204813.9349784479</v>
      </c>
      <c r="EM22" s="40">
        <f t="shared" ca="1" si="125"/>
        <v>4204813.9349784479</v>
      </c>
      <c r="EN22" s="40">
        <f t="shared" ca="1" si="125"/>
        <v>4204813.9349784479</v>
      </c>
      <c r="EO22" s="40">
        <f t="shared" ca="1" si="125"/>
        <v>4204813.9349784479</v>
      </c>
      <c r="EP22" s="40">
        <f t="shared" ca="1" si="125"/>
        <v>4204813.9349784479</v>
      </c>
      <c r="EQ22" s="40">
        <f t="shared" ca="1" si="125"/>
        <v>4204813.9349784479</v>
      </c>
      <c r="ER22" s="40">
        <f t="shared" ca="1" si="125"/>
        <v>4204813.9349784479</v>
      </c>
      <c r="ES22" s="40">
        <f t="shared" ca="1" si="125"/>
        <v>4204813.9349784479</v>
      </c>
      <c r="ET22" s="40">
        <f t="shared" ca="1" si="125"/>
        <v>4204813.9349784479</v>
      </c>
      <c r="EU22" s="40">
        <f t="shared" ca="1" si="125"/>
        <v>4204813.9349784479</v>
      </c>
      <c r="EV22" s="40">
        <f t="shared" ca="1" si="125"/>
        <v>4204813.9349784479</v>
      </c>
      <c r="EW22" s="40">
        <f t="shared" ca="1" si="125"/>
        <v>4204813.9349784479</v>
      </c>
      <c r="EX22" s="40">
        <f t="shared" ca="1" si="125"/>
        <v>4204813.9349784479</v>
      </c>
      <c r="EY22" s="40">
        <f t="shared" ca="1" si="125"/>
        <v>4204813.9349784479</v>
      </c>
      <c r="EZ22" s="40">
        <f t="shared" ca="1" si="125"/>
        <v>4204813.9349784479</v>
      </c>
      <c r="FA22" s="40">
        <f t="shared" ca="1" si="125"/>
        <v>4204813.9349784479</v>
      </c>
      <c r="FB22" s="40">
        <f t="shared" ca="1" si="125"/>
        <v>4204813.9349784479</v>
      </c>
      <c r="FC22" s="40">
        <f t="shared" ca="1" si="125"/>
        <v>4204813.9349784479</v>
      </c>
      <c r="FD22" s="40">
        <f t="shared" ca="1" si="125"/>
        <v>4204813.9349784479</v>
      </c>
      <c r="FE22" s="40">
        <f t="shared" ca="1" si="125"/>
        <v>4204813.9349784479</v>
      </c>
      <c r="FF22" s="40">
        <f t="shared" ca="1" si="125"/>
        <v>4204813.9349784479</v>
      </c>
      <c r="FG22" s="40">
        <f t="shared" ca="1" si="125"/>
        <v>4204813.9349784479</v>
      </c>
      <c r="FH22" s="40">
        <f t="shared" ca="1" si="125"/>
        <v>4204813.9349784479</v>
      </c>
      <c r="FI22" s="40">
        <f t="shared" ca="1" si="125"/>
        <v>4204813.9349784479</v>
      </c>
      <c r="FJ22" s="40">
        <f t="shared" ca="1" si="125"/>
        <v>4204813.9349784479</v>
      </c>
      <c r="FK22" s="40">
        <f t="shared" ca="1" si="125"/>
        <v>4204813.9349784479</v>
      </c>
      <c r="FL22" s="40">
        <f t="shared" ca="1" si="125"/>
        <v>4204813.9349784479</v>
      </c>
      <c r="FM22" s="40">
        <f t="shared" ca="1" si="125"/>
        <v>4204813.9349784479</v>
      </c>
      <c r="FN22" s="40">
        <f t="shared" ca="1" si="125"/>
        <v>4204813.9349784479</v>
      </c>
      <c r="FO22" s="40">
        <f t="shared" ca="1" si="125"/>
        <v>4204813.9349784479</v>
      </c>
      <c r="FP22" s="40">
        <f t="shared" ca="1" si="125"/>
        <v>4204813.9349784479</v>
      </c>
      <c r="FQ22" s="40">
        <f t="shared" ca="1" si="125"/>
        <v>4204813.9349784479</v>
      </c>
      <c r="FR22" s="40">
        <f t="shared" ca="1" si="125"/>
        <v>4204813.9349784479</v>
      </c>
      <c r="FS22" s="40">
        <f t="shared" ca="1" si="125"/>
        <v>4204813.9349784479</v>
      </c>
      <c r="FT22" s="40">
        <f t="shared" ca="1" si="125"/>
        <v>4204813.9349784479</v>
      </c>
      <c r="FU22" s="40">
        <f t="shared" ca="1" si="125"/>
        <v>4204813.9349784479</v>
      </c>
      <c r="FV22" s="40">
        <f t="shared" ca="1" si="125"/>
        <v>4204813.9349784479</v>
      </c>
      <c r="FW22" s="40">
        <f t="shared" ca="1" si="125"/>
        <v>4204813.9349784479</v>
      </c>
      <c r="FX22" s="40">
        <f t="shared" ca="1" si="125"/>
        <v>4204813.9349784479</v>
      </c>
      <c r="FY22" s="40">
        <f t="shared" ca="1" si="125"/>
        <v>4204813.9349784479</v>
      </c>
      <c r="FZ22" s="40">
        <f t="shared" ca="1" si="125"/>
        <v>4204813.9349784479</v>
      </c>
      <c r="GA22" s="40">
        <f t="shared" ca="1" si="125"/>
        <v>4204813.9349784479</v>
      </c>
      <c r="GB22" s="40">
        <f t="shared" ca="1" si="125"/>
        <v>4204813.9349784479</v>
      </c>
      <c r="GC22" s="40">
        <f t="shared" ca="1" si="125"/>
        <v>4204813.9349784479</v>
      </c>
      <c r="GD22" s="40">
        <f t="shared" ca="1" si="125"/>
        <v>4204813.9349784479</v>
      </c>
      <c r="GE22" s="40">
        <f t="shared" ca="1" si="125"/>
        <v>4204813.9349784479</v>
      </c>
      <c r="GF22" s="40">
        <f t="shared" ca="1" si="125"/>
        <v>4204813.9349784479</v>
      </c>
      <c r="GG22" s="40">
        <f t="shared" ca="1" si="125"/>
        <v>4204813.9349784479</v>
      </c>
      <c r="GH22" s="40">
        <f t="shared" ca="1" si="125"/>
        <v>4204813.9349784479</v>
      </c>
      <c r="GI22" s="40">
        <f t="shared" ca="1" si="125"/>
        <v>4204813.9349784479</v>
      </c>
      <c r="GJ22" s="40">
        <f t="shared" ca="1" si="125"/>
        <v>4204813.9349784479</v>
      </c>
      <c r="GK22" s="40">
        <f t="shared" ca="1" si="125"/>
        <v>4204813.9349784479</v>
      </c>
      <c r="GL22" s="40">
        <f t="shared" ca="1" si="125"/>
        <v>4204813.9349784479</v>
      </c>
      <c r="GM22" s="40">
        <f t="shared" ca="1" si="125"/>
        <v>4204813.9349784479</v>
      </c>
      <c r="GN22" s="40">
        <f t="shared" ca="1" si="125"/>
        <v>4204813.9349784479</v>
      </c>
      <c r="GO22" s="40">
        <f t="shared" ca="1" si="125"/>
        <v>4204813.9349784479</v>
      </c>
      <c r="GP22" s="40">
        <f t="shared" ca="1" si="125"/>
        <v>4204813.9349784479</v>
      </c>
      <c r="GQ22" s="40">
        <f t="shared" ca="1" si="125"/>
        <v>4204813.9349784479</v>
      </c>
      <c r="GR22" s="40">
        <f t="shared" ca="1" si="126"/>
        <v>4204813.9349784479</v>
      </c>
      <c r="GS22" s="40">
        <f t="shared" ca="1" si="126"/>
        <v>4204813.9349784479</v>
      </c>
      <c r="GT22" s="40">
        <f t="shared" ca="1" si="126"/>
        <v>4204813.9349784479</v>
      </c>
      <c r="GU22" s="40">
        <f t="shared" ca="1" si="126"/>
        <v>4204813.9349784479</v>
      </c>
      <c r="GV22" s="40">
        <f t="shared" ca="1" si="126"/>
        <v>4204813.9349784479</v>
      </c>
      <c r="GW22" s="40">
        <f t="shared" ca="1" si="126"/>
        <v>4204813.9349784479</v>
      </c>
      <c r="GX22" s="40">
        <f t="shared" ca="1" si="126"/>
        <v>4204813.9349784479</v>
      </c>
      <c r="GY22" s="40">
        <f t="shared" ca="1" si="126"/>
        <v>4204813.9349784479</v>
      </c>
      <c r="GZ22" s="40">
        <f t="shared" ca="1" si="126"/>
        <v>4204813.9349784479</v>
      </c>
      <c r="HA22" s="40">
        <f t="shared" ca="1" si="126"/>
        <v>4204813.9349784479</v>
      </c>
      <c r="HB22" s="40">
        <f t="shared" ca="1" si="126"/>
        <v>4204813.9349784479</v>
      </c>
      <c r="HC22" s="40">
        <f t="shared" ca="1" si="126"/>
        <v>4204813.9349784479</v>
      </c>
      <c r="HD22" s="40">
        <f t="shared" ca="1" si="126"/>
        <v>4204813.9349784479</v>
      </c>
      <c r="HE22" s="40">
        <f t="shared" ca="1" si="126"/>
        <v>4204813.9349784479</v>
      </c>
      <c r="HF22" s="40">
        <f t="shared" ca="1" si="126"/>
        <v>4204813.9349784479</v>
      </c>
      <c r="HG22" s="40">
        <f t="shared" ca="1" si="126"/>
        <v>4204813.9349784479</v>
      </c>
      <c r="HH22" s="40">
        <f t="shared" ca="1" si="126"/>
        <v>4204813.9349784479</v>
      </c>
      <c r="HI22" s="40">
        <f t="shared" ca="1" si="126"/>
        <v>4204813.9349784479</v>
      </c>
      <c r="HJ22" s="40">
        <f t="shared" ca="1" si="126"/>
        <v>4204813.9349784479</v>
      </c>
      <c r="HK22" s="40">
        <f t="shared" ca="1" si="126"/>
        <v>4204813.9349784479</v>
      </c>
      <c r="HL22" s="40">
        <f t="shared" ca="1" si="126"/>
        <v>4204813.9349784479</v>
      </c>
      <c r="HM22" s="40">
        <f t="shared" ca="1" si="126"/>
        <v>4204813.9349784479</v>
      </c>
      <c r="HN22" s="40">
        <f t="shared" ca="1" si="126"/>
        <v>4204813.9349784479</v>
      </c>
      <c r="HO22" s="40">
        <f t="shared" ca="1" si="126"/>
        <v>4204813.9349784479</v>
      </c>
      <c r="HP22" s="40">
        <f t="shared" ca="1" si="126"/>
        <v>4204813.9349784479</v>
      </c>
      <c r="HQ22" s="40">
        <f t="shared" ca="1" si="126"/>
        <v>4204813.9349784479</v>
      </c>
      <c r="HR22" s="40">
        <f t="shared" ca="1" si="126"/>
        <v>4204813.9349784479</v>
      </c>
      <c r="HS22" s="40">
        <f t="shared" ca="1" si="126"/>
        <v>4204813.9349784479</v>
      </c>
      <c r="HT22" s="40">
        <f t="shared" ca="1" si="126"/>
        <v>4204813.9349784479</v>
      </c>
      <c r="HU22" s="40">
        <f t="shared" ca="1" si="126"/>
        <v>4204813.9349784479</v>
      </c>
      <c r="HV22" s="40">
        <f t="shared" ca="1" si="126"/>
        <v>4204813.9349784479</v>
      </c>
      <c r="HW22" s="40">
        <f t="shared" ca="1" si="126"/>
        <v>4204813.9349784479</v>
      </c>
      <c r="HX22" s="40">
        <f t="shared" ca="1" si="126"/>
        <v>4204813.9349784479</v>
      </c>
      <c r="HY22" s="40">
        <f t="shared" ca="1" si="126"/>
        <v>4204813.9349784479</v>
      </c>
      <c r="HZ22" s="40">
        <f t="shared" ca="1" si="126"/>
        <v>4204813.9349784479</v>
      </c>
      <c r="IA22" s="40">
        <f t="shared" ca="1" si="126"/>
        <v>4204813.9349784479</v>
      </c>
      <c r="IB22" s="40">
        <f t="shared" ca="1" si="126"/>
        <v>4204813.9349784479</v>
      </c>
      <c r="IC22" s="40">
        <f t="shared" ca="1" si="126"/>
        <v>4204813.9349784479</v>
      </c>
      <c r="ID22" s="40">
        <f t="shared" ca="1" si="126"/>
        <v>4204813.9349784479</v>
      </c>
      <c r="IE22" s="40">
        <f t="shared" ca="1" si="126"/>
        <v>4204813.9349784479</v>
      </c>
      <c r="IF22" s="40">
        <f t="shared" ca="1" si="126"/>
        <v>4204813.9349784479</v>
      </c>
      <c r="IG22" s="40">
        <f t="shared" ca="1" si="126"/>
        <v>4204813.9349784479</v>
      </c>
      <c r="IH22" s="40">
        <f t="shared" ca="1" si="126"/>
        <v>4204813.9349784479</v>
      </c>
      <c r="II22" s="40">
        <f t="shared" ca="1" si="126"/>
        <v>4204813.9349784479</v>
      </c>
      <c r="IJ22" s="40">
        <f t="shared" ca="1" si="126"/>
        <v>4204813.9349784479</v>
      </c>
      <c r="IK22" s="40">
        <f t="shared" ca="1" si="126"/>
        <v>4204813.9349784479</v>
      </c>
      <c r="IL22" s="40">
        <f t="shared" ca="1" si="126"/>
        <v>4204813.9349784479</v>
      </c>
      <c r="IM22" s="40">
        <f t="shared" ca="1" si="126"/>
        <v>4204813.9349784479</v>
      </c>
      <c r="IN22" s="40">
        <f t="shared" ca="1" si="126"/>
        <v>4204813.9349784479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43904</v>
      </c>
      <c r="F23" s="19" t="s">
        <v>494</v>
      </c>
      <c r="G23" s="40">
        <f t="shared" si="127"/>
        <v>3.7474627682623667</v>
      </c>
      <c r="H23" s="40">
        <f t="shared" ref="H23:BS23" ca="1" si="128">H12*$C$15</f>
        <v>4.7319656989075645</v>
      </c>
      <c r="I23" s="40">
        <f t="shared" ca="1" si="128"/>
        <v>6.8597623554633147</v>
      </c>
      <c r="J23" s="40">
        <f t="shared" ca="1" si="128"/>
        <v>8.2253631947453645</v>
      </c>
      <c r="K23" s="40">
        <f t="shared" ca="1" si="128"/>
        <v>12.576230985016078</v>
      </c>
      <c r="L23" s="40">
        <f t="shared" ca="1" si="128"/>
        <v>16.133144798960018</v>
      </c>
      <c r="M23" s="40">
        <f t="shared" ca="1" si="128"/>
        <v>18.165666978356555</v>
      </c>
      <c r="N23" s="40">
        <f t="shared" ca="1" si="128"/>
        <v>29.916185827992791</v>
      </c>
      <c r="O23" s="40">
        <f t="shared" ca="1" si="128"/>
        <v>39.888247770657053</v>
      </c>
      <c r="P23" s="40">
        <f t="shared" ca="1" si="128"/>
        <v>51.892831892717858</v>
      </c>
      <c r="Q23" s="40">
        <f t="shared" ca="1" si="128"/>
        <v>68.057734850730938</v>
      </c>
      <c r="R23" s="40">
        <f t="shared" ca="1" si="128"/>
        <v>77.743973361917568</v>
      </c>
      <c r="S23" s="40">
        <f t="shared" ca="1" si="128"/>
        <v>103.75390562638265</v>
      </c>
      <c r="T23" s="40">
        <f t="shared" ca="1" si="128"/>
        <v>135.7661299518781</v>
      </c>
      <c r="U23" s="40">
        <f t="shared" ca="1" si="128"/>
        <v>191.24763381759297</v>
      </c>
      <c r="V23" s="40">
        <f t="shared" ca="1" si="128"/>
        <v>226.84853011608547</v>
      </c>
      <c r="W23" s="40">
        <f t="shared" ca="1" si="128"/>
        <v>408.66399069491638</v>
      </c>
      <c r="X23" s="40">
        <f t="shared" ca="1" si="128"/>
        <v>578.98299769653568</v>
      </c>
      <c r="Y23" s="40">
        <f t="shared" ca="1" si="128"/>
        <v>758.4165963463862</v>
      </c>
      <c r="Z23" s="40">
        <f t="shared" ca="1" si="128"/>
        <v>994.03037836111923</v>
      </c>
      <c r="AA23" s="40">
        <f t="shared" ca="1" si="128"/>
        <v>1311.2626291422446</v>
      </c>
      <c r="AB23" s="40">
        <f t="shared" ca="1" si="128"/>
        <v>1835.7676807991422</v>
      </c>
      <c r="AC23" s="40">
        <f t="shared" ca="1" si="128"/>
        <v>2570.074753118799</v>
      </c>
      <c r="AD23" s="40">
        <f t="shared" ca="1" si="128"/>
        <v>3598.1046543663183</v>
      </c>
      <c r="AE23" s="40">
        <f t="shared" ca="1" si="128"/>
        <v>5037.3465161128452</v>
      </c>
      <c r="AF23" s="40">
        <f t="shared" ca="1" si="128"/>
        <v>7052.2851225579816</v>
      </c>
      <c r="AG23" s="40">
        <f t="shared" ca="1" si="128"/>
        <v>9873.1991715811746</v>
      </c>
      <c r="AH23" s="40">
        <f t="shared" ca="1" si="128"/>
        <v>13822.478840213644</v>
      </c>
      <c r="AI23" s="40">
        <f t="shared" ca="1" si="128"/>
        <v>19351.470376299098</v>
      </c>
      <c r="AJ23" s="40">
        <f t="shared" ca="1" si="128"/>
        <v>27092.058526818739</v>
      </c>
      <c r="AK23" s="40">
        <f t="shared" ca="1" si="128"/>
        <v>37928.881937546226</v>
      </c>
      <c r="AL23" s="40">
        <f t="shared" ca="1" si="128"/>
        <v>53100.434712564718</v>
      </c>
      <c r="AM23" s="40">
        <f t="shared" ca="1" si="128"/>
        <v>74340.608597590588</v>
      </c>
      <c r="AN23" s="40">
        <f t="shared" ca="1" si="128"/>
        <v>104076.85203662683</v>
      </c>
      <c r="AO23" s="40">
        <f t="shared" ca="1" si="128"/>
        <v>145707.59285127756</v>
      </c>
      <c r="AP23" s="40">
        <f t="shared" ca="1" si="128"/>
        <v>203990.62999178859</v>
      </c>
      <c r="AQ23" s="40">
        <f t="shared" ca="1" si="128"/>
        <v>285586.88198850397</v>
      </c>
      <c r="AR23" s="40">
        <f t="shared" ca="1" si="128"/>
        <v>399821.63478390558</v>
      </c>
      <c r="AS23" s="40">
        <f t="shared" ca="1" si="128"/>
        <v>559750.28869746777</v>
      </c>
      <c r="AT23" s="40">
        <f t="shared" ca="1" si="128"/>
        <v>783650.40417645476</v>
      </c>
      <c r="AU23" s="40">
        <f t="shared" ca="1" si="128"/>
        <v>1097110.5658470367</v>
      </c>
      <c r="AV23" s="40">
        <f t="shared" ca="1" si="128"/>
        <v>1535954.7921858511</v>
      </c>
      <c r="AW23" s="40">
        <f t="shared" ca="1" si="128"/>
        <v>2150336.7090601912</v>
      </c>
      <c r="AX23" s="40">
        <f t="shared" ca="1" si="128"/>
        <v>3010471.3926842674</v>
      </c>
      <c r="AY23" s="40">
        <f t="shared" ca="1" si="128"/>
        <v>4204813.9349784479</v>
      </c>
      <c r="AZ23" s="40">
        <f t="shared" ca="1" si="128"/>
        <v>4204813.9349784479</v>
      </c>
      <c r="BA23" s="40">
        <f t="shared" ca="1" si="128"/>
        <v>4204813.9349784479</v>
      </c>
      <c r="BB23" s="40">
        <f t="shared" ca="1" si="128"/>
        <v>4204813.9349784479</v>
      </c>
      <c r="BC23" s="40">
        <f t="shared" ca="1" si="128"/>
        <v>4204813.9349784479</v>
      </c>
      <c r="BD23" s="40">
        <f t="shared" ca="1" si="128"/>
        <v>4204813.9349784479</v>
      </c>
      <c r="BE23" s="40">
        <f t="shared" ca="1" si="128"/>
        <v>4204813.9349784479</v>
      </c>
      <c r="BF23" s="40">
        <f t="shared" ca="1" si="128"/>
        <v>4204813.9349784479</v>
      </c>
      <c r="BG23" s="40">
        <f t="shared" ca="1" si="128"/>
        <v>4204813.9349784479</v>
      </c>
      <c r="BH23" s="40">
        <f t="shared" ca="1" si="128"/>
        <v>4204813.9349784479</v>
      </c>
      <c r="BI23" s="40">
        <f t="shared" ca="1" si="128"/>
        <v>4204813.9349784479</v>
      </c>
      <c r="BJ23" s="40">
        <f t="shared" ca="1" si="128"/>
        <v>4204813.9349784479</v>
      </c>
      <c r="BK23" s="40">
        <f t="shared" ca="1" si="128"/>
        <v>4204813.9349784479</v>
      </c>
      <c r="BL23" s="40">
        <f t="shared" ca="1" si="128"/>
        <v>4204813.9349784479</v>
      </c>
      <c r="BM23" s="40">
        <f t="shared" ca="1" si="128"/>
        <v>4204813.9349784479</v>
      </c>
      <c r="BN23" s="40">
        <f t="shared" ca="1" si="128"/>
        <v>4204813.9349784479</v>
      </c>
      <c r="BO23" s="40">
        <f t="shared" ca="1" si="128"/>
        <v>4204813.9349784479</v>
      </c>
      <c r="BP23" s="40">
        <f t="shared" ca="1" si="128"/>
        <v>4204813.9349784479</v>
      </c>
      <c r="BQ23" s="40">
        <f t="shared" ca="1" si="128"/>
        <v>4204813.9349784479</v>
      </c>
      <c r="BR23" s="40">
        <f t="shared" ca="1" si="128"/>
        <v>4204813.9349784479</v>
      </c>
      <c r="BS23" s="40">
        <f t="shared" ca="1" si="128"/>
        <v>4204813.9349784479</v>
      </c>
      <c r="BT23" s="40">
        <f t="shared" ca="1" si="124"/>
        <v>4204813.9349784479</v>
      </c>
      <c r="BU23" s="40">
        <f t="shared" ca="1" si="124"/>
        <v>4204813.9349784479</v>
      </c>
      <c r="BV23" s="40">
        <f t="shared" ca="1" si="124"/>
        <v>4204813.9349784479</v>
      </c>
      <c r="BW23" s="40">
        <f t="shared" ca="1" si="124"/>
        <v>4204813.9349784479</v>
      </c>
      <c r="BX23" s="40">
        <f t="shared" ca="1" si="124"/>
        <v>4204813.9349784479</v>
      </c>
      <c r="BY23" s="40">
        <f t="shared" ca="1" si="124"/>
        <v>4204813.9349784479</v>
      </c>
      <c r="BZ23" s="40">
        <f t="shared" ca="1" si="124"/>
        <v>4204813.9349784479</v>
      </c>
      <c r="CA23" s="40">
        <f t="shared" ca="1" si="124"/>
        <v>4204813.9349784479</v>
      </c>
      <c r="CB23" s="40">
        <f t="shared" ca="1" si="124"/>
        <v>4204813.9349784479</v>
      </c>
      <c r="CC23" s="40">
        <f t="shared" ca="1" si="124"/>
        <v>4204813.9349784479</v>
      </c>
      <c r="CD23" s="40">
        <f t="shared" ca="1" si="124"/>
        <v>4204813.9349784479</v>
      </c>
      <c r="CE23" s="40">
        <f t="shared" ca="1" si="124"/>
        <v>4204813.9349784479</v>
      </c>
      <c r="CF23" s="40">
        <f t="shared" ca="1" si="124"/>
        <v>4204813.9349784479</v>
      </c>
      <c r="CG23" s="40">
        <f t="shared" ca="1" si="124"/>
        <v>4204813.9349784479</v>
      </c>
      <c r="CH23" s="40">
        <f t="shared" ca="1" si="124"/>
        <v>4204813.9349784479</v>
      </c>
      <c r="CI23" s="40">
        <f t="shared" ca="1" si="124"/>
        <v>4204813.9349784479</v>
      </c>
      <c r="CJ23" s="40">
        <f t="shared" ca="1" si="124"/>
        <v>4204813.9349784479</v>
      </c>
      <c r="CK23" s="40">
        <f t="shared" ca="1" si="124"/>
        <v>4204813.9349784479</v>
      </c>
      <c r="CL23" s="40">
        <f t="shared" ca="1" si="124"/>
        <v>4204813.9349784479</v>
      </c>
      <c r="CM23" s="40">
        <f t="shared" ca="1" si="124"/>
        <v>4204813.9349784479</v>
      </c>
      <c r="CN23" s="40">
        <f t="shared" ca="1" si="124"/>
        <v>4204813.9349784479</v>
      </c>
      <c r="CO23" s="40">
        <f t="shared" ca="1" si="124"/>
        <v>4204813.9349784479</v>
      </c>
      <c r="CP23" s="40">
        <f t="shared" ca="1" si="124"/>
        <v>4204813.9349784479</v>
      </c>
      <c r="CQ23" s="40">
        <f t="shared" ca="1" si="124"/>
        <v>4204813.9349784479</v>
      </c>
      <c r="CR23" s="40">
        <f t="shared" ca="1" si="124"/>
        <v>4204813.9349784479</v>
      </c>
      <c r="CS23" s="40">
        <f t="shared" ca="1" si="124"/>
        <v>4204813.9349784479</v>
      </c>
      <c r="CT23" s="40">
        <f t="shared" ca="1" si="124"/>
        <v>4204813.9349784479</v>
      </c>
      <c r="CU23" s="40">
        <f t="shared" ca="1" si="124"/>
        <v>4204813.9349784479</v>
      </c>
      <c r="CV23" s="40">
        <f t="shared" ca="1" si="124"/>
        <v>4204813.9349784479</v>
      </c>
      <c r="CW23" s="40">
        <f t="shared" ca="1" si="124"/>
        <v>4204813.9349784479</v>
      </c>
      <c r="CX23" s="40">
        <f t="shared" ca="1" si="124"/>
        <v>4204813.9349784479</v>
      </c>
      <c r="CY23" s="40">
        <f t="shared" ca="1" si="124"/>
        <v>4204813.9349784479</v>
      </c>
      <c r="CZ23" s="40">
        <f t="shared" ca="1" si="124"/>
        <v>4204813.9349784479</v>
      </c>
      <c r="DA23" s="40">
        <f t="shared" ca="1" si="124"/>
        <v>4204813.9349784479</v>
      </c>
      <c r="DB23" s="40">
        <f t="shared" ca="1" si="124"/>
        <v>4204813.9349784479</v>
      </c>
      <c r="DC23" s="40">
        <f t="shared" ca="1" si="124"/>
        <v>4204813.9349784479</v>
      </c>
      <c r="DD23" s="40">
        <f t="shared" ca="1" si="124"/>
        <v>4204813.9349784479</v>
      </c>
      <c r="DE23" s="40">
        <f t="shared" ca="1" si="124"/>
        <v>4204813.9349784479</v>
      </c>
      <c r="DF23" s="40">
        <f t="shared" ca="1" si="124"/>
        <v>4204813.9349784479</v>
      </c>
      <c r="DG23" s="40">
        <f t="shared" ca="1" si="124"/>
        <v>4204813.9349784479</v>
      </c>
      <c r="DH23" s="40">
        <f t="shared" ca="1" si="124"/>
        <v>4204813.9349784479</v>
      </c>
      <c r="DI23" s="40">
        <f t="shared" ca="1" si="124"/>
        <v>4204813.9349784479</v>
      </c>
      <c r="DJ23" s="40">
        <f t="shared" ca="1" si="124"/>
        <v>4204813.9349784479</v>
      </c>
      <c r="DK23" s="40">
        <f t="shared" ca="1" si="124"/>
        <v>4204813.9349784479</v>
      </c>
      <c r="DL23" s="40">
        <f t="shared" ca="1" si="124"/>
        <v>4204813.9349784479</v>
      </c>
      <c r="DM23" s="40">
        <f t="shared" ca="1" si="124"/>
        <v>4204813.9349784479</v>
      </c>
      <c r="DN23" s="40">
        <f t="shared" ca="1" si="124"/>
        <v>4204813.9349784479</v>
      </c>
      <c r="DO23" s="40">
        <f t="shared" ca="1" si="124"/>
        <v>4204813.9349784479</v>
      </c>
      <c r="DP23" s="40">
        <f t="shared" ca="1" si="124"/>
        <v>4204813.9349784479</v>
      </c>
      <c r="DQ23" s="40">
        <f t="shared" ca="1" si="124"/>
        <v>4204813.9349784479</v>
      </c>
      <c r="DR23" s="40">
        <f t="shared" ca="1" si="124"/>
        <v>4204813.9349784479</v>
      </c>
      <c r="DS23" s="40">
        <f t="shared" ca="1" si="124"/>
        <v>4204813.9349784479</v>
      </c>
      <c r="DT23" s="40">
        <f t="shared" ca="1" si="124"/>
        <v>4204813.9349784479</v>
      </c>
      <c r="DU23" s="40">
        <f t="shared" ca="1" si="124"/>
        <v>4204813.9349784479</v>
      </c>
      <c r="DV23" s="40">
        <f t="shared" ca="1" si="124"/>
        <v>4204813.9349784479</v>
      </c>
      <c r="DW23" s="40">
        <f t="shared" ca="1" si="124"/>
        <v>4204813.9349784479</v>
      </c>
      <c r="DX23" s="40">
        <f t="shared" ca="1" si="124"/>
        <v>4204813.9349784479</v>
      </c>
      <c r="DY23" s="40">
        <f t="shared" ca="1" si="124"/>
        <v>4204813.9349784479</v>
      </c>
      <c r="DZ23" s="40">
        <f t="shared" ca="1" si="124"/>
        <v>4204813.9349784479</v>
      </c>
      <c r="EA23" s="40">
        <f t="shared" ca="1" si="124"/>
        <v>4204813.9349784479</v>
      </c>
      <c r="EB23" s="40">
        <f t="shared" ca="1" si="124"/>
        <v>4204813.9349784479</v>
      </c>
      <c r="EC23" s="40">
        <f t="shared" ca="1" si="124"/>
        <v>4204813.9349784479</v>
      </c>
      <c r="ED23" s="40">
        <f t="shared" ca="1" si="124"/>
        <v>4204813.9349784479</v>
      </c>
      <c r="EE23" s="40">
        <f t="shared" ca="1" si="124"/>
        <v>4204813.9349784479</v>
      </c>
      <c r="EF23" s="40">
        <f t="shared" ca="1" si="125"/>
        <v>4204813.9349784479</v>
      </c>
      <c r="EG23" s="40">
        <f t="shared" ca="1" si="125"/>
        <v>4204813.9349784479</v>
      </c>
      <c r="EH23" s="40">
        <f t="shared" ca="1" si="125"/>
        <v>4204813.9349784479</v>
      </c>
      <c r="EI23" s="40">
        <f t="shared" ca="1" si="125"/>
        <v>4204813.9349784479</v>
      </c>
      <c r="EJ23" s="40">
        <f t="shared" ca="1" si="125"/>
        <v>4204813.9349784479</v>
      </c>
      <c r="EK23" s="40">
        <f t="shared" ca="1" si="125"/>
        <v>4204813.9349784479</v>
      </c>
      <c r="EL23" s="40">
        <f t="shared" ca="1" si="125"/>
        <v>4204813.9349784479</v>
      </c>
      <c r="EM23" s="40">
        <f t="shared" ca="1" si="125"/>
        <v>4204813.9349784479</v>
      </c>
      <c r="EN23" s="40">
        <f t="shared" ca="1" si="125"/>
        <v>4204813.9349784479</v>
      </c>
      <c r="EO23" s="40">
        <f t="shared" ca="1" si="125"/>
        <v>4204813.9349784479</v>
      </c>
      <c r="EP23" s="40">
        <f t="shared" ca="1" si="125"/>
        <v>4204813.9349784479</v>
      </c>
      <c r="EQ23" s="40">
        <f t="shared" ca="1" si="125"/>
        <v>4204813.9349784479</v>
      </c>
      <c r="ER23" s="40">
        <f t="shared" ca="1" si="125"/>
        <v>4204813.9349784479</v>
      </c>
      <c r="ES23" s="40">
        <f t="shared" ca="1" si="125"/>
        <v>4204813.9349784479</v>
      </c>
      <c r="ET23" s="40">
        <f t="shared" ca="1" si="125"/>
        <v>4204813.9349784479</v>
      </c>
      <c r="EU23" s="40">
        <f t="shared" ca="1" si="125"/>
        <v>4204813.9349784479</v>
      </c>
      <c r="EV23" s="40">
        <f t="shared" ca="1" si="125"/>
        <v>4204813.9349784479</v>
      </c>
      <c r="EW23" s="40">
        <f t="shared" ca="1" si="125"/>
        <v>4204813.9349784479</v>
      </c>
      <c r="EX23" s="40">
        <f t="shared" ca="1" si="125"/>
        <v>4204813.9349784479</v>
      </c>
      <c r="EY23" s="40">
        <f t="shared" ca="1" si="125"/>
        <v>4204813.9349784479</v>
      </c>
      <c r="EZ23" s="40">
        <f t="shared" ca="1" si="125"/>
        <v>4204813.9349784479</v>
      </c>
      <c r="FA23" s="40">
        <f t="shared" ca="1" si="125"/>
        <v>4204813.9349784479</v>
      </c>
      <c r="FB23" s="40">
        <f t="shared" ca="1" si="125"/>
        <v>4204813.9349784479</v>
      </c>
      <c r="FC23" s="40">
        <f t="shared" ca="1" si="125"/>
        <v>4204813.9349784479</v>
      </c>
      <c r="FD23" s="40">
        <f t="shared" ca="1" si="125"/>
        <v>4204813.9349784479</v>
      </c>
      <c r="FE23" s="40">
        <f t="shared" ca="1" si="125"/>
        <v>4204813.9349784479</v>
      </c>
      <c r="FF23" s="40">
        <f t="shared" ca="1" si="125"/>
        <v>4204813.9349784479</v>
      </c>
      <c r="FG23" s="40">
        <f t="shared" ca="1" si="125"/>
        <v>4204813.9349784479</v>
      </c>
      <c r="FH23" s="40">
        <f t="shared" ca="1" si="125"/>
        <v>4204813.9349784479</v>
      </c>
      <c r="FI23" s="40">
        <f t="shared" ca="1" si="125"/>
        <v>4204813.9349784479</v>
      </c>
      <c r="FJ23" s="40">
        <f t="shared" ca="1" si="125"/>
        <v>4204813.9349784479</v>
      </c>
      <c r="FK23" s="40">
        <f t="shared" ca="1" si="125"/>
        <v>4204813.9349784479</v>
      </c>
      <c r="FL23" s="40">
        <f t="shared" ca="1" si="125"/>
        <v>4204813.9349784479</v>
      </c>
      <c r="FM23" s="40">
        <f t="shared" ca="1" si="125"/>
        <v>4204813.9349784479</v>
      </c>
      <c r="FN23" s="40">
        <f t="shared" ca="1" si="125"/>
        <v>4204813.9349784479</v>
      </c>
      <c r="FO23" s="40">
        <f t="shared" ca="1" si="125"/>
        <v>4204813.9349784479</v>
      </c>
      <c r="FP23" s="40">
        <f t="shared" ca="1" si="125"/>
        <v>4204813.9349784479</v>
      </c>
      <c r="FQ23" s="40">
        <f t="shared" ca="1" si="125"/>
        <v>4204813.9349784479</v>
      </c>
      <c r="FR23" s="40">
        <f t="shared" ca="1" si="125"/>
        <v>4204813.9349784479</v>
      </c>
      <c r="FS23" s="40">
        <f t="shared" ca="1" si="125"/>
        <v>4204813.9349784479</v>
      </c>
      <c r="FT23" s="40">
        <f t="shared" ca="1" si="125"/>
        <v>4204813.9349784479</v>
      </c>
      <c r="FU23" s="40">
        <f t="shared" ca="1" si="125"/>
        <v>4204813.9349784479</v>
      </c>
      <c r="FV23" s="40">
        <f t="shared" ca="1" si="125"/>
        <v>4204813.9349784479</v>
      </c>
      <c r="FW23" s="40">
        <f t="shared" ca="1" si="125"/>
        <v>4204813.9349784479</v>
      </c>
      <c r="FX23" s="40">
        <f t="shared" ca="1" si="125"/>
        <v>4204813.9349784479</v>
      </c>
      <c r="FY23" s="40">
        <f t="shared" ca="1" si="125"/>
        <v>4204813.9349784479</v>
      </c>
      <c r="FZ23" s="40">
        <f t="shared" ca="1" si="125"/>
        <v>4204813.9349784479</v>
      </c>
      <c r="GA23" s="40">
        <f t="shared" ca="1" si="125"/>
        <v>4204813.9349784479</v>
      </c>
      <c r="GB23" s="40">
        <f t="shared" ca="1" si="125"/>
        <v>4204813.9349784479</v>
      </c>
      <c r="GC23" s="40">
        <f t="shared" ca="1" si="125"/>
        <v>4204813.9349784479</v>
      </c>
      <c r="GD23" s="40">
        <f t="shared" ca="1" si="125"/>
        <v>4204813.9349784479</v>
      </c>
      <c r="GE23" s="40">
        <f t="shared" ca="1" si="125"/>
        <v>4204813.9349784479</v>
      </c>
      <c r="GF23" s="40">
        <f t="shared" ca="1" si="125"/>
        <v>4204813.9349784479</v>
      </c>
      <c r="GG23" s="40">
        <f t="shared" ca="1" si="125"/>
        <v>4204813.9349784479</v>
      </c>
      <c r="GH23" s="40">
        <f t="shared" ca="1" si="125"/>
        <v>4204813.9349784479</v>
      </c>
      <c r="GI23" s="40">
        <f t="shared" ca="1" si="125"/>
        <v>4204813.9349784479</v>
      </c>
      <c r="GJ23" s="40">
        <f t="shared" ca="1" si="125"/>
        <v>4204813.9349784479</v>
      </c>
      <c r="GK23" s="40">
        <f t="shared" ca="1" si="125"/>
        <v>4204813.9349784479</v>
      </c>
      <c r="GL23" s="40">
        <f t="shared" ca="1" si="125"/>
        <v>4204813.9349784479</v>
      </c>
      <c r="GM23" s="40">
        <f t="shared" ca="1" si="125"/>
        <v>4204813.9349784479</v>
      </c>
      <c r="GN23" s="40">
        <f t="shared" ca="1" si="125"/>
        <v>4204813.9349784479</v>
      </c>
      <c r="GO23" s="40">
        <f t="shared" ca="1" si="125"/>
        <v>4204813.9349784479</v>
      </c>
      <c r="GP23" s="40">
        <f t="shared" ca="1" si="125"/>
        <v>4204813.9349784479</v>
      </c>
      <c r="GQ23" s="40">
        <f t="shared" ca="1" si="125"/>
        <v>4204813.9349784479</v>
      </c>
      <c r="GR23" s="40">
        <f t="shared" ca="1" si="126"/>
        <v>4204813.9349784479</v>
      </c>
      <c r="GS23" s="40">
        <f t="shared" ca="1" si="126"/>
        <v>4204813.9349784479</v>
      </c>
      <c r="GT23" s="40">
        <f t="shared" ca="1" si="126"/>
        <v>4204813.9349784479</v>
      </c>
      <c r="GU23" s="40">
        <f t="shared" ca="1" si="126"/>
        <v>4204813.9349784479</v>
      </c>
      <c r="GV23" s="40">
        <f t="shared" ca="1" si="126"/>
        <v>4204813.9349784479</v>
      </c>
      <c r="GW23" s="40">
        <f t="shared" ca="1" si="126"/>
        <v>4204813.9349784479</v>
      </c>
      <c r="GX23" s="40">
        <f t="shared" ca="1" si="126"/>
        <v>4204813.9349784479</v>
      </c>
      <c r="GY23" s="40">
        <f t="shared" ca="1" si="126"/>
        <v>4204813.9349784479</v>
      </c>
      <c r="GZ23" s="40">
        <f t="shared" ca="1" si="126"/>
        <v>4204813.9349784479</v>
      </c>
      <c r="HA23" s="40">
        <f t="shared" ca="1" si="126"/>
        <v>4204813.9349784479</v>
      </c>
      <c r="HB23" s="40">
        <f t="shared" ca="1" si="126"/>
        <v>4204813.9349784479</v>
      </c>
      <c r="HC23" s="40">
        <f t="shared" ca="1" si="126"/>
        <v>4204813.9349784479</v>
      </c>
      <c r="HD23" s="40">
        <f t="shared" ca="1" si="126"/>
        <v>4204813.9349784479</v>
      </c>
      <c r="HE23" s="40">
        <f t="shared" ca="1" si="126"/>
        <v>4204813.9349784479</v>
      </c>
      <c r="HF23" s="40">
        <f t="shared" ca="1" si="126"/>
        <v>4204813.9349784479</v>
      </c>
      <c r="HG23" s="40">
        <f t="shared" ca="1" si="126"/>
        <v>4204813.9349784479</v>
      </c>
      <c r="HH23" s="40">
        <f t="shared" ca="1" si="126"/>
        <v>4204813.9349784479</v>
      </c>
      <c r="HI23" s="40">
        <f t="shared" ca="1" si="126"/>
        <v>4204813.9349784479</v>
      </c>
      <c r="HJ23" s="40">
        <f t="shared" ca="1" si="126"/>
        <v>4204813.9349784479</v>
      </c>
      <c r="HK23" s="40">
        <f t="shared" ca="1" si="126"/>
        <v>4204813.9349784479</v>
      </c>
      <c r="HL23" s="40">
        <f t="shared" ca="1" si="126"/>
        <v>4204813.9349784479</v>
      </c>
      <c r="HM23" s="40">
        <f t="shared" ca="1" si="126"/>
        <v>4204813.9349784479</v>
      </c>
      <c r="HN23" s="40">
        <f t="shared" ca="1" si="126"/>
        <v>4204813.9349784479</v>
      </c>
      <c r="HO23" s="40">
        <f t="shared" ca="1" si="126"/>
        <v>4204813.9349784479</v>
      </c>
      <c r="HP23" s="40">
        <f t="shared" ca="1" si="126"/>
        <v>4204813.9349784479</v>
      </c>
      <c r="HQ23" s="40">
        <f t="shared" ca="1" si="126"/>
        <v>4204813.9349784479</v>
      </c>
      <c r="HR23" s="40">
        <f t="shared" ca="1" si="126"/>
        <v>4204813.9349784479</v>
      </c>
      <c r="HS23" s="40">
        <f t="shared" ca="1" si="126"/>
        <v>4204813.9349784479</v>
      </c>
      <c r="HT23" s="40">
        <f t="shared" ca="1" si="126"/>
        <v>4204813.9349784479</v>
      </c>
      <c r="HU23" s="40">
        <f t="shared" ca="1" si="126"/>
        <v>4204813.9349784479</v>
      </c>
      <c r="HV23" s="40">
        <f t="shared" ca="1" si="126"/>
        <v>4204813.9349784479</v>
      </c>
      <c r="HW23" s="40">
        <f t="shared" ca="1" si="126"/>
        <v>4204813.9349784479</v>
      </c>
      <c r="HX23" s="40">
        <f t="shared" ca="1" si="126"/>
        <v>4204813.9349784479</v>
      </c>
      <c r="HY23" s="40">
        <f t="shared" ca="1" si="126"/>
        <v>4204813.9349784479</v>
      </c>
      <c r="HZ23" s="40">
        <f t="shared" ca="1" si="126"/>
        <v>4204813.9349784479</v>
      </c>
      <c r="IA23" s="40">
        <f t="shared" ca="1" si="126"/>
        <v>4204813.9349784479</v>
      </c>
      <c r="IB23" s="40">
        <f t="shared" ca="1" si="126"/>
        <v>4204813.9349784479</v>
      </c>
      <c r="IC23" s="40">
        <f t="shared" ca="1" si="126"/>
        <v>4204813.9349784479</v>
      </c>
      <c r="ID23" s="40">
        <f t="shared" ca="1" si="126"/>
        <v>4204813.9349784479</v>
      </c>
      <c r="IE23" s="40">
        <f t="shared" ca="1" si="126"/>
        <v>4204813.9349784479</v>
      </c>
      <c r="IF23" s="40">
        <f t="shared" ca="1" si="126"/>
        <v>4204813.9349784479</v>
      </c>
      <c r="IG23" s="40">
        <f t="shared" ca="1" si="126"/>
        <v>4204813.9349784479</v>
      </c>
      <c r="IH23" s="40">
        <f t="shared" ca="1" si="126"/>
        <v>4204813.9349784479</v>
      </c>
      <c r="II23" s="40">
        <f t="shared" ca="1" si="126"/>
        <v>4204813.9349784479</v>
      </c>
      <c r="IJ23" s="40">
        <f t="shared" ca="1" si="126"/>
        <v>4204813.9349784479</v>
      </c>
      <c r="IK23" s="40">
        <f t="shared" ca="1" si="126"/>
        <v>4204813.9349784479</v>
      </c>
      <c r="IL23" s="40">
        <f t="shared" ca="1" si="126"/>
        <v>4204813.9349784479</v>
      </c>
      <c r="IM23" s="40">
        <f t="shared" ca="1" si="126"/>
        <v>4204813.9349784479</v>
      </c>
      <c r="IN23" s="40">
        <f t="shared" ca="1" si="126"/>
        <v>4204813.9349784479</v>
      </c>
    </row>
    <row r="24" spans="2:248" x14ac:dyDescent="0.3">
      <c r="B24" s="19" t="s">
        <v>499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474</v>
      </c>
      <c r="G25" s="27">
        <f ca="1">IF(G3=TODAY(),1,-1000)</f>
        <v>-1000</v>
      </c>
      <c r="H25" s="27">
        <f ca="1">IF(H3=TODAY(),1,-1000)</f>
        <v>-1000</v>
      </c>
      <c r="I25" s="27">
        <f ca="1">IF(I3=TODAY(),1,-1000)</f>
        <v>-1000</v>
      </c>
      <c r="J25" s="27">
        <f ca="1">IF(J3=TODAY(),1,-1000)</f>
        <v>-1000</v>
      </c>
      <c r="K25" s="27">
        <f ca="1">IF(K3=TODAY(),1,-1000)</f>
        <v>-1000</v>
      </c>
      <c r="L25" s="27">
        <f ca="1">IF(L3=TODAY(),1,-1000)</f>
        <v>-1000</v>
      </c>
      <c r="M25" s="27">
        <f ca="1">IF(M3=TODAY(),1,-1000)</f>
        <v>-1000</v>
      </c>
      <c r="N25" s="27">
        <f ca="1">IF(N3=TODAY(),1,-1000)</f>
        <v>-1000</v>
      </c>
      <c r="O25" s="27">
        <f ca="1">IF(O3=TODAY(),1,-1000)</f>
        <v>-1000</v>
      </c>
      <c r="P25" s="27">
        <f ca="1">IF(P3=TODAY(),1,-1000)</f>
        <v>-1000</v>
      </c>
      <c r="Q25" s="27">
        <f ca="1">IF(Q3=TODAY(),1,-1000)</f>
        <v>-1000</v>
      </c>
      <c r="R25" s="27">
        <f ca="1">IF(R3=TODAY(),1,-1000)</f>
        <v>-1000</v>
      </c>
      <c r="S25" s="27">
        <f ca="1">IF(S3=TODAY(),1,-1000)</f>
        <v>-1000</v>
      </c>
      <c r="T25" s="27">
        <f ca="1">IF(T3=TODAY(),1,-1000)</f>
        <v>-1000</v>
      </c>
      <c r="U25" s="27">
        <f ca="1">IF(U3=TODAY(),1,-1000)</f>
        <v>-1000</v>
      </c>
      <c r="V25" s="27">
        <f ca="1">IF(V3=TODAY(),1,-1000)</f>
        <v>-1000</v>
      </c>
      <c r="W25" s="27">
        <f ca="1">IF(W3=TODAY(),1,-1000)</f>
        <v>-1000</v>
      </c>
      <c r="X25" s="27">
        <f ca="1">IF(X3=TODAY(),1,-1000)</f>
        <v>-1000</v>
      </c>
      <c r="Y25" s="27">
        <f ca="1">IF(Y3=TODAY(),1,-1000)</f>
        <v>-1000</v>
      </c>
      <c r="Z25" s="27">
        <f ca="1">IF(Z3=TODAY(),1,-1000)</f>
        <v>-1000</v>
      </c>
      <c r="AA25" s="27">
        <f ca="1">IF(AA3=TODAY(),1,-1000)</f>
        <v>-1000</v>
      </c>
      <c r="AB25" s="27">
        <f ca="1">IF(AB3=TODAY(),1,-1000)</f>
        <v>-1000</v>
      </c>
      <c r="AC25" s="27">
        <f ca="1">IF(AC3=TODAY(),1,-1000)</f>
        <v>1</v>
      </c>
      <c r="AD25" s="27">
        <f ca="1">IF(AD3=TODAY(),1,-1000)</f>
        <v>-1000</v>
      </c>
      <c r="AE25" s="27">
        <f ca="1">IF(AE3=TODAY(),1,-1000)</f>
        <v>-1000</v>
      </c>
      <c r="AF25" s="27">
        <f ca="1">IF(AF3=TODAY(),1,-1000)</f>
        <v>-1000</v>
      </c>
      <c r="AG25" s="27">
        <f ca="1">IF(AG3=TODAY(),1,-1000)</f>
        <v>-1000</v>
      </c>
      <c r="AH25" s="27">
        <f ca="1">IF(AH3=TODAY(),1,-1000)</f>
        <v>-1000</v>
      </c>
      <c r="AI25" s="27">
        <f ca="1">IF(AI3=TODAY(),1,-1000)</f>
        <v>-1000</v>
      </c>
      <c r="AJ25" s="27">
        <f ca="1">IF(AJ3=TODAY(),1,-1000)</f>
        <v>-1000</v>
      </c>
      <c r="AK25" s="27">
        <f ca="1">IF(AK3=TODAY(),1,-1000)</f>
        <v>-1000</v>
      </c>
      <c r="AL25" s="27">
        <f ca="1">IF(AL3=TODAY(),1,-1000)</f>
        <v>-1000</v>
      </c>
      <c r="AM25" s="27">
        <f ca="1">IF(AM3=TODAY(),1,-1000)</f>
        <v>-1000</v>
      </c>
      <c r="AN25" s="27">
        <f ca="1">IF(AN3=TODAY(),1,-1000)</f>
        <v>-1000</v>
      </c>
      <c r="AO25" s="27">
        <f ca="1">IF(AO3=TODAY(),1,-1000)</f>
        <v>-1000</v>
      </c>
      <c r="AP25" s="27">
        <f ca="1">IF(AP3=TODAY(),1,-1000)</f>
        <v>-1000</v>
      </c>
      <c r="AQ25" s="27">
        <f ca="1">IF(AQ3=TODAY(),1,-1000)</f>
        <v>-1000</v>
      </c>
      <c r="AR25" s="27">
        <f ca="1">IF(AR3=TODAY(),1,-1000)</f>
        <v>-1000</v>
      </c>
      <c r="AS25" s="27">
        <f ca="1">IF(AS3=TODAY(),1,-1000)</f>
        <v>-1000</v>
      </c>
      <c r="AT25" s="27">
        <f ca="1">IF(AT3=TODAY(),1,-1000)</f>
        <v>-1000</v>
      </c>
      <c r="AU25" s="27">
        <f ca="1">IF(AU3=TODAY(),1,-1000)</f>
        <v>-1000</v>
      </c>
      <c r="AV25" s="27">
        <f ca="1">IF(AV3=TODAY(),1,-1000)</f>
        <v>-1000</v>
      </c>
      <c r="AW25" s="27">
        <f ca="1">IF(AW3=TODAY(),1,-1000)</f>
        <v>-1000</v>
      </c>
      <c r="AX25" s="27">
        <f ca="1">IF(AX3=TODAY(),1,-1000)</f>
        <v>-1000</v>
      </c>
      <c r="AY25" s="27">
        <f ca="1">IF(AY3=TODAY(),1,-1000)</f>
        <v>-1000</v>
      </c>
      <c r="AZ25" s="27">
        <f ca="1">IF(AZ3=TODAY(),1,-1000)</f>
        <v>-1000</v>
      </c>
      <c r="BA25" s="27">
        <f ca="1">IF(BA3=TODAY(),1,-1000)</f>
        <v>-1000</v>
      </c>
      <c r="BB25" s="27">
        <f ca="1">IF(BB3=TODAY(),1,-1000)</f>
        <v>-1000</v>
      </c>
      <c r="BC25" s="27">
        <f ca="1">IF(BC3=TODAY(),1,-1000)</f>
        <v>-1000</v>
      </c>
      <c r="BD25" s="27">
        <f ca="1">IF(BD3=TODAY(),1,-1000)</f>
        <v>-1000</v>
      </c>
      <c r="BE25" s="27">
        <f ca="1">IF(BE3=TODAY(),1,-1000)</f>
        <v>-1000</v>
      </c>
      <c r="BF25" s="27">
        <f ca="1">IF(BF3=TODAY(),1,-1000)</f>
        <v>-1000</v>
      </c>
      <c r="BG25" s="27">
        <f ca="1">IF(BG3=TODAY(),1,-1000)</f>
        <v>-1000</v>
      </c>
      <c r="BH25" s="27">
        <f ca="1">IF(BH3=TODAY(),1,-1000)</f>
        <v>-1000</v>
      </c>
      <c r="BI25" s="27">
        <f ca="1">IF(BI3=TODAY(),1,-1000)</f>
        <v>-1000</v>
      </c>
      <c r="BJ25" s="27">
        <f ca="1">IF(BJ3=TODAY(),1,-1000)</f>
        <v>-1000</v>
      </c>
      <c r="BK25" s="27">
        <f ca="1">IF(BK3=TODAY(),1,-1000)</f>
        <v>-1000</v>
      </c>
      <c r="BL25" s="27">
        <f ca="1">IF(BL3=TODAY(),1,-1000)</f>
        <v>-1000</v>
      </c>
      <c r="BM25" s="27">
        <f ca="1">IF(BM3=TODAY(),1,-1000)</f>
        <v>-1000</v>
      </c>
      <c r="BN25" s="27">
        <f ca="1">IF(BN3=TODAY(),1,-1000)</f>
        <v>-1000</v>
      </c>
      <c r="BO25" s="27">
        <f ca="1">IF(BO3=TODAY(),1,-1000)</f>
        <v>-1000</v>
      </c>
      <c r="BP25" s="27">
        <f ca="1">IF(BP3=TODAY(),1,-1000)</f>
        <v>-1000</v>
      </c>
      <c r="BQ25" s="27">
        <f ca="1">IF(BQ3=TODAY(),1,-1000)</f>
        <v>-1000</v>
      </c>
      <c r="BR25" s="27">
        <f ca="1">IF(BR3=TODAY(),1,-1000)</f>
        <v>-1000</v>
      </c>
      <c r="BS25" s="27">
        <f ca="1">IF(BS3=TODAY(),1,-1000)</f>
        <v>-1000</v>
      </c>
      <c r="BT25" s="27">
        <f ca="1">IF(BT3=TODAY(),1,-1000)</f>
        <v>-1000</v>
      </c>
      <c r="BU25" s="27">
        <f ca="1">IF(BU3=TODAY(),1,-1000)</f>
        <v>-1000</v>
      </c>
      <c r="BV25" s="27">
        <f ca="1">IF(BV3=TODAY(),1,-1000)</f>
        <v>-1000</v>
      </c>
      <c r="BW25" s="27">
        <f ca="1">IF(BW3=TODAY(),1,-1000)</f>
        <v>-1000</v>
      </c>
      <c r="BX25" s="27">
        <f ca="1">IF(BX3=TODAY(),1,-1000)</f>
        <v>-1000</v>
      </c>
      <c r="BY25" s="27">
        <f ca="1">IF(BY3=TODAY(),1,-1000)</f>
        <v>-1000</v>
      </c>
      <c r="BZ25" s="27">
        <f ca="1">IF(BZ3=TODAY(),1,-1000)</f>
        <v>-1000</v>
      </c>
      <c r="CA25" s="27">
        <f ca="1">IF(CA3=TODAY(),1,-1000)</f>
        <v>-1000</v>
      </c>
      <c r="CB25" s="27">
        <f ca="1">IF(CB3=TODAY(),1,-1000)</f>
        <v>-1000</v>
      </c>
      <c r="CC25" s="27">
        <f ca="1">IF(CC3=TODAY(),1,-1000)</f>
        <v>-1000</v>
      </c>
      <c r="CD25" s="27">
        <f ca="1">IF(CD3=TODAY(),1,-1000)</f>
        <v>-1000</v>
      </c>
      <c r="CE25" s="27">
        <f ca="1">IF(CE3=TODAY(),1,-1000)</f>
        <v>-1000</v>
      </c>
      <c r="CF25" s="27">
        <f ca="1">IF(CF3=TODAY(),1,-1000)</f>
        <v>-1000</v>
      </c>
      <c r="CG25" s="27">
        <f ca="1">IF(CG3=TODAY(),1,-1000)</f>
        <v>-1000</v>
      </c>
      <c r="CH25" s="27">
        <f ca="1">IF(CH3=TODAY(),1,-1000)</f>
        <v>-1000</v>
      </c>
      <c r="CI25" s="27">
        <f ca="1">IF(CI3=TODAY(),1,-1000)</f>
        <v>-1000</v>
      </c>
      <c r="CJ25" s="27">
        <f ca="1">IF(CJ3=TODAY(),1,-1000)</f>
        <v>-1000</v>
      </c>
      <c r="CK25" s="27">
        <f ca="1">IF(CK3=TODAY(),1,-1000)</f>
        <v>-1000</v>
      </c>
      <c r="CL25" s="27">
        <f ca="1">IF(CL3=TODAY(),1,-1000)</f>
        <v>-1000</v>
      </c>
      <c r="CM25" s="27">
        <f ca="1">IF(CM3=TODAY(),1,-1000)</f>
        <v>-1000</v>
      </c>
      <c r="CN25" s="27">
        <f ca="1">IF(CN3=TODAY(),1,-1000)</f>
        <v>-1000</v>
      </c>
      <c r="CO25" s="27">
        <f ca="1">IF(CO3=TODAY(),1,-1000)</f>
        <v>-1000</v>
      </c>
      <c r="CP25" s="27">
        <f ca="1">IF(CP3=TODAY(),1,-1000)</f>
        <v>-1000</v>
      </c>
      <c r="CQ25" s="27">
        <f ca="1">IF(CQ3=TODAY(),1,-1000)</f>
        <v>-1000</v>
      </c>
      <c r="CR25" s="27">
        <f ca="1">IF(CR3=TODAY(),1,-1000)</f>
        <v>-1000</v>
      </c>
      <c r="CS25" s="27">
        <f ca="1">IF(CS3=TODAY(),1,-1000)</f>
        <v>-1000</v>
      </c>
      <c r="CT25" s="27">
        <f ca="1">IF(CT3=TODAY(),1,-1000)</f>
        <v>-1000</v>
      </c>
      <c r="CU25" s="27">
        <f ca="1">IF(CU3=TODAY(),1,-1000)</f>
        <v>-1000</v>
      </c>
      <c r="CV25" s="27">
        <f ca="1">IF(CV3=TODAY(),1,-1000)</f>
        <v>-1000</v>
      </c>
      <c r="CW25" s="27">
        <f ca="1">IF(CW3=TODAY(),1,-1000)</f>
        <v>-1000</v>
      </c>
      <c r="CX25" s="27">
        <f ca="1">IF(CX3=TODAY(),1,-1000)</f>
        <v>-1000</v>
      </c>
      <c r="CY25" s="27">
        <f ca="1">IF(CY3=TODAY(),1,-1000)</f>
        <v>-1000</v>
      </c>
      <c r="CZ25" s="27">
        <f ca="1">IF(CZ3=TODAY(),1,-1000)</f>
        <v>-1000</v>
      </c>
      <c r="DA25" s="27">
        <f ca="1">IF(DA3=TODAY(),1,-1000)</f>
        <v>-1000</v>
      </c>
      <c r="DB25" s="27">
        <f ca="1">IF(DB3=TODAY(),1,-1000)</f>
        <v>-1000</v>
      </c>
      <c r="DC25" s="27">
        <f ca="1">IF(DC3=TODAY(),1,-1000)</f>
        <v>-1000</v>
      </c>
      <c r="DD25" s="27">
        <f ca="1">IF(DD3=TODAY(),1,-1000)</f>
        <v>-1000</v>
      </c>
      <c r="DE25" s="27">
        <f ca="1">IF(DE3=TODAY(),1,-1000)</f>
        <v>-1000</v>
      </c>
      <c r="DF25" s="27">
        <f ca="1">IF(DF3=TODAY(),1,-1000)</f>
        <v>-1000</v>
      </c>
      <c r="DG25" s="27">
        <f ca="1">IF(DG3=TODAY(),1,-1000)</f>
        <v>-1000</v>
      </c>
      <c r="DH25" s="27">
        <f ca="1">IF(DH3=TODAY(),1,-1000)</f>
        <v>-1000</v>
      </c>
      <c r="DI25" s="27">
        <f ca="1">IF(DI3=TODAY(),1,-1000)</f>
        <v>-1000</v>
      </c>
      <c r="DJ25" s="27">
        <f ca="1">IF(DJ3=TODAY(),1,-1000)</f>
        <v>-1000</v>
      </c>
      <c r="DK25" s="27">
        <f ca="1">IF(DK3=TODAY(),1,-1000)</f>
        <v>-1000</v>
      </c>
      <c r="DL25" s="27">
        <f ca="1">IF(DL3=TODAY(),1,-1000)</f>
        <v>-1000</v>
      </c>
      <c r="DM25" s="27">
        <f ca="1">IF(DM3=TODAY(),1,-1000)</f>
        <v>-1000</v>
      </c>
      <c r="DN25" s="27">
        <f ca="1">IF(DN3=TODAY(),1,-1000)</f>
        <v>-1000</v>
      </c>
      <c r="DO25" s="27">
        <f ca="1">IF(DO3=TODAY(),1,-1000)</f>
        <v>-1000</v>
      </c>
      <c r="DP25" s="27">
        <f ca="1">IF(DP3=TODAY(),1,-1000)</f>
        <v>-1000</v>
      </c>
      <c r="DQ25" s="27">
        <f ca="1">IF(DQ3=TODAY(),1,-1000)</f>
        <v>-1000</v>
      </c>
      <c r="DR25" s="27">
        <f ca="1">IF(DR3=TODAY(),1,-1000)</f>
        <v>-1000</v>
      </c>
      <c r="DS25" s="27">
        <f ca="1">IF(DS3=TODAY(),1,-1000)</f>
        <v>-1000</v>
      </c>
      <c r="DT25" s="27">
        <f ca="1">IF(DT3=TODAY(),1,-1000)</f>
        <v>-1000</v>
      </c>
      <c r="DU25" s="27">
        <f ca="1">IF(DU3=TODAY(),1,-1000)</f>
        <v>-1000</v>
      </c>
      <c r="DV25" s="27">
        <f ca="1">IF(DV3=TODAY(),1,-1000)</f>
        <v>-1000</v>
      </c>
      <c r="DW25" s="27">
        <f ca="1">IF(DW3=TODAY(),1,-1000)</f>
        <v>-1000</v>
      </c>
      <c r="DX25" s="27">
        <f ca="1">IF(DX3=TODAY(),1,-1000)</f>
        <v>-1000</v>
      </c>
      <c r="DY25" s="27">
        <f ca="1">IF(DY3=TODAY(),1,-1000)</f>
        <v>-1000</v>
      </c>
      <c r="DZ25" s="27">
        <f ca="1">IF(DZ3=TODAY(),1,-1000)</f>
        <v>-1000</v>
      </c>
      <c r="EA25" s="27">
        <f ca="1">IF(EA3=TODAY(),1,-1000)</f>
        <v>-1000</v>
      </c>
      <c r="EB25" s="27">
        <f ca="1">IF(EB3=TODAY(),1,-1000)</f>
        <v>-1000</v>
      </c>
      <c r="EC25" s="27">
        <f ca="1">IF(EC3=TODAY(),1,-1000)</f>
        <v>-1000</v>
      </c>
      <c r="ED25" s="27">
        <f ca="1">IF(ED3=TODAY(),1,-1000)</f>
        <v>-1000</v>
      </c>
      <c r="EE25" s="27">
        <f ca="1">IF(EE3=TODAY(),1,-1000)</f>
        <v>-1000</v>
      </c>
      <c r="EF25" s="27">
        <f ca="1">IF(EF3=TODAY(),1,-1000)</f>
        <v>-1000</v>
      </c>
      <c r="EG25" s="27">
        <f ca="1">IF(EG3=TODAY(),1,-1000)</f>
        <v>-1000</v>
      </c>
      <c r="EH25" s="27">
        <f ca="1">IF(EH3=TODAY(),1,-1000)</f>
        <v>-1000</v>
      </c>
      <c r="EI25" s="27">
        <f ca="1">IF(EI3=TODAY(),1,-1000)</f>
        <v>-1000</v>
      </c>
      <c r="EJ25" s="27">
        <f ca="1">IF(EJ3=TODAY(),1,-1000)</f>
        <v>-1000</v>
      </c>
      <c r="EK25" s="27">
        <f ca="1">IF(EK3=TODAY(),1,-1000)</f>
        <v>-1000</v>
      </c>
      <c r="EL25" s="27">
        <f ca="1">IF(EL3=TODAY(),1,-1000)</f>
        <v>-1000</v>
      </c>
      <c r="EM25" s="27">
        <f ca="1">IF(EM3=TODAY(),1,-1000)</f>
        <v>-1000</v>
      </c>
      <c r="EN25" s="27">
        <f ca="1">IF(EN3=TODAY(),1,-1000)</f>
        <v>-1000</v>
      </c>
      <c r="EO25" s="27">
        <f ca="1">IF(EO3=TODAY(),1,-1000)</f>
        <v>-1000</v>
      </c>
      <c r="EP25" s="27">
        <f ca="1">IF(EP3=TODAY(),1,-1000)</f>
        <v>-1000</v>
      </c>
      <c r="EQ25" s="27">
        <f ca="1">IF(EQ3=TODAY(),1,-1000)</f>
        <v>-1000</v>
      </c>
      <c r="ER25" s="27">
        <f ca="1">IF(ER3=TODAY(),1,-1000)</f>
        <v>-1000</v>
      </c>
      <c r="ES25" s="27">
        <f ca="1">IF(ES3=TODAY(),1,-1000)</f>
        <v>-1000</v>
      </c>
      <c r="ET25" s="27">
        <f ca="1">IF(ET3=TODAY(),1,-1000)</f>
        <v>-1000</v>
      </c>
      <c r="EU25" s="27">
        <f ca="1">IF(EU3=TODAY(),1,-1000)</f>
        <v>-1000</v>
      </c>
      <c r="EV25" s="27">
        <f ca="1">IF(EV3=TODAY(),1,-1000)</f>
        <v>-1000</v>
      </c>
      <c r="EW25" s="27">
        <f ca="1">IF(EW3=TODAY(),1,-1000)</f>
        <v>-1000</v>
      </c>
      <c r="EX25" s="27">
        <f ca="1">IF(EX3=TODAY(),1,-1000)</f>
        <v>-1000</v>
      </c>
      <c r="EY25" s="27">
        <f ca="1">IF(EY3=TODAY(),1,-1000)</f>
        <v>-1000</v>
      </c>
      <c r="EZ25" s="27">
        <f ca="1">IF(EZ3=TODAY(),1,-1000)</f>
        <v>-1000</v>
      </c>
      <c r="FA25" s="27">
        <f ca="1">IF(FA3=TODAY(),1,-1000)</f>
        <v>-1000</v>
      </c>
      <c r="FB25" s="27">
        <f ca="1">IF(FB3=TODAY(),1,-1000)</f>
        <v>-1000</v>
      </c>
      <c r="FC25" s="27">
        <f ca="1">IF(FC3=TODAY(),1,-1000)</f>
        <v>-1000</v>
      </c>
      <c r="FD25" s="27">
        <f ca="1">IF(FD3=TODAY(),1,-1000)</f>
        <v>-1000</v>
      </c>
      <c r="FE25" s="27">
        <f ca="1">IF(FE3=TODAY(),1,-1000)</f>
        <v>-1000</v>
      </c>
      <c r="FF25" s="27">
        <f ca="1">IF(FF3=TODAY(),1,-1000)</f>
        <v>-1000</v>
      </c>
      <c r="FG25" s="27">
        <f ca="1">IF(FG3=TODAY(),1,-1000)</f>
        <v>-1000</v>
      </c>
      <c r="FH25" s="27">
        <f ca="1">IF(FH3=TODAY(),1,-1000)</f>
        <v>-1000</v>
      </c>
      <c r="FI25" s="27">
        <f ca="1">IF(FI3=TODAY(),1,-1000)</f>
        <v>-1000</v>
      </c>
      <c r="FJ25" s="27">
        <f ca="1">IF(FJ3=TODAY(),1,-1000)</f>
        <v>-1000</v>
      </c>
      <c r="FK25" s="27">
        <f ca="1">IF(FK3=TODAY(),1,-1000)</f>
        <v>-1000</v>
      </c>
      <c r="FL25" s="27">
        <f ca="1">IF(FL3=TODAY(),1,-1000)</f>
        <v>-1000</v>
      </c>
      <c r="FM25" s="27">
        <f ca="1">IF(FM3=TODAY(),1,-1000)</f>
        <v>-1000</v>
      </c>
      <c r="FN25" s="27">
        <f ca="1">IF(FN3=TODAY(),1,-1000)</f>
        <v>-1000</v>
      </c>
      <c r="FO25" s="27">
        <f ca="1">IF(FO3=TODAY(),1,-1000)</f>
        <v>-1000</v>
      </c>
      <c r="FP25" s="27">
        <f ca="1">IF(FP3=TODAY(),1,-1000)</f>
        <v>-1000</v>
      </c>
      <c r="FQ25" s="27">
        <f ca="1">IF(FQ3=TODAY(),1,-1000)</f>
        <v>-1000</v>
      </c>
      <c r="FR25" s="27">
        <f ca="1">IF(FR3=TODAY(),1,-1000)</f>
        <v>-1000</v>
      </c>
      <c r="FS25" s="27">
        <f ca="1">IF(FS3=TODAY(),1,-1000)</f>
        <v>-1000</v>
      </c>
      <c r="FT25" s="27">
        <f ca="1">IF(FT3=TODAY(),1,-1000)</f>
        <v>-1000</v>
      </c>
      <c r="FU25" s="27">
        <f ca="1">IF(FU3=TODAY(),1,-1000)</f>
        <v>-1000</v>
      </c>
      <c r="FV25" s="27">
        <f ca="1">IF(FV3=TODAY(),1,-1000)</f>
        <v>-1000</v>
      </c>
      <c r="FW25" s="27">
        <f ca="1">IF(FW3=TODAY(),1,-1000)</f>
        <v>-1000</v>
      </c>
      <c r="FX25" s="27">
        <f ca="1">IF(FX3=TODAY(),1,-1000)</f>
        <v>-1000</v>
      </c>
      <c r="FY25" s="27">
        <f ca="1">IF(FY3=TODAY(),1,-1000)</f>
        <v>-1000</v>
      </c>
      <c r="FZ25" s="27">
        <f ca="1">IF(FZ3=TODAY(),1,-1000)</f>
        <v>-1000</v>
      </c>
      <c r="GA25" s="27">
        <f ca="1">IF(GA3=TODAY(),1,-1000)</f>
        <v>-1000</v>
      </c>
      <c r="GB25" s="27">
        <f ca="1">IF(GB3=TODAY(),1,-1000)</f>
        <v>-1000</v>
      </c>
      <c r="GC25" s="27">
        <f ca="1">IF(GC3=TODAY(),1,-1000)</f>
        <v>-1000</v>
      </c>
      <c r="GD25" s="27">
        <f ca="1">IF(GD3=TODAY(),1,-1000)</f>
        <v>-1000</v>
      </c>
      <c r="GE25" s="27">
        <f ca="1">IF(GE3=TODAY(),1,-1000)</f>
        <v>-1000</v>
      </c>
      <c r="GF25" s="27">
        <f ca="1">IF(GF3=TODAY(),1,-1000)</f>
        <v>-1000</v>
      </c>
      <c r="GG25" s="27">
        <f ca="1">IF(GG3=TODAY(),1,-1000)</f>
        <v>-1000</v>
      </c>
      <c r="GH25" s="27">
        <f ca="1">IF(GH3=TODAY(),1,-1000)</f>
        <v>-1000</v>
      </c>
      <c r="GI25" s="27">
        <f ca="1">IF(GI3=TODAY(),1,-1000)</f>
        <v>-1000</v>
      </c>
      <c r="GJ25" s="27">
        <f ca="1">IF(GJ3=TODAY(),1,-1000)</f>
        <v>-1000</v>
      </c>
      <c r="GK25" s="27">
        <f ca="1">IF(GK3=TODAY(),1,-1000)</f>
        <v>-1000</v>
      </c>
      <c r="GL25" s="27">
        <f ca="1">IF(GL3=TODAY(),1,-1000)</f>
        <v>-1000</v>
      </c>
      <c r="GM25" s="27">
        <f ca="1">IF(GM3=TODAY(),1,-1000)</f>
        <v>-1000</v>
      </c>
      <c r="GN25" s="27">
        <f ca="1">IF(GN3=TODAY(),1,-1000)</f>
        <v>-1000</v>
      </c>
      <c r="GO25" s="27">
        <f ca="1">IF(GO3=TODAY(),1,-1000)</f>
        <v>-1000</v>
      </c>
      <c r="GP25" s="27">
        <f ca="1">IF(GP3=TODAY(),1,-1000)</f>
        <v>-1000</v>
      </c>
      <c r="GQ25" s="27">
        <f ca="1">IF(GQ3=TODAY(),1,-1000)</f>
        <v>-1000</v>
      </c>
      <c r="GR25" s="27">
        <f ca="1">IF(GR3=TODAY(),1,-1000)</f>
        <v>-1000</v>
      </c>
      <c r="GS25" s="27">
        <f ca="1">IF(GS3=TODAY(),1,-1000)</f>
        <v>-1000</v>
      </c>
      <c r="GT25" s="27">
        <f ca="1">IF(GT3=TODAY(),1,-1000)</f>
        <v>-1000</v>
      </c>
      <c r="GU25" s="27">
        <f ca="1">IF(GU3=TODAY(),1,-1000)</f>
        <v>-1000</v>
      </c>
      <c r="GV25" s="27">
        <f ca="1">IF(GV3=TODAY(),1,-1000)</f>
        <v>-1000</v>
      </c>
      <c r="GW25" s="27">
        <f ca="1">IF(GW3=TODAY(),1,-1000)</f>
        <v>-1000</v>
      </c>
      <c r="GX25" s="27">
        <f ca="1">IF(GX3=TODAY(),1,-1000)</f>
        <v>-1000</v>
      </c>
      <c r="GY25" s="27">
        <f ca="1">IF(GY3=TODAY(),1,-1000)</f>
        <v>-1000</v>
      </c>
      <c r="GZ25" s="27">
        <f ca="1">IF(GZ3=TODAY(),1,-1000)</f>
        <v>-1000</v>
      </c>
      <c r="HA25" s="27">
        <f ca="1">IF(HA3=TODAY(),1,-1000)</f>
        <v>-1000</v>
      </c>
      <c r="HB25" s="27">
        <f ca="1">IF(HB3=TODAY(),1,-1000)</f>
        <v>-1000</v>
      </c>
      <c r="HC25" s="27">
        <f ca="1">IF(HC3=TODAY(),1,-1000)</f>
        <v>-1000</v>
      </c>
      <c r="HD25" s="27">
        <f ca="1">IF(HD3=TODAY(),1,-1000)</f>
        <v>-1000</v>
      </c>
      <c r="HE25" s="27">
        <f ca="1">IF(HE3=TODAY(),1,-1000)</f>
        <v>-1000</v>
      </c>
      <c r="HF25" s="27">
        <f ca="1">IF(HF3=TODAY(),1,-1000)</f>
        <v>-1000</v>
      </c>
      <c r="HG25" s="27">
        <f ca="1">IF(HG3=TODAY(),1,-1000)</f>
        <v>-1000</v>
      </c>
      <c r="HH25" s="27">
        <f ca="1">IF(HH3=TODAY(),1,-1000)</f>
        <v>-1000</v>
      </c>
      <c r="HI25" s="27">
        <f ca="1">IF(HI3=TODAY(),1,-1000)</f>
        <v>-1000</v>
      </c>
      <c r="HJ25" s="27">
        <f ca="1">IF(HJ3=TODAY(),1,-1000)</f>
        <v>-1000</v>
      </c>
      <c r="HK25" s="27">
        <f ca="1">IF(HK3=TODAY(),1,-1000)</f>
        <v>-1000</v>
      </c>
      <c r="HL25" s="27">
        <f ca="1">IF(HL3=TODAY(),1,-1000)</f>
        <v>-1000</v>
      </c>
      <c r="HM25" s="27">
        <f ca="1">IF(HM3=TODAY(),1,-1000)</f>
        <v>-1000</v>
      </c>
      <c r="HN25" s="27">
        <f ca="1">IF(HN3=TODAY(),1,-1000)</f>
        <v>-1000</v>
      </c>
      <c r="HO25" s="27">
        <f ca="1">IF(HO3=TODAY(),1,-1000)</f>
        <v>-1000</v>
      </c>
      <c r="HP25" s="27">
        <f ca="1">IF(HP3=TODAY(),1,-1000)</f>
        <v>-1000</v>
      </c>
      <c r="HQ25" s="27">
        <f ca="1">IF(HQ3=TODAY(),1,-1000)</f>
        <v>-1000</v>
      </c>
      <c r="HR25" s="27">
        <f ca="1">IF(HR3=TODAY(),1,-1000)</f>
        <v>-1000</v>
      </c>
      <c r="HS25" s="27">
        <f ca="1">IF(HS3=TODAY(),1,-1000)</f>
        <v>-1000</v>
      </c>
      <c r="HT25" s="27">
        <f ca="1">IF(HT3=TODAY(),1,-1000)</f>
        <v>-1000</v>
      </c>
      <c r="HU25" s="27">
        <f ca="1">IF(HU3=TODAY(),1,-1000)</f>
        <v>-1000</v>
      </c>
      <c r="HV25" s="27">
        <f ca="1">IF(HV3=TODAY(),1,-1000)</f>
        <v>-1000</v>
      </c>
      <c r="HW25" s="27">
        <f ca="1">IF(HW3=TODAY(),1,-1000)</f>
        <v>-1000</v>
      </c>
      <c r="HX25" s="27">
        <f ca="1">IF(HX3=TODAY(),1,-1000)</f>
        <v>-1000</v>
      </c>
      <c r="HY25" s="27">
        <f ca="1">IF(HY3=TODAY(),1,-1000)</f>
        <v>-1000</v>
      </c>
      <c r="HZ25" s="27">
        <f ca="1">IF(HZ3=TODAY(),1,-1000)</f>
        <v>-1000</v>
      </c>
      <c r="IA25" s="27">
        <f ca="1">IF(IA3=TODAY(),1,-1000)</f>
        <v>-1000</v>
      </c>
      <c r="IB25" s="27">
        <f ca="1">IF(IB3=TODAY(),1,-1000)</f>
        <v>-1000</v>
      </c>
      <c r="IC25" s="27">
        <f ca="1">IF(IC3=TODAY(),1,-1000)</f>
        <v>-1000</v>
      </c>
      <c r="ID25" s="27">
        <f ca="1">IF(ID3=TODAY(),1,-1000)</f>
        <v>-1000</v>
      </c>
      <c r="IE25" s="27">
        <f ca="1">IF(IE3=TODAY(),1,-1000)</f>
        <v>-1000</v>
      </c>
      <c r="IF25" s="27">
        <f ca="1">IF(IF3=TODAY(),1,-1000)</f>
        <v>-1000</v>
      </c>
      <c r="IG25" s="27">
        <f ca="1">IF(IG3=TODAY(),1,-1000)</f>
        <v>-1000</v>
      </c>
      <c r="IH25" s="27">
        <f ca="1">IF(IH3=TODAY(),1,-1000)</f>
        <v>-1000</v>
      </c>
      <c r="II25" s="27">
        <f ca="1">IF(II3=TODAY(),1,-1000)</f>
        <v>-1000</v>
      </c>
      <c r="IJ25" s="27">
        <f ca="1">IF(IJ3=TODAY(),1,-1000)</f>
        <v>-1000</v>
      </c>
      <c r="IK25" s="27">
        <f ca="1">IF(IK3=TODAY(),1,-1000)</f>
        <v>-1000</v>
      </c>
      <c r="IL25" s="27">
        <f ca="1">IF(IL3=TODAY(),1,-1000)</f>
        <v>-1000</v>
      </c>
      <c r="IM25" s="27">
        <f ca="1">IF(IM3=TODAY(),1,-1000)</f>
        <v>-1000</v>
      </c>
      <c r="IN25" s="27">
        <f ca="1">IF(IN3=TODAY(),1,-1000)</f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29">IF(AND(H20&gt;H19,G20&lt;G19),1,0)</f>
        <v>0</v>
      </c>
      <c r="I26" s="26">
        <f t="shared" ca="1" si="129"/>
        <v>0</v>
      </c>
      <c r="J26" s="26">
        <f t="shared" ca="1" si="129"/>
        <v>0</v>
      </c>
      <c r="K26" s="26">
        <f t="shared" ca="1" si="129"/>
        <v>0</v>
      </c>
      <c r="L26" s="26">
        <f t="shared" ca="1" si="129"/>
        <v>0</v>
      </c>
      <c r="M26" s="26">
        <f t="shared" ca="1" si="129"/>
        <v>0</v>
      </c>
      <c r="N26" s="26">
        <f t="shared" ca="1" si="129"/>
        <v>0</v>
      </c>
      <c r="O26" s="26">
        <f t="shared" ca="1" si="129"/>
        <v>0</v>
      </c>
      <c r="P26" s="26">
        <f t="shared" ca="1" si="129"/>
        <v>0</v>
      </c>
      <c r="Q26" s="26">
        <f t="shared" ca="1" si="129"/>
        <v>0</v>
      </c>
      <c r="R26" s="26">
        <f t="shared" ca="1" si="129"/>
        <v>0</v>
      </c>
      <c r="S26" s="26">
        <f t="shared" ca="1" si="129"/>
        <v>0</v>
      </c>
      <c r="T26" s="26">
        <f t="shared" ca="1" si="129"/>
        <v>0</v>
      </c>
      <c r="U26" s="26">
        <f t="shared" ca="1" si="129"/>
        <v>0</v>
      </c>
      <c r="V26" s="26">
        <f t="shared" ca="1" si="129"/>
        <v>0</v>
      </c>
      <c r="W26" s="26">
        <f t="shared" ca="1" si="129"/>
        <v>0</v>
      </c>
      <c r="X26" s="26">
        <f t="shared" ca="1" si="129"/>
        <v>0</v>
      </c>
      <c r="Y26" s="26">
        <f t="shared" ca="1" si="129"/>
        <v>0</v>
      </c>
      <c r="Z26" s="26">
        <f t="shared" ca="1" si="129"/>
        <v>0</v>
      </c>
      <c r="AA26" s="26">
        <f t="shared" ca="1" si="129"/>
        <v>0</v>
      </c>
      <c r="AB26" s="26">
        <f t="shared" ca="1" si="129"/>
        <v>0</v>
      </c>
      <c r="AC26" s="26">
        <f t="shared" ca="1" si="129"/>
        <v>0</v>
      </c>
      <c r="AD26" s="26">
        <f t="shared" ca="1" si="129"/>
        <v>0</v>
      </c>
      <c r="AE26" s="26">
        <f t="shared" ca="1" si="129"/>
        <v>0</v>
      </c>
      <c r="AF26" s="26">
        <f t="shared" ca="1" si="129"/>
        <v>0</v>
      </c>
      <c r="AG26" s="26">
        <f t="shared" ca="1" si="129"/>
        <v>0</v>
      </c>
      <c r="AH26" s="26">
        <f t="shared" ca="1" si="129"/>
        <v>0</v>
      </c>
      <c r="AI26" s="26">
        <f t="shared" ca="1" si="129"/>
        <v>0</v>
      </c>
      <c r="AJ26" s="26">
        <f t="shared" ca="1" si="129"/>
        <v>0</v>
      </c>
      <c r="AK26" s="26">
        <f t="shared" ca="1" si="129"/>
        <v>0</v>
      </c>
      <c r="AL26" s="26">
        <f t="shared" ca="1" si="129"/>
        <v>0</v>
      </c>
      <c r="AM26" s="26">
        <f t="shared" ca="1" si="129"/>
        <v>0</v>
      </c>
      <c r="AN26" s="26">
        <f t="shared" ca="1" si="129"/>
        <v>1</v>
      </c>
      <c r="AO26" s="26">
        <f t="shared" ca="1" si="129"/>
        <v>0</v>
      </c>
      <c r="AP26" s="26">
        <f t="shared" ca="1" si="129"/>
        <v>0</v>
      </c>
      <c r="AQ26" s="26">
        <f t="shared" ca="1" si="129"/>
        <v>0</v>
      </c>
      <c r="AR26" s="26">
        <f t="shared" ca="1" si="129"/>
        <v>0</v>
      </c>
      <c r="AS26" s="26">
        <f t="shared" ca="1" si="129"/>
        <v>0</v>
      </c>
      <c r="AT26" s="26">
        <f t="shared" ca="1" si="129"/>
        <v>0</v>
      </c>
      <c r="AU26" s="26">
        <f t="shared" ca="1" si="129"/>
        <v>0</v>
      </c>
      <c r="AV26" s="26">
        <f t="shared" ca="1" si="129"/>
        <v>0</v>
      </c>
      <c r="AW26" s="26">
        <f t="shared" ca="1" si="129"/>
        <v>0</v>
      </c>
      <c r="AX26" s="26">
        <f t="shared" ca="1" si="129"/>
        <v>0</v>
      </c>
      <c r="AY26" s="26">
        <f t="shared" ca="1" si="129"/>
        <v>0</v>
      </c>
      <c r="AZ26" s="26">
        <f t="shared" ca="1" si="129"/>
        <v>0</v>
      </c>
      <c r="BA26" s="26">
        <f t="shared" ca="1" si="129"/>
        <v>0</v>
      </c>
      <c r="BB26" s="26">
        <f t="shared" ca="1" si="129"/>
        <v>0</v>
      </c>
      <c r="BC26" s="26">
        <f t="shared" ca="1" si="129"/>
        <v>0</v>
      </c>
      <c r="BD26" s="26">
        <f t="shared" ca="1" si="129"/>
        <v>0</v>
      </c>
      <c r="BE26" s="26">
        <f t="shared" ca="1" si="129"/>
        <v>0</v>
      </c>
      <c r="BF26" s="26">
        <f t="shared" ca="1" si="129"/>
        <v>0</v>
      </c>
      <c r="BG26" s="26">
        <f t="shared" ca="1" si="129"/>
        <v>0</v>
      </c>
      <c r="BH26" s="26">
        <f t="shared" ca="1" si="129"/>
        <v>0</v>
      </c>
      <c r="BI26" s="26">
        <f t="shared" ca="1" si="129"/>
        <v>0</v>
      </c>
      <c r="BJ26" s="26">
        <f t="shared" ca="1" si="129"/>
        <v>0</v>
      </c>
      <c r="BK26" s="26">
        <f t="shared" ca="1" si="129"/>
        <v>0</v>
      </c>
      <c r="BL26" s="26">
        <f t="shared" ca="1" si="129"/>
        <v>0</v>
      </c>
      <c r="BM26" s="26">
        <f t="shared" ca="1" si="129"/>
        <v>0</v>
      </c>
      <c r="BN26" s="26">
        <f t="shared" ca="1" si="129"/>
        <v>0</v>
      </c>
      <c r="BO26" s="26">
        <f t="shared" ca="1" si="129"/>
        <v>0</v>
      </c>
      <c r="BP26" s="26">
        <f t="shared" ca="1" si="129"/>
        <v>0</v>
      </c>
      <c r="BQ26" s="26">
        <f t="shared" ca="1" si="129"/>
        <v>0</v>
      </c>
      <c r="BR26" s="26">
        <f t="shared" ca="1" si="129"/>
        <v>0</v>
      </c>
      <c r="BS26" s="26">
        <f t="shared" ca="1" si="129"/>
        <v>0</v>
      </c>
      <c r="BT26" s="26">
        <f t="shared" ref="BT26:EE26" ca="1" si="130">IF(AND(BT20&gt;BT19,BS20&lt;BS19),1,0)</f>
        <v>0</v>
      </c>
      <c r="BU26" s="26">
        <f t="shared" ca="1" si="130"/>
        <v>0</v>
      </c>
      <c r="BV26" s="26">
        <f t="shared" ca="1" si="130"/>
        <v>0</v>
      </c>
      <c r="BW26" s="26">
        <f t="shared" ca="1" si="130"/>
        <v>0</v>
      </c>
      <c r="BX26" s="26">
        <f t="shared" ca="1" si="130"/>
        <v>0</v>
      </c>
      <c r="BY26" s="26">
        <f t="shared" ca="1" si="130"/>
        <v>0</v>
      </c>
      <c r="BZ26" s="26">
        <f t="shared" ca="1" si="130"/>
        <v>0</v>
      </c>
      <c r="CA26" s="26">
        <f t="shared" ca="1" si="130"/>
        <v>0</v>
      </c>
      <c r="CB26" s="26">
        <f t="shared" ca="1" si="130"/>
        <v>0</v>
      </c>
      <c r="CC26" s="26">
        <f t="shared" ca="1" si="130"/>
        <v>0</v>
      </c>
      <c r="CD26" s="26">
        <f t="shared" ca="1" si="130"/>
        <v>0</v>
      </c>
      <c r="CE26" s="26">
        <f t="shared" ca="1" si="130"/>
        <v>0</v>
      </c>
      <c r="CF26" s="26">
        <f t="shared" ca="1" si="130"/>
        <v>0</v>
      </c>
      <c r="CG26" s="26">
        <f t="shared" ca="1" si="130"/>
        <v>0</v>
      </c>
      <c r="CH26" s="26">
        <f t="shared" ca="1" si="130"/>
        <v>0</v>
      </c>
      <c r="CI26" s="26">
        <f t="shared" ca="1" si="130"/>
        <v>0</v>
      </c>
      <c r="CJ26" s="26">
        <f t="shared" ca="1" si="130"/>
        <v>0</v>
      </c>
      <c r="CK26" s="26">
        <f t="shared" ca="1" si="130"/>
        <v>0</v>
      </c>
      <c r="CL26" s="26">
        <f t="shared" ca="1" si="130"/>
        <v>0</v>
      </c>
      <c r="CM26" s="26">
        <f t="shared" ca="1" si="130"/>
        <v>0</v>
      </c>
      <c r="CN26" s="26">
        <f t="shared" ca="1" si="130"/>
        <v>0</v>
      </c>
      <c r="CO26" s="26">
        <f t="shared" ca="1" si="130"/>
        <v>0</v>
      </c>
      <c r="CP26" s="26">
        <f t="shared" ca="1" si="130"/>
        <v>0</v>
      </c>
      <c r="CQ26" s="26">
        <f t="shared" ca="1" si="130"/>
        <v>0</v>
      </c>
      <c r="CR26" s="26">
        <f t="shared" ca="1" si="130"/>
        <v>0</v>
      </c>
      <c r="CS26" s="26">
        <f t="shared" ca="1" si="130"/>
        <v>0</v>
      </c>
      <c r="CT26" s="26">
        <f t="shared" ca="1" si="130"/>
        <v>0</v>
      </c>
      <c r="CU26" s="26">
        <f t="shared" ca="1" si="130"/>
        <v>0</v>
      </c>
      <c r="CV26" s="26">
        <f t="shared" ca="1" si="130"/>
        <v>0</v>
      </c>
      <c r="CW26" s="26">
        <f t="shared" ca="1" si="130"/>
        <v>0</v>
      </c>
      <c r="CX26" s="26">
        <f t="shared" ca="1" si="130"/>
        <v>0</v>
      </c>
      <c r="CY26" s="26">
        <f t="shared" ca="1" si="130"/>
        <v>0</v>
      </c>
      <c r="CZ26" s="26">
        <f t="shared" ca="1" si="130"/>
        <v>0</v>
      </c>
      <c r="DA26" s="26">
        <f t="shared" ca="1" si="130"/>
        <v>0</v>
      </c>
      <c r="DB26" s="26">
        <f t="shared" ca="1" si="130"/>
        <v>0</v>
      </c>
      <c r="DC26" s="26">
        <f t="shared" ca="1" si="130"/>
        <v>0</v>
      </c>
      <c r="DD26" s="26">
        <f t="shared" ca="1" si="130"/>
        <v>0</v>
      </c>
      <c r="DE26" s="26">
        <f t="shared" ca="1" si="130"/>
        <v>0</v>
      </c>
      <c r="DF26" s="26">
        <f t="shared" ca="1" si="130"/>
        <v>0</v>
      </c>
      <c r="DG26" s="26">
        <f t="shared" ca="1" si="130"/>
        <v>0</v>
      </c>
      <c r="DH26" s="26">
        <f t="shared" ca="1" si="130"/>
        <v>0</v>
      </c>
      <c r="DI26" s="26">
        <f t="shared" ca="1" si="130"/>
        <v>0</v>
      </c>
      <c r="DJ26" s="26">
        <f t="shared" ca="1" si="130"/>
        <v>0</v>
      </c>
      <c r="DK26" s="26">
        <f t="shared" ca="1" si="130"/>
        <v>0</v>
      </c>
      <c r="DL26" s="26">
        <f t="shared" ca="1" si="130"/>
        <v>0</v>
      </c>
      <c r="DM26" s="26">
        <f t="shared" ca="1" si="130"/>
        <v>0</v>
      </c>
      <c r="DN26" s="26">
        <f t="shared" ca="1" si="130"/>
        <v>0</v>
      </c>
      <c r="DO26" s="26">
        <f t="shared" ca="1" si="130"/>
        <v>0</v>
      </c>
      <c r="DP26" s="26">
        <f t="shared" ca="1" si="130"/>
        <v>0</v>
      </c>
      <c r="DQ26" s="26">
        <f t="shared" ca="1" si="130"/>
        <v>0</v>
      </c>
      <c r="DR26" s="26">
        <f t="shared" ca="1" si="130"/>
        <v>0</v>
      </c>
      <c r="DS26" s="26">
        <f t="shared" ca="1" si="130"/>
        <v>0</v>
      </c>
      <c r="DT26" s="26">
        <f t="shared" ca="1" si="130"/>
        <v>0</v>
      </c>
      <c r="DU26" s="26">
        <f t="shared" ca="1" si="130"/>
        <v>0</v>
      </c>
      <c r="DV26" s="26">
        <f t="shared" ca="1" si="130"/>
        <v>0</v>
      </c>
      <c r="DW26" s="26">
        <f t="shared" ca="1" si="130"/>
        <v>0</v>
      </c>
      <c r="DX26" s="26">
        <f t="shared" ca="1" si="130"/>
        <v>0</v>
      </c>
      <c r="DY26" s="26">
        <f t="shared" ca="1" si="130"/>
        <v>0</v>
      </c>
      <c r="DZ26" s="26">
        <f t="shared" ca="1" si="130"/>
        <v>0</v>
      </c>
      <c r="EA26" s="26">
        <f t="shared" ca="1" si="130"/>
        <v>0</v>
      </c>
      <c r="EB26" s="26">
        <f t="shared" ca="1" si="130"/>
        <v>0</v>
      </c>
      <c r="EC26" s="26">
        <f t="shared" ca="1" si="130"/>
        <v>0</v>
      </c>
      <c r="ED26" s="26">
        <f t="shared" ca="1" si="130"/>
        <v>0</v>
      </c>
      <c r="EE26" s="26">
        <f t="shared" ca="1" si="130"/>
        <v>0</v>
      </c>
      <c r="EF26" s="26">
        <f t="shared" ref="EF26:GQ26" ca="1" si="131">IF(AND(EF20&gt;EF19,EE20&lt;EE19),1,0)</f>
        <v>0</v>
      </c>
      <c r="EG26" s="26">
        <f t="shared" ca="1" si="131"/>
        <v>0</v>
      </c>
      <c r="EH26" s="26">
        <f t="shared" ca="1" si="131"/>
        <v>0</v>
      </c>
      <c r="EI26" s="26">
        <f t="shared" ca="1" si="131"/>
        <v>0</v>
      </c>
      <c r="EJ26" s="26">
        <f t="shared" ca="1" si="131"/>
        <v>0</v>
      </c>
      <c r="EK26" s="26">
        <f t="shared" ca="1" si="131"/>
        <v>0</v>
      </c>
      <c r="EL26" s="26">
        <f t="shared" ca="1" si="131"/>
        <v>0</v>
      </c>
      <c r="EM26" s="26">
        <f t="shared" ca="1" si="131"/>
        <v>0</v>
      </c>
      <c r="EN26" s="26">
        <f t="shared" ca="1" si="131"/>
        <v>0</v>
      </c>
      <c r="EO26" s="26">
        <f t="shared" ca="1" si="131"/>
        <v>0</v>
      </c>
      <c r="EP26" s="26">
        <f t="shared" ca="1" si="131"/>
        <v>0</v>
      </c>
      <c r="EQ26" s="26">
        <f t="shared" ca="1" si="131"/>
        <v>0</v>
      </c>
      <c r="ER26" s="26">
        <f t="shared" ca="1" si="131"/>
        <v>0</v>
      </c>
      <c r="ES26" s="26">
        <f t="shared" ca="1" si="131"/>
        <v>0</v>
      </c>
      <c r="ET26" s="26">
        <f t="shared" ca="1" si="131"/>
        <v>0</v>
      </c>
      <c r="EU26" s="26">
        <f t="shared" ca="1" si="131"/>
        <v>0</v>
      </c>
      <c r="EV26" s="26">
        <f t="shared" ca="1" si="131"/>
        <v>0</v>
      </c>
      <c r="EW26" s="26">
        <f t="shared" ca="1" si="131"/>
        <v>0</v>
      </c>
      <c r="EX26" s="26">
        <f t="shared" ca="1" si="131"/>
        <v>0</v>
      </c>
      <c r="EY26" s="26">
        <f t="shared" ca="1" si="131"/>
        <v>0</v>
      </c>
      <c r="EZ26" s="26">
        <f t="shared" ca="1" si="131"/>
        <v>0</v>
      </c>
      <c r="FA26" s="26">
        <f t="shared" ca="1" si="131"/>
        <v>0</v>
      </c>
      <c r="FB26" s="26">
        <f t="shared" ca="1" si="131"/>
        <v>0</v>
      </c>
      <c r="FC26" s="26">
        <f t="shared" ca="1" si="131"/>
        <v>0</v>
      </c>
      <c r="FD26" s="26">
        <f t="shared" ca="1" si="131"/>
        <v>0</v>
      </c>
      <c r="FE26" s="26">
        <f t="shared" ca="1" si="131"/>
        <v>0</v>
      </c>
      <c r="FF26" s="26">
        <f t="shared" ca="1" si="131"/>
        <v>0</v>
      </c>
      <c r="FG26" s="26">
        <f t="shared" ca="1" si="131"/>
        <v>0</v>
      </c>
      <c r="FH26" s="26">
        <f t="shared" ca="1" si="131"/>
        <v>0</v>
      </c>
      <c r="FI26" s="26">
        <f t="shared" ca="1" si="131"/>
        <v>0</v>
      </c>
      <c r="FJ26" s="26">
        <f t="shared" ca="1" si="131"/>
        <v>0</v>
      </c>
      <c r="FK26" s="26">
        <f t="shared" ca="1" si="131"/>
        <v>0</v>
      </c>
      <c r="FL26" s="26">
        <f t="shared" ca="1" si="131"/>
        <v>0</v>
      </c>
      <c r="FM26" s="26">
        <f t="shared" ca="1" si="131"/>
        <v>0</v>
      </c>
      <c r="FN26" s="26">
        <f t="shared" ca="1" si="131"/>
        <v>0</v>
      </c>
      <c r="FO26" s="26">
        <f t="shared" ca="1" si="131"/>
        <v>0</v>
      </c>
      <c r="FP26" s="26">
        <f t="shared" ca="1" si="131"/>
        <v>0</v>
      </c>
      <c r="FQ26" s="26">
        <f t="shared" ca="1" si="131"/>
        <v>0</v>
      </c>
      <c r="FR26" s="26">
        <f t="shared" ca="1" si="131"/>
        <v>0</v>
      </c>
      <c r="FS26" s="26">
        <f t="shared" ca="1" si="131"/>
        <v>0</v>
      </c>
      <c r="FT26" s="26">
        <f t="shared" ca="1" si="131"/>
        <v>0</v>
      </c>
      <c r="FU26" s="26">
        <f t="shared" ca="1" si="131"/>
        <v>0</v>
      </c>
      <c r="FV26" s="26">
        <f t="shared" ca="1" si="131"/>
        <v>0</v>
      </c>
      <c r="FW26" s="26">
        <f t="shared" ca="1" si="131"/>
        <v>0</v>
      </c>
      <c r="FX26" s="26">
        <f t="shared" ca="1" si="131"/>
        <v>0</v>
      </c>
      <c r="FY26" s="26">
        <f t="shared" ca="1" si="131"/>
        <v>0</v>
      </c>
      <c r="FZ26" s="26">
        <f t="shared" ca="1" si="131"/>
        <v>0</v>
      </c>
      <c r="GA26" s="26">
        <f t="shared" ca="1" si="131"/>
        <v>0</v>
      </c>
      <c r="GB26" s="26">
        <f t="shared" ca="1" si="131"/>
        <v>0</v>
      </c>
      <c r="GC26" s="26">
        <f t="shared" ca="1" si="131"/>
        <v>0</v>
      </c>
      <c r="GD26" s="26">
        <f t="shared" ca="1" si="131"/>
        <v>0</v>
      </c>
      <c r="GE26" s="26">
        <f t="shared" ca="1" si="131"/>
        <v>0</v>
      </c>
      <c r="GF26" s="26">
        <f t="shared" ca="1" si="131"/>
        <v>0</v>
      </c>
      <c r="GG26" s="26">
        <f t="shared" ca="1" si="131"/>
        <v>0</v>
      </c>
      <c r="GH26" s="26">
        <f t="shared" ca="1" si="131"/>
        <v>0</v>
      </c>
      <c r="GI26" s="26">
        <f t="shared" ca="1" si="131"/>
        <v>0</v>
      </c>
      <c r="GJ26" s="26">
        <f t="shared" ca="1" si="131"/>
        <v>0</v>
      </c>
      <c r="GK26" s="26">
        <f t="shared" ca="1" si="131"/>
        <v>0</v>
      </c>
      <c r="GL26" s="26">
        <f t="shared" ca="1" si="131"/>
        <v>0</v>
      </c>
      <c r="GM26" s="26">
        <f t="shared" ca="1" si="131"/>
        <v>0</v>
      </c>
      <c r="GN26" s="26">
        <f t="shared" ca="1" si="131"/>
        <v>0</v>
      </c>
      <c r="GO26" s="26">
        <f t="shared" ca="1" si="131"/>
        <v>0</v>
      </c>
      <c r="GP26" s="26">
        <f t="shared" ca="1" si="131"/>
        <v>0</v>
      </c>
      <c r="GQ26" s="26">
        <f t="shared" ca="1" si="131"/>
        <v>0</v>
      </c>
      <c r="GR26" s="26">
        <f t="shared" ref="GR26:IN26" ca="1" si="132">IF(AND(GR20&gt;GR19,GQ20&lt;GQ19),1,0)</f>
        <v>0</v>
      </c>
      <c r="GS26" s="26">
        <f t="shared" ca="1" si="132"/>
        <v>0</v>
      </c>
      <c r="GT26" s="26">
        <f t="shared" ca="1" si="132"/>
        <v>0</v>
      </c>
      <c r="GU26" s="26">
        <f t="shared" ca="1" si="132"/>
        <v>0</v>
      </c>
      <c r="GV26" s="26">
        <f t="shared" ca="1" si="132"/>
        <v>0</v>
      </c>
      <c r="GW26" s="26">
        <f t="shared" ca="1" si="132"/>
        <v>0</v>
      </c>
      <c r="GX26" s="26">
        <f t="shared" ca="1" si="132"/>
        <v>0</v>
      </c>
      <c r="GY26" s="26">
        <f t="shared" ca="1" si="132"/>
        <v>0</v>
      </c>
      <c r="GZ26" s="26">
        <f t="shared" ca="1" si="132"/>
        <v>0</v>
      </c>
      <c r="HA26" s="26">
        <f t="shared" ca="1" si="132"/>
        <v>0</v>
      </c>
      <c r="HB26" s="26">
        <f t="shared" ca="1" si="132"/>
        <v>0</v>
      </c>
      <c r="HC26" s="26">
        <f t="shared" ca="1" si="132"/>
        <v>0</v>
      </c>
      <c r="HD26" s="26">
        <f t="shared" ca="1" si="132"/>
        <v>0</v>
      </c>
      <c r="HE26" s="26">
        <f t="shared" ca="1" si="132"/>
        <v>0</v>
      </c>
      <c r="HF26" s="26">
        <f t="shared" ca="1" si="132"/>
        <v>0</v>
      </c>
      <c r="HG26" s="26">
        <f t="shared" ca="1" si="132"/>
        <v>0</v>
      </c>
      <c r="HH26" s="26">
        <f t="shared" ca="1" si="132"/>
        <v>0</v>
      </c>
      <c r="HI26" s="26">
        <f t="shared" ca="1" si="132"/>
        <v>0</v>
      </c>
      <c r="HJ26" s="26">
        <f t="shared" ca="1" si="132"/>
        <v>0</v>
      </c>
      <c r="HK26" s="26">
        <f t="shared" ca="1" si="132"/>
        <v>0</v>
      </c>
      <c r="HL26" s="26">
        <f t="shared" ca="1" si="132"/>
        <v>0</v>
      </c>
      <c r="HM26" s="26">
        <f t="shared" ca="1" si="132"/>
        <v>0</v>
      </c>
      <c r="HN26" s="26">
        <f t="shared" ca="1" si="132"/>
        <v>0</v>
      </c>
      <c r="HO26" s="26">
        <f t="shared" ca="1" si="132"/>
        <v>0</v>
      </c>
      <c r="HP26" s="26">
        <f t="shared" ca="1" si="132"/>
        <v>0</v>
      </c>
      <c r="HQ26" s="26">
        <f t="shared" ca="1" si="132"/>
        <v>0</v>
      </c>
      <c r="HR26" s="26">
        <f t="shared" ca="1" si="132"/>
        <v>0</v>
      </c>
      <c r="HS26" s="26">
        <f t="shared" ca="1" si="132"/>
        <v>0</v>
      </c>
      <c r="HT26" s="26">
        <f t="shared" ca="1" si="132"/>
        <v>0</v>
      </c>
      <c r="HU26" s="26">
        <f t="shared" ca="1" si="132"/>
        <v>0</v>
      </c>
      <c r="HV26" s="26">
        <f t="shared" ca="1" si="132"/>
        <v>0</v>
      </c>
      <c r="HW26" s="26">
        <f t="shared" ca="1" si="132"/>
        <v>0</v>
      </c>
      <c r="HX26" s="26">
        <f t="shared" ca="1" si="132"/>
        <v>0</v>
      </c>
      <c r="HY26" s="26">
        <f t="shared" ca="1" si="132"/>
        <v>0</v>
      </c>
      <c r="HZ26" s="26">
        <f t="shared" ca="1" si="132"/>
        <v>0</v>
      </c>
      <c r="IA26" s="26">
        <f t="shared" ca="1" si="132"/>
        <v>0</v>
      </c>
      <c r="IB26" s="26">
        <f t="shared" ca="1" si="132"/>
        <v>0</v>
      </c>
      <c r="IC26" s="26">
        <f t="shared" ca="1" si="132"/>
        <v>0</v>
      </c>
      <c r="ID26" s="26">
        <f t="shared" ca="1" si="132"/>
        <v>0</v>
      </c>
      <c r="IE26" s="26">
        <f t="shared" ca="1" si="132"/>
        <v>0</v>
      </c>
      <c r="IF26" s="26">
        <f t="shared" ca="1" si="132"/>
        <v>0</v>
      </c>
      <c r="IG26" s="26">
        <f t="shared" ca="1" si="132"/>
        <v>0</v>
      </c>
      <c r="IH26" s="26">
        <f t="shared" ca="1" si="132"/>
        <v>0</v>
      </c>
      <c r="II26" s="26">
        <f t="shared" ca="1" si="132"/>
        <v>0</v>
      </c>
      <c r="IJ26" s="26">
        <f t="shared" ca="1" si="132"/>
        <v>0</v>
      </c>
      <c r="IK26" s="26">
        <f t="shared" ca="1" si="132"/>
        <v>0</v>
      </c>
      <c r="IL26" s="26">
        <f t="shared" ca="1" si="132"/>
        <v>0</v>
      </c>
      <c r="IM26" s="26">
        <f t="shared" ca="1" si="132"/>
        <v>0</v>
      </c>
      <c r="IN26" s="26">
        <f t="shared" ca="1" si="132"/>
        <v>0</v>
      </c>
    </row>
    <row r="27" spans="2:248" x14ac:dyDescent="0.3">
      <c r="B27" s="19" t="s">
        <v>427</v>
      </c>
      <c r="C27" s="21">
        <f ca="1">IF(C11&lt;0,MAX(G9:IN9)*1.1,_xlfn.MAXIFS(G8:IN8,G8:IN8,"&gt;"&amp;0)*3)</f>
        <v>123867</v>
      </c>
      <c r="D27" s="24">
        <f ca="1">IF(D31="N/A",C16*1.5,_xlfn.MAXIFS(G20:IN20,G3:IN3,"&lt;"&amp;$D$31)*1.5)</f>
        <v>132577.5099238113</v>
      </c>
      <c r="F27" s="22" t="s">
        <v>504</v>
      </c>
      <c r="G27" s="27">
        <f ca="1">IF(G3=$C$24,1,-1000)</f>
        <v>-1000</v>
      </c>
      <c r="H27" s="27">
        <f ca="1">IF(H3=$C$24,1,-1000)</f>
        <v>-1000</v>
      </c>
      <c r="I27" s="27">
        <f ca="1">IF(I3=$C$24,1,-1000)</f>
        <v>-1000</v>
      </c>
      <c r="J27" s="27">
        <f ca="1">IF(J3=$C$24,1,-1000)</f>
        <v>-1000</v>
      </c>
      <c r="K27" s="27">
        <f ca="1">IF(K3=$C$24,1,-1000)</f>
        <v>-1000</v>
      </c>
      <c r="L27" s="27">
        <f ca="1">IF(L3=$C$24,1,-1000)</f>
        <v>-1000</v>
      </c>
      <c r="M27" s="27">
        <f ca="1">IF(M3=$C$24,1,-1000)</f>
        <v>-1000</v>
      </c>
      <c r="N27" s="27">
        <f ca="1">IF(N3=$C$24,1,-1000)</f>
        <v>-1000</v>
      </c>
      <c r="O27" s="27">
        <f ca="1">IF(O3=$C$24,1,-1000)</f>
        <v>-1000</v>
      </c>
      <c r="P27" s="27">
        <f ca="1">IF(P3=$C$24,1,-1000)</f>
        <v>-1000</v>
      </c>
      <c r="Q27" s="27">
        <f ca="1">IF(Q3=$C$24,1,-1000)</f>
        <v>-1000</v>
      </c>
      <c r="R27" s="27">
        <f ca="1">IF(R3=$C$24,1,-1000)</f>
        <v>-1000</v>
      </c>
      <c r="S27" s="27">
        <f ca="1">IF(S3=$C$24,1,-1000)</f>
        <v>-1000</v>
      </c>
      <c r="T27" s="27">
        <f ca="1">IF(T3=$C$24,1,-1000)</f>
        <v>-1000</v>
      </c>
      <c r="U27" s="27">
        <f ca="1">IF(U3=$C$24,1,-1000)</f>
        <v>-1000</v>
      </c>
      <c r="V27" s="27">
        <f ca="1">IF(V3=$C$24,1,-1000)</f>
        <v>-1000</v>
      </c>
      <c r="W27" s="27">
        <f ca="1">IF(W3=$C$24,1,-1000)</f>
        <v>-1000</v>
      </c>
      <c r="X27" s="27">
        <f ca="1">IF(X3=$C$24,1,-1000)</f>
        <v>-1000</v>
      </c>
      <c r="Y27" s="27">
        <f ca="1">IF(Y3=$C$24,1,-1000)</f>
        <v>-1000</v>
      </c>
      <c r="Z27" s="27">
        <f ca="1">IF(Z3=$C$24,1,-1000)</f>
        <v>-1000</v>
      </c>
      <c r="AA27" s="27">
        <f ca="1">IF(AA3=$C$24,1,-1000)</f>
        <v>-1000</v>
      </c>
      <c r="AB27" s="27">
        <f ca="1">IF(AB3=$C$24,1,-1000)</f>
        <v>-1000</v>
      </c>
      <c r="AC27" s="27">
        <f ca="1">IF(AC3=$C$24,1,-1000)</f>
        <v>-1000</v>
      </c>
      <c r="AD27" s="27">
        <f ca="1">IF(AD3=$C$24,1,-1000)</f>
        <v>-1000</v>
      </c>
      <c r="AE27" s="27">
        <f ca="1">IF(AE3=$C$24,1,-1000)</f>
        <v>-1000</v>
      </c>
      <c r="AF27" s="27">
        <f ca="1">IF(AF3=$C$24,1,-1000)</f>
        <v>-1000</v>
      </c>
      <c r="AG27" s="27">
        <f ca="1">IF(AG3=$C$24,1,-1000)</f>
        <v>-1000</v>
      </c>
      <c r="AH27" s="27">
        <f ca="1">IF(AH3=$C$24,1,-1000)</f>
        <v>-1000</v>
      </c>
      <c r="AI27" s="27">
        <f ca="1">IF(AI3=$C$24,1,-1000)</f>
        <v>-1000</v>
      </c>
      <c r="AJ27" s="27">
        <f ca="1">IF(AJ3=$C$24,1,-1000)</f>
        <v>-1000</v>
      </c>
      <c r="AK27" s="27">
        <f ca="1">IF(AK3=$C$24,1,-1000)</f>
        <v>-1000</v>
      </c>
      <c r="AL27" s="27">
        <f ca="1">IF(AL3=$C$24,1,-1000)</f>
        <v>-1000</v>
      </c>
      <c r="AM27" s="27">
        <f ca="1">IF(AM3=$C$24,1,-1000)</f>
        <v>-1000</v>
      </c>
      <c r="AN27" s="27">
        <f ca="1">IF(AN3=$C$24,1,-1000)</f>
        <v>-1000</v>
      </c>
      <c r="AO27" s="27">
        <f ca="1">IF(AO3=$C$24,1,-1000)</f>
        <v>-1000</v>
      </c>
      <c r="AP27" s="27">
        <f ca="1">IF(AP3=$C$24,1,-1000)</f>
        <v>-1000</v>
      </c>
      <c r="AQ27" s="27">
        <f ca="1">IF(AQ3=$C$24,1,-1000)</f>
        <v>-1000</v>
      </c>
      <c r="AR27" s="27">
        <f ca="1">IF(AR3=$C$24,1,-1000)</f>
        <v>-1000</v>
      </c>
      <c r="AS27" s="27">
        <f ca="1">IF(AS3=$C$24,1,-1000)</f>
        <v>-1000</v>
      </c>
      <c r="AT27" s="27">
        <f ca="1">IF(AT3=$C$24,1,-1000)</f>
        <v>-1000</v>
      </c>
      <c r="AU27" s="27">
        <f ca="1">IF(AU3=$C$24,1,-1000)</f>
        <v>-1000</v>
      </c>
      <c r="AV27" s="27">
        <f ca="1">IF(AV3=$C$24,1,-1000)</f>
        <v>-1000</v>
      </c>
      <c r="AW27" s="27">
        <f ca="1">IF(AW3=$C$24,1,-1000)</f>
        <v>-1000</v>
      </c>
      <c r="AX27" s="27">
        <f ca="1">IF(AX3=$C$24,1,-1000)</f>
        <v>-1000</v>
      </c>
      <c r="AY27" s="27">
        <f ca="1">IF(AY3=$C$24,1,-1000)</f>
        <v>-1000</v>
      </c>
      <c r="AZ27" s="27">
        <f ca="1">IF(AZ3=$C$24,1,-1000)</f>
        <v>-1000</v>
      </c>
      <c r="BA27" s="27">
        <f ca="1">IF(BA3=$C$24,1,-1000)</f>
        <v>-1000</v>
      </c>
      <c r="BB27" s="27">
        <f ca="1">IF(BB3=$C$24,1,-1000)</f>
        <v>-1000</v>
      </c>
      <c r="BC27" s="27">
        <f ca="1">IF(BC3=$C$24,1,-1000)</f>
        <v>-1000</v>
      </c>
      <c r="BD27" s="27">
        <f ca="1">IF(BD3=$C$24,1,-1000)</f>
        <v>-1000</v>
      </c>
      <c r="BE27" s="27">
        <f ca="1">IF(BE3=$C$24,1,-1000)</f>
        <v>-1000</v>
      </c>
      <c r="BF27" s="27">
        <f ca="1">IF(BF3=$C$24,1,-1000)</f>
        <v>-1000</v>
      </c>
      <c r="BG27" s="27">
        <f ca="1">IF(BG3=$C$24,1,-1000)</f>
        <v>-1000</v>
      </c>
      <c r="BH27" s="27">
        <f ca="1">IF(BH3=$C$24,1,-1000)</f>
        <v>-1000</v>
      </c>
      <c r="BI27" s="27">
        <f ca="1">IF(BI3=$C$24,1,-1000)</f>
        <v>-1000</v>
      </c>
      <c r="BJ27" s="27">
        <f ca="1">IF(BJ3=$C$24,1,-1000)</f>
        <v>-1000</v>
      </c>
      <c r="BK27" s="27">
        <f ca="1">IF(BK3=$C$24,1,-1000)</f>
        <v>-1000</v>
      </c>
      <c r="BL27" s="27">
        <f ca="1">IF(BL3=$C$24,1,-1000)</f>
        <v>-1000</v>
      </c>
      <c r="BM27" s="27">
        <f ca="1">IF(BM3=$C$24,1,-1000)</f>
        <v>-1000</v>
      </c>
      <c r="BN27" s="27">
        <f ca="1">IF(BN3=$C$24,1,-1000)</f>
        <v>-1000</v>
      </c>
      <c r="BO27" s="27">
        <f ca="1">IF(BO3=$C$24,1,-1000)</f>
        <v>-1000</v>
      </c>
      <c r="BP27" s="27">
        <f ca="1">IF(BP3=$C$24,1,-1000)</f>
        <v>-1000</v>
      </c>
      <c r="BQ27" s="27">
        <f ca="1">IF(BQ3=$C$24,1,-1000)</f>
        <v>-1000</v>
      </c>
      <c r="BR27" s="27">
        <f ca="1">IF(BR3=$C$24,1,-1000)</f>
        <v>-1000</v>
      </c>
      <c r="BS27" s="27">
        <f ca="1">IF(BS3=$C$24,1,-1000)</f>
        <v>-1000</v>
      </c>
      <c r="BT27" s="27">
        <f ca="1">IF(BT3=$C$24,1,-1000)</f>
        <v>-1000</v>
      </c>
      <c r="BU27" s="27">
        <f ca="1">IF(BU3=$C$24,1,-1000)</f>
        <v>-1000</v>
      </c>
      <c r="BV27" s="27">
        <f ca="1">IF(BV3=$C$24,1,-1000)</f>
        <v>-1000</v>
      </c>
      <c r="BW27" s="27">
        <f ca="1">IF(BW3=$C$24,1,-1000)</f>
        <v>-1000</v>
      </c>
      <c r="BX27" s="27">
        <f ca="1">IF(BX3=$C$24,1,-1000)</f>
        <v>-1000</v>
      </c>
      <c r="BY27" s="27">
        <f ca="1">IF(BY3=$C$24,1,-1000)</f>
        <v>-1000</v>
      </c>
      <c r="BZ27" s="27">
        <f ca="1">IF(BZ3=$C$24,1,-1000)</f>
        <v>-1000</v>
      </c>
      <c r="CA27" s="27">
        <f ca="1">IF(CA3=$C$24,1,-1000)</f>
        <v>-1000</v>
      </c>
      <c r="CB27" s="27">
        <f ca="1">IF(CB3=$C$24,1,-1000)</f>
        <v>-1000</v>
      </c>
      <c r="CC27" s="27">
        <f ca="1">IF(CC3=$C$24,1,-1000)</f>
        <v>-1000</v>
      </c>
      <c r="CD27" s="27">
        <f ca="1">IF(CD3=$C$24,1,-1000)</f>
        <v>-1000</v>
      </c>
      <c r="CE27" s="27">
        <f ca="1">IF(CE3=$C$24,1,-1000)</f>
        <v>-1000</v>
      </c>
      <c r="CF27" s="27">
        <f ca="1">IF(CF3=$C$24,1,-1000)</f>
        <v>-1000</v>
      </c>
      <c r="CG27" s="27">
        <f ca="1">IF(CG3=$C$24,1,-1000)</f>
        <v>-1000</v>
      </c>
      <c r="CH27" s="27">
        <f ca="1">IF(CH3=$C$24,1,-1000)</f>
        <v>-1000</v>
      </c>
      <c r="CI27" s="27">
        <f ca="1">IF(CI3=$C$24,1,-1000)</f>
        <v>-1000</v>
      </c>
      <c r="CJ27" s="27">
        <f ca="1">IF(CJ3=$C$24,1,-1000)</f>
        <v>-1000</v>
      </c>
      <c r="CK27" s="27">
        <f ca="1">IF(CK3=$C$24,1,-1000)</f>
        <v>-1000</v>
      </c>
      <c r="CL27" s="27">
        <f ca="1">IF(CL3=$C$24,1,-1000)</f>
        <v>-1000</v>
      </c>
      <c r="CM27" s="27">
        <f ca="1">IF(CM3=$C$24,1,-1000)</f>
        <v>-1000</v>
      </c>
      <c r="CN27" s="27">
        <f ca="1">IF(CN3=$C$24,1,-1000)</f>
        <v>-1000</v>
      </c>
      <c r="CO27" s="27">
        <f ca="1">IF(CO3=$C$24,1,-1000)</f>
        <v>-1000</v>
      </c>
      <c r="CP27" s="27">
        <f ca="1">IF(CP3=$C$24,1,-1000)</f>
        <v>-1000</v>
      </c>
      <c r="CQ27" s="27">
        <f ca="1">IF(CQ3=$C$24,1,-1000)</f>
        <v>-1000</v>
      </c>
      <c r="CR27" s="27">
        <f ca="1">IF(CR3=$C$24,1,-1000)</f>
        <v>-1000</v>
      </c>
      <c r="CS27" s="27">
        <f ca="1">IF(CS3=$C$24,1,-1000)</f>
        <v>-1000</v>
      </c>
      <c r="CT27" s="27">
        <f ca="1">IF(CT3=$C$24,1,-1000)</f>
        <v>-1000</v>
      </c>
      <c r="CU27" s="27">
        <f ca="1">IF(CU3=$C$24,1,-1000)</f>
        <v>-1000</v>
      </c>
      <c r="CV27" s="27">
        <f ca="1">IF(CV3=$C$24,1,-1000)</f>
        <v>-1000</v>
      </c>
      <c r="CW27" s="27">
        <f ca="1">IF(CW3=$C$24,1,-1000)</f>
        <v>-1000</v>
      </c>
      <c r="CX27" s="27">
        <f ca="1">IF(CX3=$C$24,1,-1000)</f>
        <v>-1000</v>
      </c>
      <c r="CY27" s="27">
        <f ca="1">IF(CY3=$C$24,1,-1000)</f>
        <v>-1000</v>
      </c>
      <c r="CZ27" s="27">
        <f ca="1">IF(CZ3=$C$24,1,-1000)</f>
        <v>-1000</v>
      </c>
      <c r="DA27" s="27">
        <f ca="1">IF(DA3=$C$24,1,-1000)</f>
        <v>-1000</v>
      </c>
      <c r="DB27" s="27">
        <f ca="1">IF(DB3=$C$24,1,-1000)</f>
        <v>-1000</v>
      </c>
      <c r="DC27" s="27">
        <f ca="1">IF(DC3=$C$24,1,-1000)</f>
        <v>-1000</v>
      </c>
      <c r="DD27" s="27">
        <f ca="1">IF(DD3=$C$24,1,-1000)</f>
        <v>-1000</v>
      </c>
      <c r="DE27" s="27">
        <f ca="1">IF(DE3=$C$24,1,-1000)</f>
        <v>-1000</v>
      </c>
      <c r="DF27" s="27">
        <f ca="1">IF(DF3=$C$24,1,-1000)</f>
        <v>-1000</v>
      </c>
      <c r="DG27" s="27">
        <f ca="1">IF(DG3=$C$24,1,-1000)</f>
        <v>-1000</v>
      </c>
      <c r="DH27" s="27">
        <f ca="1">IF(DH3=$C$24,1,-1000)</f>
        <v>-1000</v>
      </c>
      <c r="DI27" s="27">
        <f ca="1">IF(DI3=$C$24,1,-1000)</f>
        <v>-1000</v>
      </c>
      <c r="DJ27" s="27">
        <f ca="1">IF(DJ3=$C$24,1,-1000)</f>
        <v>-1000</v>
      </c>
      <c r="DK27" s="27">
        <f ca="1">IF(DK3=$C$24,1,-1000)</f>
        <v>-1000</v>
      </c>
      <c r="DL27" s="27">
        <f ca="1">IF(DL3=$C$24,1,-1000)</f>
        <v>-1000</v>
      </c>
      <c r="DM27" s="27">
        <f ca="1">IF(DM3=$C$24,1,-1000)</f>
        <v>-1000</v>
      </c>
      <c r="DN27" s="27">
        <f ca="1">IF(DN3=$C$24,1,-1000)</f>
        <v>-1000</v>
      </c>
      <c r="DO27" s="27">
        <f ca="1">IF(DO3=$C$24,1,-1000)</f>
        <v>-1000</v>
      </c>
      <c r="DP27" s="27">
        <f ca="1">IF(DP3=$C$24,1,-1000)</f>
        <v>-1000</v>
      </c>
      <c r="DQ27" s="27">
        <f ca="1">IF(DQ3=$C$24,1,-1000)</f>
        <v>-1000</v>
      </c>
      <c r="DR27" s="27">
        <f ca="1">IF(DR3=$C$24,1,-1000)</f>
        <v>-1000</v>
      </c>
      <c r="DS27" s="27">
        <f ca="1">IF(DS3=$C$24,1,-1000)</f>
        <v>-1000</v>
      </c>
      <c r="DT27" s="27">
        <f ca="1">IF(DT3=$C$24,1,-1000)</f>
        <v>-1000</v>
      </c>
      <c r="DU27" s="27">
        <f ca="1">IF(DU3=$C$24,1,-1000)</f>
        <v>-1000</v>
      </c>
      <c r="DV27" s="27">
        <f ca="1">IF(DV3=$C$24,1,-1000)</f>
        <v>-1000</v>
      </c>
      <c r="DW27" s="27">
        <f ca="1">IF(DW3=$C$24,1,-1000)</f>
        <v>-1000</v>
      </c>
      <c r="DX27" s="27">
        <f ca="1">IF(DX3=$C$24,1,-1000)</f>
        <v>-1000</v>
      </c>
      <c r="DY27" s="27">
        <f ca="1">IF(DY3=$C$24,1,-1000)</f>
        <v>-1000</v>
      </c>
      <c r="DZ27" s="27">
        <f ca="1">IF(DZ3=$C$24,1,-1000)</f>
        <v>-1000</v>
      </c>
      <c r="EA27" s="27">
        <f ca="1">IF(EA3=$C$24,1,-1000)</f>
        <v>-1000</v>
      </c>
      <c r="EB27" s="27">
        <f ca="1">IF(EB3=$C$24,1,-1000)</f>
        <v>-1000</v>
      </c>
      <c r="EC27" s="27">
        <f ca="1">IF(EC3=$C$24,1,-1000)</f>
        <v>-1000</v>
      </c>
      <c r="ED27" s="27">
        <f ca="1">IF(ED3=$C$24,1,-1000)</f>
        <v>-1000</v>
      </c>
      <c r="EE27" s="27">
        <f ca="1">IF(EE3=$C$24,1,-1000)</f>
        <v>-1000</v>
      </c>
      <c r="EF27" s="27">
        <f ca="1">IF(EF3=$C$24,1,-1000)</f>
        <v>-1000</v>
      </c>
      <c r="EG27" s="27">
        <f ca="1">IF(EG3=$C$24,1,-1000)</f>
        <v>-1000</v>
      </c>
      <c r="EH27" s="27">
        <f ca="1">IF(EH3=$C$24,1,-1000)</f>
        <v>-1000</v>
      </c>
      <c r="EI27" s="27">
        <f ca="1">IF(EI3=$C$24,1,-1000)</f>
        <v>-1000</v>
      </c>
      <c r="EJ27" s="27">
        <f ca="1">IF(EJ3=$C$24,1,-1000)</f>
        <v>-1000</v>
      </c>
      <c r="EK27" s="27">
        <f ca="1">IF(EK3=$C$24,1,-1000)</f>
        <v>-1000</v>
      </c>
      <c r="EL27" s="27">
        <f ca="1">IF(EL3=$C$24,1,-1000)</f>
        <v>-1000</v>
      </c>
      <c r="EM27" s="27">
        <f ca="1">IF(EM3=$C$24,1,-1000)</f>
        <v>-1000</v>
      </c>
      <c r="EN27" s="27">
        <f ca="1">IF(EN3=$C$24,1,-1000)</f>
        <v>-1000</v>
      </c>
      <c r="EO27" s="27">
        <f ca="1">IF(EO3=$C$24,1,-1000)</f>
        <v>-1000</v>
      </c>
      <c r="EP27" s="27">
        <f ca="1">IF(EP3=$C$24,1,-1000)</f>
        <v>-1000</v>
      </c>
      <c r="EQ27" s="27">
        <f ca="1">IF(EQ3=$C$24,1,-1000)</f>
        <v>-1000</v>
      </c>
      <c r="ER27" s="27">
        <f ca="1">IF(ER3=$C$24,1,-1000)</f>
        <v>-1000</v>
      </c>
      <c r="ES27" s="27">
        <f ca="1">IF(ES3=$C$24,1,-1000)</f>
        <v>-1000</v>
      </c>
      <c r="ET27" s="27">
        <f ca="1">IF(ET3=$C$24,1,-1000)</f>
        <v>-1000</v>
      </c>
      <c r="EU27" s="27">
        <f ca="1">IF(EU3=$C$24,1,-1000)</f>
        <v>-1000</v>
      </c>
      <c r="EV27" s="27">
        <f ca="1">IF(EV3=$C$24,1,-1000)</f>
        <v>-1000</v>
      </c>
      <c r="EW27" s="27">
        <f ca="1">IF(EW3=$C$24,1,-1000)</f>
        <v>-1000</v>
      </c>
      <c r="EX27" s="27">
        <f ca="1">IF(EX3=$C$24,1,-1000)</f>
        <v>-1000</v>
      </c>
      <c r="EY27" s="27">
        <f ca="1">IF(EY3=$C$24,1,-1000)</f>
        <v>-1000</v>
      </c>
      <c r="EZ27" s="27">
        <f ca="1">IF(EZ3=$C$24,1,-1000)</f>
        <v>-1000</v>
      </c>
      <c r="FA27" s="27">
        <f ca="1">IF(FA3=$C$24,1,-1000)</f>
        <v>-1000</v>
      </c>
      <c r="FB27" s="27">
        <f ca="1">IF(FB3=$C$24,1,-1000)</f>
        <v>-1000</v>
      </c>
      <c r="FC27" s="27">
        <f ca="1">IF(FC3=$C$24,1,-1000)</f>
        <v>-1000</v>
      </c>
      <c r="FD27" s="27">
        <f ca="1">IF(FD3=$C$24,1,-1000)</f>
        <v>-1000</v>
      </c>
      <c r="FE27" s="27">
        <f ca="1">IF(FE3=$C$24,1,-1000)</f>
        <v>-1000</v>
      </c>
      <c r="FF27" s="27">
        <f ca="1">IF(FF3=$C$24,1,-1000)</f>
        <v>-1000</v>
      </c>
      <c r="FG27" s="27">
        <f ca="1">IF(FG3=$C$24,1,-1000)</f>
        <v>-1000</v>
      </c>
      <c r="FH27" s="27">
        <f ca="1">IF(FH3=$C$24,1,-1000)</f>
        <v>-1000</v>
      </c>
      <c r="FI27" s="27">
        <f ca="1">IF(FI3=$C$24,1,-1000)</f>
        <v>-1000</v>
      </c>
      <c r="FJ27" s="27">
        <f ca="1">IF(FJ3=$C$24,1,-1000)</f>
        <v>-1000</v>
      </c>
      <c r="FK27" s="27">
        <f ca="1">IF(FK3=$C$24,1,-1000)</f>
        <v>-1000</v>
      </c>
      <c r="FL27" s="27">
        <f ca="1">IF(FL3=$C$24,1,-1000)</f>
        <v>-1000</v>
      </c>
      <c r="FM27" s="27">
        <f ca="1">IF(FM3=$C$24,1,-1000)</f>
        <v>-1000</v>
      </c>
      <c r="FN27" s="27">
        <f ca="1">IF(FN3=$C$24,1,-1000)</f>
        <v>-1000</v>
      </c>
      <c r="FO27" s="27">
        <f ca="1">IF(FO3=$C$24,1,-1000)</f>
        <v>-1000</v>
      </c>
      <c r="FP27" s="27">
        <f ca="1">IF(FP3=$C$24,1,-1000)</f>
        <v>-1000</v>
      </c>
      <c r="FQ27" s="27">
        <f ca="1">IF(FQ3=$C$24,1,-1000)</f>
        <v>-1000</v>
      </c>
      <c r="FR27" s="27">
        <f ca="1">IF(FR3=$C$24,1,-1000)</f>
        <v>-1000</v>
      </c>
      <c r="FS27" s="27">
        <f ca="1">IF(FS3=$C$24,1,-1000)</f>
        <v>-1000</v>
      </c>
      <c r="FT27" s="27">
        <f ca="1">IF(FT3=$C$24,1,-1000)</f>
        <v>-1000</v>
      </c>
      <c r="FU27" s="27">
        <f ca="1">IF(FU3=$C$24,1,-1000)</f>
        <v>-1000</v>
      </c>
      <c r="FV27" s="27">
        <f ca="1">IF(FV3=$C$24,1,-1000)</f>
        <v>-1000</v>
      </c>
      <c r="FW27" s="27">
        <f ca="1">IF(FW3=$C$24,1,-1000)</f>
        <v>-1000</v>
      </c>
      <c r="FX27" s="27">
        <f ca="1">IF(FX3=$C$24,1,-1000)</f>
        <v>-1000</v>
      </c>
      <c r="FY27" s="27">
        <f ca="1">IF(FY3=$C$24,1,-1000)</f>
        <v>-1000</v>
      </c>
      <c r="FZ27" s="27">
        <f ca="1">IF(FZ3=$C$24,1,-1000)</f>
        <v>-1000</v>
      </c>
      <c r="GA27" s="27">
        <f ca="1">IF(GA3=$C$24,1,-1000)</f>
        <v>-1000</v>
      </c>
      <c r="GB27" s="27">
        <f ca="1">IF(GB3=$C$24,1,-1000)</f>
        <v>-1000</v>
      </c>
      <c r="GC27" s="27">
        <f ca="1">IF(GC3=$C$24,1,-1000)</f>
        <v>-1000</v>
      </c>
      <c r="GD27" s="27">
        <f ca="1">IF(GD3=$C$24,1,-1000)</f>
        <v>-1000</v>
      </c>
      <c r="GE27" s="27">
        <f ca="1">IF(GE3=$C$24,1,-1000)</f>
        <v>-1000</v>
      </c>
      <c r="GF27" s="27">
        <f ca="1">IF(GF3=$C$24,1,-1000)</f>
        <v>-1000</v>
      </c>
      <c r="GG27" s="27">
        <f ca="1">IF(GG3=$C$24,1,-1000)</f>
        <v>-1000</v>
      </c>
      <c r="GH27" s="27">
        <f ca="1">IF(GH3=$C$24,1,-1000)</f>
        <v>-1000</v>
      </c>
      <c r="GI27" s="27">
        <f ca="1">IF(GI3=$C$24,1,-1000)</f>
        <v>-1000</v>
      </c>
      <c r="GJ27" s="27">
        <f ca="1">IF(GJ3=$C$24,1,-1000)</f>
        <v>-1000</v>
      </c>
      <c r="GK27" s="27">
        <f ca="1">IF(GK3=$C$24,1,-1000)</f>
        <v>-1000</v>
      </c>
      <c r="GL27" s="27">
        <f ca="1">IF(GL3=$C$24,1,-1000)</f>
        <v>-1000</v>
      </c>
      <c r="GM27" s="27">
        <f ca="1">IF(GM3=$C$24,1,-1000)</f>
        <v>-1000</v>
      </c>
      <c r="GN27" s="27">
        <f ca="1">IF(GN3=$C$24,1,-1000)</f>
        <v>-1000</v>
      </c>
      <c r="GO27" s="27">
        <f ca="1">IF(GO3=$C$24,1,-1000)</f>
        <v>-1000</v>
      </c>
      <c r="GP27" s="27">
        <f ca="1">IF(GP3=$C$24,1,-1000)</f>
        <v>-1000</v>
      </c>
      <c r="GQ27" s="27">
        <f ca="1">IF(GQ3=$C$24,1,-1000)</f>
        <v>-1000</v>
      </c>
      <c r="GR27" s="27">
        <f ca="1">IF(GR3=$C$24,1,-1000)</f>
        <v>-1000</v>
      </c>
      <c r="GS27" s="27">
        <f ca="1">IF(GS3=$C$24,1,-1000)</f>
        <v>-1000</v>
      </c>
      <c r="GT27" s="27">
        <f ca="1">IF(GT3=$C$24,1,-1000)</f>
        <v>-1000</v>
      </c>
      <c r="GU27" s="27">
        <f ca="1">IF(GU3=$C$24,1,-1000)</f>
        <v>-1000</v>
      </c>
      <c r="GV27" s="27">
        <f ca="1">IF(GV3=$C$24,1,-1000)</f>
        <v>-1000</v>
      </c>
      <c r="GW27" s="27">
        <f ca="1">IF(GW3=$C$24,1,-1000)</f>
        <v>-1000</v>
      </c>
      <c r="GX27" s="27">
        <f ca="1">IF(GX3=$C$24,1,-1000)</f>
        <v>-1000</v>
      </c>
      <c r="GY27" s="27">
        <f ca="1">IF(GY3=$C$24,1,-1000)</f>
        <v>-1000</v>
      </c>
      <c r="GZ27" s="27">
        <f ca="1">IF(GZ3=$C$24,1,-1000)</f>
        <v>-1000</v>
      </c>
      <c r="HA27" s="27">
        <f ca="1">IF(HA3=$C$24,1,-1000)</f>
        <v>-1000</v>
      </c>
      <c r="HB27" s="27">
        <f ca="1">IF(HB3=$C$24,1,-1000)</f>
        <v>-1000</v>
      </c>
      <c r="HC27" s="27">
        <f ca="1">IF(HC3=$C$24,1,-1000)</f>
        <v>-1000</v>
      </c>
      <c r="HD27" s="27">
        <f ca="1">IF(HD3=$C$24,1,-1000)</f>
        <v>-1000</v>
      </c>
      <c r="HE27" s="27">
        <f ca="1">IF(HE3=$C$24,1,-1000)</f>
        <v>-1000</v>
      </c>
      <c r="HF27" s="27">
        <f ca="1">IF(HF3=$C$24,1,-1000)</f>
        <v>-1000</v>
      </c>
      <c r="HG27" s="27">
        <f ca="1">IF(HG3=$C$24,1,-1000)</f>
        <v>-1000</v>
      </c>
      <c r="HH27" s="27">
        <f ca="1">IF(HH3=$C$24,1,-1000)</f>
        <v>-1000</v>
      </c>
      <c r="HI27" s="27">
        <f ca="1">IF(HI3=$C$24,1,-1000)</f>
        <v>-1000</v>
      </c>
      <c r="HJ27" s="27">
        <f ca="1">IF(HJ3=$C$24,1,-1000)</f>
        <v>-1000</v>
      </c>
      <c r="HK27" s="27">
        <f ca="1">IF(HK3=$C$24,1,-1000)</f>
        <v>-1000</v>
      </c>
      <c r="HL27" s="27">
        <f ca="1">IF(HL3=$C$24,1,-1000)</f>
        <v>-1000</v>
      </c>
      <c r="HM27" s="27">
        <f ca="1">IF(HM3=$C$24,1,-1000)</f>
        <v>-1000</v>
      </c>
      <c r="HN27" s="27">
        <f ca="1">IF(HN3=$C$24,1,-1000)</f>
        <v>-1000</v>
      </c>
      <c r="HO27" s="27">
        <f ca="1">IF(HO3=$C$24,1,-1000)</f>
        <v>-1000</v>
      </c>
      <c r="HP27" s="27">
        <f ca="1">IF(HP3=$C$24,1,-1000)</f>
        <v>-1000</v>
      </c>
      <c r="HQ27" s="27">
        <f ca="1">IF(HQ3=$C$24,1,-1000)</f>
        <v>-1000</v>
      </c>
      <c r="HR27" s="27">
        <f ca="1">IF(HR3=$C$24,1,-1000)</f>
        <v>-1000</v>
      </c>
      <c r="HS27" s="27">
        <f ca="1">IF(HS3=$C$24,1,-1000)</f>
        <v>-1000</v>
      </c>
      <c r="HT27" s="27">
        <f ca="1">IF(HT3=$C$24,1,-1000)</f>
        <v>-1000</v>
      </c>
      <c r="HU27" s="27">
        <f ca="1">IF(HU3=$C$24,1,-1000)</f>
        <v>-1000</v>
      </c>
      <c r="HV27" s="27">
        <f ca="1">IF(HV3=$C$24,1,-1000)</f>
        <v>-1000</v>
      </c>
      <c r="HW27" s="27">
        <f ca="1">IF(HW3=$C$24,1,-1000)</f>
        <v>-1000</v>
      </c>
      <c r="HX27" s="27">
        <f ca="1">IF(HX3=$C$24,1,-1000)</f>
        <v>-1000</v>
      </c>
      <c r="HY27" s="27">
        <f ca="1">IF(HY3=$C$24,1,-1000)</f>
        <v>-1000</v>
      </c>
      <c r="HZ27" s="27">
        <f ca="1">IF(HZ3=$C$24,1,-1000)</f>
        <v>-1000</v>
      </c>
      <c r="IA27" s="27">
        <f ca="1">IF(IA3=$C$24,1,-1000)</f>
        <v>-1000</v>
      </c>
      <c r="IB27" s="27">
        <f ca="1">IF(IB3=$C$24,1,-1000)</f>
        <v>-1000</v>
      </c>
      <c r="IC27" s="27">
        <f ca="1">IF(IC3=$C$24,1,-1000)</f>
        <v>-1000</v>
      </c>
      <c r="ID27" s="27">
        <f ca="1">IF(ID3=$C$24,1,-1000)</f>
        <v>-1000</v>
      </c>
      <c r="IE27" s="27">
        <f ca="1">IF(IE3=$C$24,1,-1000)</f>
        <v>-1000</v>
      </c>
      <c r="IF27" s="27">
        <f ca="1">IF(IF3=$C$24,1,-1000)</f>
        <v>-1000</v>
      </c>
      <c r="IG27" s="27">
        <f ca="1">IF(IG3=$C$24,1,-1000)</f>
        <v>-1000</v>
      </c>
      <c r="IH27" s="27">
        <f ca="1">IF(IH3=$C$24,1,-1000)</f>
        <v>-1000</v>
      </c>
      <c r="II27" s="27">
        <f ca="1">IF(II3=$C$24,1,-1000)</f>
        <v>-1000</v>
      </c>
      <c r="IJ27" s="27">
        <f ca="1">IF(IJ3=$C$24,1,-1000)</f>
        <v>-1000</v>
      </c>
      <c r="IK27" s="27">
        <f ca="1">IF(IK3=$C$24,1,-1000)</f>
        <v>-1000</v>
      </c>
      <c r="IL27" s="27">
        <f ca="1">IF(IL3=$C$24,1,-1000)</f>
        <v>-1000</v>
      </c>
      <c r="IM27" s="27">
        <f ca="1">IF(IM3=$C$24,1,-1000)</f>
        <v>-1000</v>
      </c>
      <c r="IN27" s="27">
        <f ca="1">IF(IN3=$C$24,1,-1000)</f>
        <v>-1000</v>
      </c>
    </row>
    <row r="28" spans="2:248" ht="15" thickBot="1" x14ac:dyDescent="0.35">
      <c r="F28" s="22" t="s">
        <v>502</v>
      </c>
      <c r="G28" s="27">
        <f ca="1">IF(G27=1,-1000,IF(G3=$C$23,1,-1000))</f>
        <v>-1000</v>
      </c>
      <c r="H28" s="27">
        <f ca="1">IF(H27=1,-1000,IF(H3=$C$23,1,-1000))</f>
        <v>-1000</v>
      </c>
      <c r="I28" s="27">
        <f ca="1">IF(I27=1,-1000,IF(I3=$C$23,1,-1000))</f>
        <v>-1000</v>
      </c>
      <c r="J28" s="27">
        <f ca="1">IF(J27=1,-1000,IF(J3=$C$23,1,-1000))</f>
        <v>-1000</v>
      </c>
      <c r="K28" s="27">
        <f ca="1">IF(K27=1,-1000,IF(K3=$C$23,1,-1000))</f>
        <v>-1000</v>
      </c>
      <c r="L28" s="27">
        <f ca="1">IF(L27=1,-1000,IF(L3=$C$23,1,-1000))</f>
        <v>-1000</v>
      </c>
      <c r="M28" s="27">
        <f ca="1">IF(M27=1,-1000,IF(M3=$C$23,1,-1000))</f>
        <v>-1000</v>
      </c>
      <c r="N28" s="27">
        <f ca="1">IF(N27=1,-1000,IF(N3=$C$23,1,-1000))</f>
        <v>-1000</v>
      </c>
      <c r="O28" s="27">
        <f ca="1">IF(O27=1,-1000,IF(O3=$C$23,1,-1000))</f>
        <v>-1000</v>
      </c>
      <c r="P28" s="27">
        <f ca="1">IF(P27=1,-1000,IF(P3=$C$23,1,-1000))</f>
        <v>-1000</v>
      </c>
      <c r="Q28" s="27">
        <f ca="1">IF(Q27=1,-1000,IF(Q3=$C$23,1,-1000))</f>
        <v>-1000</v>
      </c>
      <c r="R28" s="27">
        <f ca="1">IF(R27=1,-1000,IF(R3=$C$23,1,-1000))</f>
        <v>1</v>
      </c>
      <c r="S28" s="27">
        <f ca="1">IF(S27=1,-1000,IF(S3=$C$23,1,-1000))</f>
        <v>-1000</v>
      </c>
      <c r="T28" s="27">
        <f ca="1">IF(T27=1,-1000,IF(T3=$C$23,1,-1000))</f>
        <v>-1000</v>
      </c>
      <c r="U28" s="27">
        <f ca="1">IF(U27=1,-1000,IF(U3=$C$23,1,-1000))</f>
        <v>-1000</v>
      </c>
      <c r="V28" s="27">
        <f ca="1">IF(V27=1,-1000,IF(V3=$C$23,1,-1000))</f>
        <v>-1000</v>
      </c>
      <c r="W28" s="27">
        <f ca="1">IF(W27=1,-1000,IF(W3=$C$23,1,-1000))</f>
        <v>-1000</v>
      </c>
      <c r="X28" s="27">
        <f ca="1">IF(X27=1,-1000,IF(X3=$C$23,1,-1000))</f>
        <v>-1000</v>
      </c>
      <c r="Y28" s="27">
        <f ca="1">IF(Y27=1,-1000,IF(Y3=$C$23,1,-1000))</f>
        <v>-1000</v>
      </c>
      <c r="Z28" s="27">
        <f ca="1">IF(Z27=1,-1000,IF(Z3=$C$23,1,-1000))</f>
        <v>-1000</v>
      </c>
      <c r="AA28" s="27">
        <f ca="1">IF(AA27=1,-1000,IF(AA3=$C$23,1,-1000))</f>
        <v>-1000</v>
      </c>
      <c r="AB28" s="27">
        <f ca="1">IF(AB27=1,-1000,IF(AB3=$C$23,1,-1000))</f>
        <v>-1000</v>
      </c>
      <c r="AC28" s="27">
        <f ca="1">IF(AC27=1,-1000,IF(AC3=$C$23,1,-1000))</f>
        <v>-1000</v>
      </c>
      <c r="AD28" s="27">
        <f ca="1">IF(AD27=1,-1000,IF(AD3=$C$23,1,-1000))</f>
        <v>-1000</v>
      </c>
      <c r="AE28" s="27">
        <f ca="1">IF(AE27=1,-1000,IF(AE3=$C$23,1,-1000))</f>
        <v>-1000</v>
      </c>
      <c r="AF28" s="27">
        <f ca="1">IF(AF27=1,-1000,IF(AF3=$C$23,1,-1000))</f>
        <v>-1000</v>
      </c>
      <c r="AG28" s="27">
        <f ca="1">IF(AG27=1,-1000,IF(AG3=$C$23,1,-1000))</f>
        <v>-1000</v>
      </c>
      <c r="AH28" s="27">
        <f ca="1">IF(AH27=1,-1000,IF(AH3=$C$23,1,-1000))</f>
        <v>-1000</v>
      </c>
      <c r="AI28" s="27">
        <f ca="1">IF(AI27=1,-1000,IF(AI3=$C$23,1,-1000))</f>
        <v>-1000</v>
      </c>
      <c r="AJ28" s="27">
        <f ca="1">IF(AJ27=1,-1000,IF(AJ3=$C$23,1,-1000))</f>
        <v>-1000</v>
      </c>
      <c r="AK28" s="27">
        <f ca="1">IF(AK27=1,-1000,IF(AK3=$C$23,1,-1000))</f>
        <v>-1000</v>
      </c>
      <c r="AL28" s="27">
        <f ca="1">IF(AL27=1,-1000,IF(AL3=$C$23,1,-1000))</f>
        <v>-1000</v>
      </c>
      <c r="AM28" s="27">
        <f ca="1">IF(AM27=1,-1000,IF(AM3=$C$23,1,-1000))</f>
        <v>-1000</v>
      </c>
      <c r="AN28" s="27">
        <f ca="1">IF(AN27=1,-1000,IF(AN3=$C$23,1,-1000))</f>
        <v>-1000</v>
      </c>
      <c r="AO28" s="27">
        <f ca="1">IF(AO27=1,-1000,IF(AO3=$C$23,1,-1000))</f>
        <v>-1000</v>
      </c>
      <c r="AP28" s="27">
        <f ca="1">IF(AP27=1,-1000,IF(AP3=$C$23,1,-1000))</f>
        <v>-1000</v>
      </c>
      <c r="AQ28" s="27">
        <f ca="1">IF(AQ27=1,-1000,IF(AQ3=$C$23,1,-1000))</f>
        <v>-1000</v>
      </c>
      <c r="AR28" s="27">
        <f ca="1">IF(AR27=1,-1000,IF(AR3=$C$23,1,-1000))</f>
        <v>-1000</v>
      </c>
      <c r="AS28" s="27">
        <f ca="1">IF(AS27=1,-1000,IF(AS3=$C$23,1,-1000))</f>
        <v>-1000</v>
      </c>
      <c r="AT28" s="27">
        <f ca="1">IF(AT27=1,-1000,IF(AT3=$C$23,1,-1000))</f>
        <v>-1000</v>
      </c>
      <c r="AU28" s="27">
        <f ca="1">IF(AU27=1,-1000,IF(AU3=$C$23,1,-1000))</f>
        <v>-1000</v>
      </c>
      <c r="AV28" s="27">
        <f ca="1">IF(AV27=1,-1000,IF(AV3=$C$23,1,-1000))</f>
        <v>-1000</v>
      </c>
      <c r="AW28" s="27">
        <f ca="1">IF(AW27=1,-1000,IF(AW3=$C$23,1,-1000))</f>
        <v>-1000</v>
      </c>
      <c r="AX28" s="27">
        <f ca="1">IF(AX27=1,-1000,IF(AX3=$C$23,1,-1000))</f>
        <v>-1000</v>
      </c>
      <c r="AY28" s="27">
        <f ca="1">IF(AY27=1,-1000,IF(AY3=$C$23,1,-1000))</f>
        <v>-1000</v>
      </c>
      <c r="AZ28" s="27">
        <f ca="1">IF(AZ27=1,-1000,IF(AZ3=$C$23,1,-1000))</f>
        <v>-1000</v>
      </c>
      <c r="BA28" s="27">
        <f ca="1">IF(BA27=1,-1000,IF(BA3=$C$23,1,-1000))</f>
        <v>-1000</v>
      </c>
      <c r="BB28" s="27">
        <f ca="1">IF(BB27=1,-1000,IF(BB3=$C$23,1,-1000))</f>
        <v>-1000</v>
      </c>
      <c r="BC28" s="27">
        <f ca="1">IF(BC27=1,-1000,IF(BC3=$C$23,1,-1000))</f>
        <v>-1000</v>
      </c>
      <c r="BD28" s="27">
        <f ca="1">IF(BD27=1,-1000,IF(BD3=$C$23,1,-1000))</f>
        <v>-1000</v>
      </c>
      <c r="BE28" s="27">
        <f ca="1">IF(BE27=1,-1000,IF(BE3=$C$23,1,-1000))</f>
        <v>-1000</v>
      </c>
      <c r="BF28" s="27">
        <f ca="1">IF(BF27=1,-1000,IF(BF3=$C$23,1,-1000))</f>
        <v>-1000</v>
      </c>
      <c r="BG28" s="27">
        <f ca="1">IF(BG27=1,-1000,IF(BG3=$C$23,1,-1000))</f>
        <v>-1000</v>
      </c>
      <c r="BH28" s="27">
        <f ca="1">IF(BH27=1,-1000,IF(BH3=$C$23,1,-1000))</f>
        <v>-1000</v>
      </c>
      <c r="BI28" s="27">
        <f ca="1">IF(BI27=1,-1000,IF(BI3=$C$23,1,-1000))</f>
        <v>-1000</v>
      </c>
      <c r="BJ28" s="27">
        <f ca="1">IF(BJ27=1,-1000,IF(BJ3=$C$23,1,-1000))</f>
        <v>-1000</v>
      </c>
      <c r="BK28" s="27">
        <f ca="1">IF(BK27=1,-1000,IF(BK3=$C$23,1,-1000))</f>
        <v>-1000</v>
      </c>
      <c r="BL28" s="27">
        <f ca="1">IF(BL27=1,-1000,IF(BL3=$C$23,1,-1000))</f>
        <v>-1000</v>
      </c>
      <c r="BM28" s="27">
        <f ca="1">IF(BM27=1,-1000,IF(BM3=$C$23,1,-1000))</f>
        <v>-1000</v>
      </c>
      <c r="BN28" s="27">
        <f ca="1">IF(BN27=1,-1000,IF(BN3=$C$23,1,-1000))</f>
        <v>-1000</v>
      </c>
      <c r="BO28" s="27">
        <f ca="1">IF(BO27=1,-1000,IF(BO3=$C$23,1,-1000))</f>
        <v>-1000</v>
      </c>
      <c r="BP28" s="27">
        <f ca="1">IF(BP27=1,-1000,IF(BP3=$C$23,1,-1000))</f>
        <v>-1000</v>
      </c>
      <c r="BQ28" s="27">
        <f ca="1">IF(BQ27=1,-1000,IF(BQ3=$C$23,1,-1000))</f>
        <v>-1000</v>
      </c>
      <c r="BR28" s="27">
        <f ca="1">IF(BR27=1,-1000,IF(BR3=$C$23,1,-1000))</f>
        <v>-1000</v>
      </c>
      <c r="BS28" s="27">
        <f ca="1">IF(BS27=1,-1000,IF(BS3=$C$23,1,-1000))</f>
        <v>-1000</v>
      </c>
      <c r="BT28" s="27">
        <f ca="1">IF(BT27=1,-1000,IF(BT3=$C$23,1,-1000))</f>
        <v>-1000</v>
      </c>
      <c r="BU28" s="27">
        <f ca="1">IF(BU27=1,-1000,IF(BU3=$C$23,1,-1000))</f>
        <v>-1000</v>
      </c>
      <c r="BV28" s="27">
        <f ca="1">IF(BV27=1,-1000,IF(BV3=$C$23,1,-1000))</f>
        <v>-1000</v>
      </c>
      <c r="BW28" s="27">
        <f ca="1">IF(BW27=1,-1000,IF(BW3=$C$23,1,-1000))</f>
        <v>-1000</v>
      </c>
      <c r="BX28" s="27">
        <f ca="1">IF(BX27=1,-1000,IF(BX3=$C$23,1,-1000))</f>
        <v>-1000</v>
      </c>
      <c r="BY28" s="27">
        <f ca="1">IF(BY27=1,-1000,IF(BY3=$C$23,1,-1000))</f>
        <v>-1000</v>
      </c>
      <c r="BZ28" s="27">
        <f ca="1">IF(BZ27=1,-1000,IF(BZ3=$C$23,1,-1000))</f>
        <v>-1000</v>
      </c>
      <c r="CA28" s="27">
        <f ca="1">IF(CA27=1,-1000,IF(CA3=$C$23,1,-1000))</f>
        <v>-1000</v>
      </c>
      <c r="CB28" s="27">
        <f ca="1">IF(CB27=1,-1000,IF(CB3=$C$23,1,-1000))</f>
        <v>-1000</v>
      </c>
      <c r="CC28" s="27">
        <f ca="1">IF(CC27=1,-1000,IF(CC3=$C$23,1,-1000))</f>
        <v>-1000</v>
      </c>
      <c r="CD28" s="27">
        <f ca="1">IF(CD27=1,-1000,IF(CD3=$C$23,1,-1000))</f>
        <v>-1000</v>
      </c>
      <c r="CE28" s="27">
        <f ca="1">IF(CE27=1,-1000,IF(CE3=$C$23,1,-1000))</f>
        <v>-1000</v>
      </c>
      <c r="CF28" s="27">
        <f ca="1">IF(CF27=1,-1000,IF(CF3=$C$23,1,-1000))</f>
        <v>-1000</v>
      </c>
      <c r="CG28" s="27">
        <f ca="1">IF(CG27=1,-1000,IF(CG3=$C$23,1,-1000))</f>
        <v>-1000</v>
      </c>
      <c r="CH28" s="27">
        <f ca="1">IF(CH27=1,-1000,IF(CH3=$C$23,1,-1000))</f>
        <v>-1000</v>
      </c>
      <c r="CI28" s="27">
        <f ca="1">IF(CI27=1,-1000,IF(CI3=$C$23,1,-1000))</f>
        <v>-1000</v>
      </c>
      <c r="CJ28" s="27">
        <f ca="1">IF(CJ27=1,-1000,IF(CJ3=$C$23,1,-1000))</f>
        <v>-1000</v>
      </c>
      <c r="CK28" s="27">
        <f ca="1">IF(CK27=1,-1000,IF(CK3=$C$23,1,-1000))</f>
        <v>-1000</v>
      </c>
      <c r="CL28" s="27">
        <f ca="1">IF(CL27=1,-1000,IF(CL3=$C$23,1,-1000))</f>
        <v>-1000</v>
      </c>
      <c r="CM28" s="27">
        <f ca="1">IF(CM27=1,-1000,IF(CM3=$C$23,1,-1000))</f>
        <v>-1000</v>
      </c>
      <c r="CN28" s="27">
        <f ca="1">IF(CN27=1,-1000,IF(CN3=$C$23,1,-1000))</f>
        <v>-1000</v>
      </c>
      <c r="CO28" s="27">
        <f ca="1">IF(CO27=1,-1000,IF(CO3=$C$23,1,-1000))</f>
        <v>-1000</v>
      </c>
      <c r="CP28" s="27">
        <f ca="1">IF(CP27=1,-1000,IF(CP3=$C$23,1,-1000))</f>
        <v>-1000</v>
      </c>
      <c r="CQ28" s="27">
        <f ca="1">IF(CQ27=1,-1000,IF(CQ3=$C$23,1,-1000))</f>
        <v>-1000</v>
      </c>
      <c r="CR28" s="27">
        <f ca="1">IF(CR27=1,-1000,IF(CR3=$C$23,1,-1000))</f>
        <v>-1000</v>
      </c>
      <c r="CS28" s="27">
        <f ca="1">IF(CS27=1,-1000,IF(CS3=$C$23,1,-1000))</f>
        <v>-1000</v>
      </c>
      <c r="CT28" s="27">
        <f ca="1">IF(CT27=1,-1000,IF(CT3=$C$23,1,-1000))</f>
        <v>-1000</v>
      </c>
      <c r="CU28" s="27">
        <f ca="1">IF(CU27=1,-1000,IF(CU3=$C$23,1,-1000))</f>
        <v>-1000</v>
      </c>
      <c r="CV28" s="27">
        <f ca="1">IF(CV27=1,-1000,IF(CV3=$C$23,1,-1000))</f>
        <v>-1000</v>
      </c>
      <c r="CW28" s="27">
        <f ca="1">IF(CW27=1,-1000,IF(CW3=$C$23,1,-1000))</f>
        <v>-1000</v>
      </c>
      <c r="CX28" s="27">
        <f ca="1">IF(CX27=1,-1000,IF(CX3=$C$23,1,-1000))</f>
        <v>-1000</v>
      </c>
      <c r="CY28" s="27">
        <f ca="1">IF(CY27=1,-1000,IF(CY3=$C$23,1,-1000))</f>
        <v>-1000</v>
      </c>
      <c r="CZ28" s="27">
        <f ca="1">IF(CZ27=1,-1000,IF(CZ3=$C$23,1,-1000))</f>
        <v>-1000</v>
      </c>
      <c r="DA28" s="27">
        <f ca="1">IF(DA27=1,-1000,IF(DA3=$C$23,1,-1000))</f>
        <v>-1000</v>
      </c>
      <c r="DB28" s="27">
        <f ca="1">IF(DB27=1,-1000,IF(DB3=$C$23,1,-1000))</f>
        <v>-1000</v>
      </c>
      <c r="DC28" s="27">
        <f ca="1">IF(DC27=1,-1000,IF(DC3=$C$23,1,-1000))</f>
        <v>-1000</v>
      </c>
      <c r="DD28" s="27">
        <f ca="1">IF(DD27=1,-1000,IF(DD3=$C$23,1,-1000))</f>
        <v>-1000</v>
      </c>
      <c r="DE28" s="27">
        <f ca="1">IF(DE27=1,-1000,IF(DE3=$C$23,1,-1000))</f>
        <v>-1000</v>
      </c>
      <c r="DF28" s="27">
        <f ca="1">IF(DF27=1,-1000,IF(DF3=$C$23,1,-1000))</f>
        <v>-1000</v>
      </c>
      <c r="DG28" s="27">
        <f ca="1">IF(DG27=1,-1000,IF(DG3=$C$23,1,-1000))</f>
        <v>-1000</v>
      </c>
      <c r="DH28" s="27">
        <f ca="1">IF(DH27=1,-1000,IF(DH3=$C$23,1,-1000))</f>
        <v>-1000</v>
      </c>
      <c r="DI28" s="27">
        <f ca="1">IF(DI27=1,-1000,IF(DI3=$C$23,1,-1000))</f>
        <v>-1000</v>
      </c>
      <c r="DJ28" s="27">
        <f ca="1">IF(DJ27=1,-1000,IF(DJ3=$C$23,1,-1000))</f>
        <v>-1000</v>
      </c>
      <c r="DK28" s="27">
        <f ca="1">IF(DK27=1,-1000,IF(DK3=$C$23,1,-1000))</f>
        <v>-1000</v>
      </c>
      <c r="DL28" s="27">
        <f ca="1">IF(DL27=1,-1000,IF(DL3=$C$23,1,-1000))</f>
        <v>-1000</v>
      </c>
      <c r="DM28" s="27">
        <f ca="1">IF(DM27=1,-1000,IF(DM3=$C$23,1,-1000))</f>
        <v>-1000</v>
      </c>
      <c r="DN28" s="27">
        <f ca="1">IF(DN27=1,-1000,IF(DN3=$C$23,1,-1000))</f>
        <v>-1000</v>
      </c>
      <c r="DO28" s="27">
        <f ca="1">IF(DO27=1,-1000,IF(DO3=$C$23,1,-1000))</f>
        <v>-1000</v>
      </c>
      <c r="DP28" s="27">
        <f ca="1">IF(DP27=1,-1000,IF(DP3=$C$23,1,-1000))</f>
        <v>-1000</v>
      </c>
      <c r="DQ28" s="27">
        <f ca="1">IF(DQ27=1,-1000,IF(DQ3=$C$23,1,-1000))</f>
        <v>-1000</v>
      </c>
      <c r="DR28" s="27">
        <f ca="1">IF(DR27=1,-1000,IF(DR3=$C$23,1,-1000))</f>
        <v>-1000</v>
      </c>
      <c r="DS28" s="27">
        <f ca="1">IF(DS27=1,-1000,IF(DS3=$C$23,1,-1000))</f>
        <v>-1000</v>
      </c>
      <c r="DT28" s="27">
        <f ca="1">IF(DT27=1,-1000,IF(DT3=$C$23,1,-1000))</f>
        <v>-1000</v>
      </c>
      <c r="DU28" s="27">
        <f ca="1">IF(DU27=1,-1000,IF(DU3=$C$23,1,-1000))</f>
        <v>-1000</v>
      </c>
      <c r="DV28" s="27">
        <f ca="1">IF(DV27=1,-1000,IF(DV3=$C$23,1,-1000))</f>
        <v>-1000</v>
      </c>
      <c r="DW28" s="27">
        <f ca="1">IF(DW27=1,-1000,IF(DW3=$C$23,1,-1000))</f>
        <v>-1000</v>
      </c>
      <c r="DX28" s="27">
        <f ca="1">IF(DX27=1,-1000,IF(DX3=$C$23,1,-1000))</f>
        <v>-1000</v>
      </c>
      <c r="DY28" s="27">
        <f ca="1">IF(DY27=1,-1000,IF(DY3=$C$23,1,-1000))</f>
        <v>-1000</v>
      </c>
      <c r="DZ28" s="27">
        <f ca="1">IF(DZ27=1,-1000,IF(DZ3=$C$23,1,-1000))</f>
        <v>-1000</v>
      </c>
      <c r="EA28" s="27">
        <f ca="1">IF(EA27=1,-1000,IF(EA3=$C$23,1,-1000))</f>
        <v>-1000</v>
      </c>
      <c r="EB28" s="27">
        <f ca="1">IF(EB27=1,-1000,IF(EB3=$C$23,1,-1000))</f>
        <v>-1000</v>
      </c>
      <c r="EC28" s="27">
        <f ca="1">IF(EC27=1,-1000,IF(EC3=$C$23,1,-1000))</f>
        <v>-1000</v>
      </c>
      <c r="ED28" s="27">
        <f ca="1">IF(ED27=1,-1000,IF(ED3=$C$23,1,-1000))</f>
        <v>-1000</v>
      </c>
      <c r="EE28" s="27">
        <f ca="1">IF(EE27=1,-1000,IF(EE3=$C$23,1,-1000))</f>
        <v>-1000</v>
      </c>
      <c r="EF28" s="27">
        <f ca="1">IF(EF27=1,-1000,IF(EF3=$C$23,1,-1000))</f>
        <v>-1000</v>
      </c>
      <c r="EG28" s="27">
        <f ca="1">IF(EG27=1,-1000,IF(EG3=$C$23,1,-1000))</f>
        <v>-1000</v>
      </c>
      <c r="EH28" s="27">
        <f ca="1">IF(EH27=1,-1000,IF(EH3=$C$23,1,-1000))</f>
        <v>-1000</v>
      </c>
      <c r="EI28" s="27">
        <f ca="1">IF(EI27=1,-1000,IF(EI3=$C$23,1,-1000))</f>
        <v>-1000</v>
      </c>
      <c r="EJ28" s="27">
        <f ca="1">IF(EJ27=1,-1000,IF(EJ3=$C$23,1,-1000))</f>
        <v>-1000</v>
      </c>
      <c r="EK28" s="27">
        <f ca="1">IF(EK27=1,-1000,IF(EK3=$C$23,1,-1000))</f>
        <v>-1000</v>
      </c>
      <c r="EL28" s="27">
        <f ca="1">IF(EL27=1,-1000,IF(EL3=$C$23,1,-1000))</f>
        <v>-1000</v>
      </c>
      <c r="EM28" s="27">
        <f ca="1">IF(EM27=1,-1000,IF(EM3=$C$23,1,-1000))</f>
        <v>-1000</v>
      </c>
      <c r="EN28" s="27">
        <f ca="1">IF(EN27=1,-1000,IF(EN3=$C$23,1,-1000))</f>
        <v>-1000</v>
      </c>
      <c r="EO28" s="27">
        <f ca="1">IF(EO27=1,-1000,IF(EO3=$C$23,1,-1000))</f>
        <v>-1000</v>
      </c>
      <c r="EP28" s="27">
        <f ca="1">IF(EP27=1,-1000,IF(EP3=$C$23,1,-1000))</f>
        <v>-1000</v>
      </c>
      <c r="EQ28" s="27">
        <f ca="1">IF(EQ27=1,-1000,IF(EQ3=$C$23,1,-1000))</f>
        <v>-1000</v>
      </c>
      <c r="ER28" s="27">
        <f ca="1">IF(ER27=1,-1000,IF(ER3=$C$23,1,-1000))</f>
        <v>-1000</v>
      </c>
      <c r="ES28" s="27">
        <f ca="1">IF(ES27=1,-1000,IF(ES3=$C$23,1,-1000))</f>
        <v>-1000</v>
      </c>
      <c r="ET28" s="27">
        <f ca="1">IF(ET27=1,-1000,IF(ET3=$C$23,1,-1000))</f>
        <v>-1000</v>
      </c>
      <c r="EU28" s="27">
        <f ca="1">IF(EU27=1,-1000,IF(EU3=$C$23,1,-1000))</f>
        <v>-1000</v>
      </c>
      <c r="EV28" s="27">
        <f ca="1">IF(EV27=1,-1000,IF(EV3=$C$23,1,-1000))</f>
        <v>-1000</v>
      </c>
      <c r="EW28" s="27">
        <f ca="1">IF(EW27=1,-1000,IF(EW3=$C$23,1,-1000))</f>
        <v>-1000</v>
      </c>
      <c r="EX28" s="27">
        <f ca="1">IF(EX27=1,-1000,IF(EX3=$C$23,1,-1000))</f>
        <v>-1000</v>
      </c>
      <c r="EY28" s="27">
        <f ca="1">IF(EY27=1,-1000,IF(EY3=$C$23,1,-1000))</f>
        <v>-1000</v>
      </c>
      <c r="EZ28" s="27">
        <f ca="1">IF(EZ27=1,-1000,IF(EZ3=$C$23,1,-1000))</f>
        <v>-1000</v>
      </c>
      <c r="FA28" s="27">
        <f ca="1">IF(FA27=1,-1000,IF(FA3=$C$23,1,-1000))</f>
        <v>-1000</v>
      </c>
      <c r="FB28" s="27">
        <f ca="1">IF(FB27=1,-1000,IF(FB3=$C$23,1,-1000))</f>
        <v>-1000</v>
      </c>
      <c r="FC28" s="27">
        <f ca="1">IF(FC27=1,-1000,IF(FC3=$C$23,1,-1000))</f>
        <v>-1000</v>
      </c>
      <c r="FD28" s="27">
        <f ca="1">IF(FD27=1,-1000,IF(FD3=$C$23,1,-1000))</f>
        <v>-1000</v>
      </c>
      <c r="FE28" s="27">
        <f ca="1">IF(FE27=1,-1000,IF(FE3=$C$23,1,-1000))</f>
        <v>-1000</v>
      </c>
      <c r="FF28" s="27">
        <f ca="1">IF(FF27=1,-1000,IF(FF3=$C$23,1,-1000))</f>
        <v>-1000</v>
      </c>
      <c r="FG28" s="27">
        <f ca="1">IF(FG27=1,-1000,IF(FG3=$C$23,1,-1000))</f>
        <v>-1000</v>
      </c>
      <c r="FH28" s="27">
        <f ca="1">IF(FH27=1,-1000,IF(FH3=$C$23,1,-1000))</f>
        <v>-1000</v>
      </c>
      <c r="FI28" s="27">
        <f ca="1">IF(FI27=1,-1000,IF(FI3=$C$23,1,-1000))</f>
        <v>-1000</v>
      </c>
      <c r="FJ28" s="27">
        <f ca="1">IF(FJ27=1,-1000,IF(FJ3=$C$23,1,-1000))</f>
        <v>-1000</v>
      </c>
      <c r="FK28" s="27">
        <f ca="1">IF(FK27=1,-1000,IF(FK3=$C$23,1,-1000))</f>
        <v>-1000</v>
      </c>
      <c r="FL28" s="27">
        <f ca="1">IF(FL27=1,-1000,IF(FL3=$C$23,1,-1000))</f>
        <v>-1000</v>
      </c>
      <c r="FM28" s="27">
        <f ca="1">IF(FM27=1,-1000,IF(FM3=$C$23,1,-1000))</f>
        <v>-1000</v>
      </c>
      <c r="FN28" s="27">
        <f ca="1">IF(FN27=1,-1000,IF(FN3=$C$23,1,-1000))</f>
        <v>-1000</v>
      </c>
      <c r="FO28" s="27">
        <f ca="1">IF(FO27=1,-1000,IF(FO3=$C$23,1,-1000))</f>
        <v>-1000</v>
      </c>
      <c r="FP28" s="27">
        <f ca="1">IF(FP27=1,-1000,IF(FP3=$C$23,1,-1000))</f>
        <v>-1000</v>
      </c>
      <c r="FQ28" s="27">
        <f ca="1">IF(FQ27=1,-1000,IF(FQ3=$C$23,1,-1000))</f>
        <v>-1000</v>
      </c>
      <c r="FR28" s="27">
        <f ca="1">IF(FR27=1,-1000,IF(FR3=$C$23,1,-1000))</f>
        <v>-1000</v>
      </c>
      <c r="FS28" s="27">
        <f ca="1">IF(FS27=1,-1000,IF(FS3=$C$23,1,-1000))</f>
        <v>-1000</v>
      </c>
      <c r="FT28" s="27">
        <f ca="1">IF(FT27=1,-1000,IF(FT3=$C$23,1,-1000))</f>
        <v>-1000</v>
      </c>
      <c r="FU28" s="27">
        <f ca="1">IF(FU27=1,-1000,IF(FU3=$C$23,1,-1000))</f>
        <v>-1000</v>
      </c>
      <c r="FV28" s="27">
        <f ca="1">IF(FV27=1,-1000,IF(FV3=$C$23,1,-1000))</f>
        <v>-1000</v>
      </c>
      <c r="FW28" s="27">
        <f ca="1">IF(FW27=1,-1000,IF(FW3=$C$23,1,-1000))</f>
        <v>-1000</v>
      </c>
      <c r="FX28" s="27">
        <f ca="1">IF(FX27=1,-1000,IF(FX3=$C$23,1,-1000))</f>
        <v>-1000</v>
      </c>
      <c r="FY28" s="27">
        <f ca="1">IF(FY27=1,-1000,IF(FY3=$C$23,1,-1000))</f>
        <v>-1000</v>
      </c>
      <c r="FZ28" s="27">
        <f ca="1">IF(FZ27=1,-1000,IF(FZ3=$C$23,1,-1000))</f>
        <v>-1000</v>
      </c>
      <c r="GA28" s="27">
        <f ca="1">IF(GA27=1,-1000,IF(GA3=$C$23,1,-1000))</f>
        <v>-1000</v>
      </c>
      <c r="GB28" s="27">
        <f ca="1">IF(GB27=1,-1000,IF(GB3=$C$23,1,-1000))</f>
        <v>-1000</v>
      </c>
      <c r="GC28" s="27">
        <f ca="1">IF(GC27=1,-1000,IF(GC3=$C$23,1,-1000))</f>
        <v>-1000</v>
      </c>
      <c r="GD28" s="27">
        <f ca="1">IF(GD27=1,-1000,IF(GD3=$C$23,1,-1000))</f>
        <v>-1000</v>
      </c>
      <c r="GE28" s="27">
        <f ca="1">IF(GE27=1,-1000,IF(GE3=$C$23,1,-1000))</f>
        <v>-1000</v>
      </c>
      <c r="GF28" s="27">
        <f ca="1">IF(GF27=1,-1000,IF(GF3=$C$23,1,-1000))</f>
        <v>-1000</v>
      </c>
      <c r="GG28" s="27">
        <f ca="1">IF(GG27=1,-1000,IF(GG3=$C$23,1,-1000))</f>
        <v>-1000</v>
      </c>
      <c r="GH28" s="27">
        <f ca="1">IF(GH27=1,-1000,IF(GH3=$C$23,1,-1000))</f>
        <v>-1000</v>
      </c>
      <c r="GI28" s="27">
        <f ca="1">IF(GI27=1,-1000,IF(GI3=$C$23,1,-1000))</f>
        <v>-1000</v>
      </c>
      <c r="GJ28" s="27">
        <f ca="1">IF(GJ27=1,-1000,IF(GJ3=$C$23,1,-1000))</f>
        <v>-1000</v>
      </c>
      <c r="GK28" s="27">
        <f ca="1">IF(GK27=1,-1000,IF(GK3=$C$23,1,-1000))</f>
        <v>-1000</v>
      </c>
      <c r="GL28" s="27">
        <f ca="1">IF(GL27=1,-1000,IF(GL3=$C$23,1,-1000))</f>
        <v>-1000</v>
      </c>
      <c r="GM28" s="27">
        <f ca="1">IF(GM27=1,-1000,IF(GM3=$C$23,1,-1000))</f>
        <v>-1000</v>
      </c>
      <c r="GN28" s="27">
        <f ca="1">IF(GN27=1,-1000,IF(GN3=$C$23,1,-1000))</f>
        <v>-1000</v>
      </c>
      <c r="GO28" s="27">
        <f ca="1">IF(GO27=1,-1000,IF(GO3=$C$23,1,-1000))</f>
        <v>-1000</v>
      </c>
      <c r="GP28" s="27">
        <f ca="1">IF(GP27=1,-1000,IF(GP3=$C$23,1,-1000))</f>
        <v>-1000</v>
      </c>
      <c r="GQ28" s="27">
        <f ca="1">IF(GQ27=1,-1000,IF(GQ3=$C$23,1,-1000))</f>
        <v>-1000</v>
      </c>
      <c r="GR28" s="27">
        <f ca="1">IF(GR27=1,-1000,IF(GR3=$C$23,1,-1000))</f>
        <v>-1000</v>
      </c>
      <c r="GS28" s="27">
        <f ca="1">IF(GS27=1,-1000,IF(GS3=$C$23,1,-1000))</f>
        <v>-1000</v>
      </c>
      <c r="GT28" s="27">
        <f ca="1">IF(GT27=1,-1000,IF(GT3=$C$23,1,-1000))</f>
        <v>-1000</v>
      </c>
      <c r="GU28" s="27">
        <f ca="1">IF(GU27=1,-1000,IF(GU3=$C$23,1,-1000))</f>
        <v>-1000</v>
      </c>
      <c r="GV28" s="27">
        <f ca="1">IF(GV27=1,-1000,IF(GV3=$C$23,1,-1000))</f>
        <v>-1000</v>
      </c>
      <c r="GW28" s="27">
        <f ca="1">IF(GW27=1,-1000,IF(GW3=$C$23,1,-1000))</f>
        <v>-1000</v>
      </c>
      <c r="GX28" s="27">
        <f ca="1">IF(GX27=1,-1000,IF(GX3=$C$23,1,-1000))</f>
        <v>-1000</v>
      </c>
      <c r="GY28" s="27">
        <f ca="1">IF(GY27=1,-1000,IF(GY3=$C$23,1,-1000))</f>
        <v>-1000</v>
      </c>
      <c r="GZ28" s="27">
        <f ca="1">IF(GZ27=1,-1000,IF(GZ3=$C$23,1,-1000))</f>
        <v>-1000</v>
      </c>
      <c r="HA28" s="27">
        <f ca="1">IF(HA27=1,-1000,IF(HA3=$C$23,1,-1000))</f>
        <v>-1000</v>
      </c>
      <c r="HB28" s="27">
        <f ca="1">IF(HB27=1,-1000,IF(HB3=$C$23,1,-1000))</f>
        <v>-1000</v>
      </c>
      <c r="HC28" s="27">
        <f ca="1">IF(HC27=1,-1000,IF(HC3=$C$23,1,-1000))</f>
        <v>-1000</v>
      </c>
      <c r="HD28" s="27">
        <f ca="1">IF(HD27=1,-1000,IF(HD3=$C$23,1,-1000))</f>
        <v>-1000</v>
      </c>
      <c r="HE28" s="27">
        <f ca="1">IF(HE27=1,-1000,IF(HE3=$C$23,1,-1000))</f>
        <v>-1000</v>
      </c>
      <c r="HF28" s="27">
        <f ca="1">IF(HF27=1,-1000,IF(HF3=$C$23,1,-1000))</f>
        <v>-1000</v>
      </c>
      <c r="HG28" s="27">
        <f ca="1">IF(HG27=1,-1000,IF(HG3=$C$23,1,-1000))</f>
        <v>-1000</v>
      </c>
      <c r="HH28" s="27">
        <f ca="1">IF(HH27=1,-1000,IF(HH3=$C$23,1,-1000))</f>
        <v>-1000</v>
      </c>
      <c r="HI28" s="27">
        <f ca="1">IF(HI27=1,-1000,IF(HI3=$C$23,1,-1000))</f>
        <v>-1000</v>
      </c>
      <c r="HJ28" s="27">
        <f ca="1">IF(HJ27=1,-1000,IF(HJ3=$C$23,1,-1000))</f>
        <v>-1000</v>
      </c>
      <c r="HK28" s="27">
        <f ca="1">IF(HK27=1,-1000,IF(HK3=$C$23,1,-1000))</f>
        <v>-1000</v>
      </c>
      <c r="HL28" s="27">
        <f ca="1">IF(HL27=1,-1000,IF(HL3=$C$23,1,-1000))</f>
        <v>-1000</v>
      </c>
      <c r="HM28" s="27">
        <f ca="1">IF(HM27=1,-1000,IF(HM3=$C$23,1,-1000))</f>
        <v>-1000</v>
      </c>
      <c r="HN28" s="27">
        <f ca="1">IF(HN27=1,-1000,IF(HN3=$C$23,1,-1000))</f>
        <v>-1000</v>
      </c>
      <c r="HO28" s="27">
        <f ca="1">IF(HO27=1,-1000,IF(HO3=$C$23,1,-1000))</f>
        <v>-1000</v>
      </c>
      <c r="HP28" s="27">
        <f ca="1">IF(HP27=1,-1000,IF(HP3=$C$23,1,-1000))</f>
        <v>-1000</v>
      </c>
      <c r="HQ28" s="27">
        <f ca="1">IF(HQ27=1,-1000,IF(HQ3=$C$23,1,-1000))</f>
        <v>-1000</v>
      </c>
      <c r="HR28" s="27">
        <f ca="1">IF(HR27=1,-1000,IF(HR3=$C$23,1,-1000))</f>
        <v>-1000</v>
      </c>
      <c r="HS28" s="27">
        <f ca="1">IF(HS27=1,-1000,IF(HS3=$C$23,1,-1000))</f>
        <v>-1000</v>
      </c>
      <c r="HT28" s="27">
        <f ca="1">IF(HT27=1,-1000,IF(HT3=$C$23,1,-1000))</f>
        <v>-1000</v>
      </c>
      <c r="HU28" s="27">
        <f ca="1">IF(HU27=1,-1000,IF(HU3=$C$23,1,-1000))</f>
        <v>-1000</v>
      </c>
      <c r="HV28" s="27">
        <f ca="1">IF(HV27=1,-1000,IF(HV3=$C$23,1,-1000))</f>
        <v>-1000</v>
      </c>
      <c r="HW28" s="27">
        <f ca="1">IF(HW27=1,-1000,IF(HW3=$C$23,1,-1000))</f>
        <v>-1000</v>
      </c>
      <c r="HX28" s="27">
        <f ca="1">IF(HX27=1,-1000,IF(HX3=$C$23,1,-1000))</f>
        <v>-1000</v>
      </c>
      <c r="HY28" s="27">
        <f ca="1">IF(HY27=1,-1000,IF(HY3=$C$23,1,-1000))</f>
        <v>-1000</v>
      </c>
      <c r="HZ28" s="27">
        <f ca="1">IF(HZ27=1,-1000,IF(HZ3=$C$23,1,-1000))</f>
        <v>-1000</v>
      </c>
      <c r="IA28" s="27">
        <f ca="1">IF(IA27=1,-1000,IF(IA3=$C$23,1,-1000))</f>
        <v>-1000</v>
      </c>
      <c r="IB28" s="27">
        <f ca="1">IF(IB27=1,-1000,IF(IB3=$C$23,1,-1000))</f>
        <v>-1000</v>
      </c>
      <c r="IC28" s="27">
        <f ca="1">IF(IC27=1,-1000,IF(IC3=$C$23,1,-1000))</f>
        <v>-1000</v>
      </c>
      <c r="ID28" s="27">
        <f ca="1">IF(ID27=1,-1000,IF(ID3=$C$23,1,-1000))</f>
        <v>-1000</v>
      </c>
      <c r="IE28" s="27">
        <f ca="1">IF(IE27=1,-1000,IF(IE3=$C$23,1,-1000))</f>
        <v>-1000</v>
      </c>
      <c r="IF28" s="27">
        <f ca="1">IF(IF27=1,-1000,IF(IF3=$C$23,1,-1000))</f>
        <v>-1000</v>
      </c>
      <c r="IG28" s="27">
        <f ca="1">IF(IG27=1,-1000,IF(IG3=$C$23,1,-1000))</f>
        <v>-1000</v>
      </c>
      <c r="IH28" s="27">
        <f ca="1">IF(IH27=1,-1000,IF(IH3=$C$23,1,-1000))</f>
        <v>-1000</v>
      </c>
      <c r="II28" s="27">
        <f ca="1">IF(II27=1,-1000,IF(II3=$C$23,1,-1000))</f>
        <v>-1000</v>
      </c>
      <c r="IJ28" s="27">
        <f ca="1">IF(IJ27=1,-1000,IF(IJ3=$C$23,1,-1000))</f>
        <v>-1000</v>
      </c>
      <c r="IK28" s="27">
        <f ca="1">IF(IK27=1,-1000,IF(IK3=$C$23,1,-1000))</f>
        <v>-1000</v>
      </c>
      <c r="IL28" s="27">
        <f ca="1">IF(IL27=1,-1000,IF(IL3=$C$23,1,-1000))</f>
        <v>-1000</v>
      </c>
      <c r="IM28" s="27">
        <f ca="1">IF(IM27=1,-1000,IF(IM3=$C$23,1,-1000))</f>
        <v>-1000</v>
      </c>
      <c r="IN28" s="27">
        <f ca="1">IF(IN27=1,-1000,IF(IN3=$C$23,1,-1000))</f>
        <v>-1000</v>
      </c>
    </row>
    <row r="29" spans="2:248" ht="15" thickBot="1" x14ac:dyDescent="0.35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ht="15" thickBot="1" x14ac:dyDescent="0.35">
      <c r="B30" s="19" t="s">
        <v>455</v>
      </c>
      <c r="C30" s="20">
        <f ca="1">MIN(IF(Projections!$Z$8="",xMin2+C5+5,xMin2+Projections!$Z$8+C5),MAX(3:3))</f>
        <v>43919</v>
      </c>
      <c r="D30" s="20">
        <f ca="1">IF(D31&lt;TODAY(),TODAY()+3+Projections!Z45,IFERROR(OFFSET(G26,-23,MATCH(1,G26:IN26,0))+3+Projections!Z45,xMax2+3+Projections!Z45))</f>
        <v>43930</v>
      </c>
      <c r="S30" s="18"/>
      <c r="T30" s="29"/>
      <c r="AI30" s="30"/>
      <c r="AJ30" s="31"/>
      <c r="AK30" s="32"/>
      <c r="AL30" s="31"/>
      <c r="AM30" s="31"/>
      <c r="AN30" s="32"/>
      <c r="AO30" s="32"/>
      <c r="AP30" s="33"/>
      <c r="AQ30" s="30"/>
    </row>
    <row r="31" spans="2:248" ht="15" thickBot="1" x14ac:dyDescent="0.35">
      <c r="C31" s="20"/>
      <c r="D31" s="20">
        <f ca="1">IFERROR(OFFSET(G26,-23,MATCH(1,G26:IN26,0))-1,"N/A")</f>
        <v>43926</v>
      </c>
      <c r="S31" s="18"/>
      <c r="T31" s="29"/>
      <c r="AI31" s="30"/>
      <c r="AJ31" s="31"/>
      <c r="AK31" s="32"/>
      <c r="AL31" s="31"/>
      <c r="AM31" s="31"/>
      <c r="AN31" s="32"/>
      <c r="AO31" s="32"/>
      <c r="AP31" s="33"/>
      <c r="AQ31" s="30"/>
    </row>
    <row r="32" spans="2:248" ht="15" thickBot="1" x14ac:dyDescent="0.35">
      <c r="B32" s="19" t="s">
        <v>540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A5" sqref="A5:G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81498</v>
      </c>
      <c r="E5" s="6">
        <f>IF(COUNTIF(I5:XFD5,"&gt;"&amp;0)=0,,HLOOKUP(COUNTIF(I5:XFD5,"&gt;"&amp;0)-1,I$1:XFD5,A5+1,FALSE))</f>
        <v>81498</v>
      </c>
      <c r="F5" s="7">
        <f>IF(COUNTIF(I5:XFD5,"&gt;"&amp;0)=0,,HLOOKUP(COUNTIF(I5:XFD5,"&gt;"&amp;0)-MIN($F$1+1,COUNTIF(I5:XFD5,"&gt;"&amp;0)),I$1:XFD5,A5+1,FALSE))</f>
        <v>81102</v>
      </c>
      <c r="G5" s="8">
        <f>IF(COUNTIF(I5:XFD5,"&gt;"&amp;0)=0,,(E5/F5)^(1/MIN(COUNTIF(I5:XFD5,"&gt;"&amp;0)-1,$F$1)))</f>
        <v>1.0009746463270723</v>
      </c>
      <c r="H5" s="15" t="s">
        <v>337</v>
      </c>
      <c r="I5" s="9">
        <v>548</v>
      </c>
      <c r="J5" s="9">
        <v>643</v>
      </c>
      <c r="K5" s="9">
        <v>920</v>
      </c>
      <c r="L5" s="9">
        <v>1406</v>
      </c>
      <c r="M5" s="9">
        <v>2075</v>
      </c>
      <c r="N5" s="9">
        <v>2877</v>
      </c>
      <c r="O5" s="9">
        <v>5509</v>
      </c>
      <c r="P5" s="9">
        <v>6087</v>
      </c>
      <c r="Q5" s="9">
        <v>8141</v>
      </c>
      <c r="R5" s="9">
        <v>9802</v>
      </c>
      <c r="S5" s="9">
        <v>11891</v>
      </c>
      <c r="T5" s="9">
        <v>16630</v>
      </c>
      <c r="U5" s="9">
        <v>19716</v>
      </c>
      <c r="V5" s="9">
        <v>23707</v>
      </c>
      <c r="W5" s="9">
        <v>27440</v>
      </c>
      <c r="X5" s="9">
        <v>30587</v>
      </c>
      <c r="Y5" s="9">
        <v>34110</v>
      </c>
      <c r="Z5" s="9">
        <v>36814</v>
      </c>
      <c r="AA5" s="9">
        <v>39829</v>
      </c>
      <c r="AB5" s="9">
        <v>42354</v>
      </c>
      <c r="AC5" s="9">
        <v>44386</v>
      </c>
      <c r="AD5" s="9">
        <v>44759</v>
      </c>
      <c r="AE5" s="9">
        <v>59895</v>
      </c>
      <c r="AF5" s="9">
        <v>66358</v>
      </c>
      <c r="AG5" s="9">
        <v>68413</v>
      </c>
      <c r="AH5" s="9">
        <v>70513</v>
      </c>
      <c r="AI5" s="9">
        <v>72434</v>
      </c>
      <c r="AJ5" s="9">
        <v>74211</v>
      </c>
      <c r="AK5" s="9">
        <v>74619</v>
      </c>
      <c r="AL5" s="9">
        <v>75077</v>
      </c>
      <c r="AM5" s="9">
        <v>75550</v>
      </c>
      <c r="AN5" s="9">
        <v>77001</v>
      </c>
      <c r="AO5" s="9">
        <v>77022</v>
      </c>
      <c r="AP5" s="9">
        <v>77241</v>
      </c>
      <c r="AQ5" s="9">
        <v>77754</v>
      </c>
      <c r="AR5" s="9">
        <v>78166</v>
      </c>
      <c r="AS5" s="9">
        <v>78600</v>
      </c>
      <c r="AT5" s="9">
        <v>78928</v>
      </c>
      <c r="AU5" s="9">
        <v>79356</v>
      </c>
      <c r="AV5" s="9">
        <v>79932</v>
      </c>
      <c r="AW5" s="9">
        <v>80136</v>
      </c>
      <c r="AX5" s="9">
        <v>80261</v>
      </c>
      <c r="AY5" s="9">
        <v>80386</v>
      </c>
      <c r="AZ5" s="9">
        <v>80537</v>
      </c>
      <c r="BA5" s="9">
        <v>80690</v>
      </c>
      <c r="BB5" s="9">
        <v>80770</v>
      </c>
      <c r="BC5" s="9">
        <v>80823</v>
      </c>
      <c r="BD5" s="9">
        <v>80860</v>
      </c>
      <c r="BE5" s="9">
        <v>80887</v>
      </c>
      <c r="BF5" s="9">
        <v>80921</v>
      </c>
      <c r="BG5" s="9">
        <v>80932</v>
      </c>
      <c r="BH5" s="9">
        <v>80945</v>
      </c>
      <c r="BI5" s="9">
        <v>80977</v>
      </c>
      <c r="BJ5" s="9">
        <v>81003</v>
      </c>
      <c r="BK5" s="9">
        <v>81033</v>
      </c>
      <c r="BL5" s="9">
        <v>81058</v>
      </c>
      <c r="BM5" s="9">
        <v>81102</v>
      </c>
      <c r="BN5" s="9">
        <v>81156</v>
      </c>
      <c r="BO5" s="9">
        <v>81250</v>
      </c>
      <c r="BP5" s="9">
        <v>81305</v>
      </c>
      <c r="BQ5" s="9">
        <v>81435</v>
      </c>
      <c r="BR5" s="9">
        <v>81498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ref="C6:C69" si="6">IF(H6="","",H6)</f>
        <v>Italy</v>
      </c>
      <c r="D6" s="6">
        <f t="shared" ref="D6:D69" si="7">MAX(I6:CL6)</f>
        <v>63927</v>
      </c>
      <c r="E6" s="6">
        <f>IF(COUNTIF(I6:XFD6,"&gt;"&amp;0)=0,,HLOOKUP(COUNTIF(I6:XFD6,"&gt;"&amp;0)-1,I$1:XFD6,A6+1,FALSE))</f>
        <v>63927</v>
      </c>
      <c r="F6" s="7">
        <f>IF(COUNTIF(I6:XFD6,"&gt;"&amp;0)=0,,HLOOKUP(COUNTIF(I6:XFD6,"&gt;"&amp;0)-MIN($F$1+1,COUNTIF(I6:XFD6,"&gt;"&amp;0)),I$1:XFD6,A6+1,FALSE))</f>
        <v>35713</v>
      </c>
      <c r="G6" s="8">
        <f t="shared" ref="G6:G69" si="8">IF(COUNTIF(I6:XFD6,"&gt;"&amp;0)=0,,(E6/F6)^(1/MIN(COUNTIF(I6:XFD6,"&gt;"&amp;0)-1,$F$1)))</f>
        <v>1.1234961747084857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US</v>
      </c>
      <c r="D7" s="6">
        <f t="shared" si="7"/>
        <v>43847</v>
      </c>
      <c r="E7" s="6">
        <f>IF(COUNTIF(I7:XFD7,"&gt;"&amp;0)=0,,HLOOKUP(COUNTIF(I7:XFD7,"&gt;"&amp;0)-1,I$1:XFD7,A7+1,FALSE))</f>
        <v>43847</v>
      </c>
      <c r="F7" s="7">
        <f>IF(COUNTIF(I7:XFD7,"&gt;"&amp;0)=0,,HLOOKUP(COUNTIF(I7:XFD7,"&gt;"&amp;0)-MIN($F$1+1,COUNTIF(I7:XFD7,"&gt;"&amp;0)),I$1:XFD7,A7+1,FALSE))</f>
        <v>7783</v>
      </c>
      <c r="G7" s="8">
        <f t="shared" si="8"/>
        <v>1.4130533883698499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  <c r="AB7" s="9">
        <v>33276</v>
      </c>
      <c r="AC7" s="9">
        <v>43847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Spain</v>
      </c>
      <c r="D8" s="6">
        <f t="shared" si="7"/>
        <v>35136</v>
      </c>
      <c r="E8" s="6">
        <f>IF(COUNTIF(I8:XFD8,"&gt;"&amp;0)=0,,HLOOKUP(COUNTIF(I8:XFD8,"&gt;"&amp;0)-1,I$1:XFD8,A8+1,FALSE))</f>
        <v>35136</v>
      </c>
      <c r="F8" s="7">
        <f>IF(COUNTIF(I8:XFD8,"&gt;"&amp;0)=0,,HLOOKUP(COUNTIF(I8:XFD8,"&gt;"&amp;0)-MIN($F$1+1,COUNTIF(I8:XFD8,"&gt;"&amp;0)),I$1:XFD8,A8+1,FALSE))</f>
        <v>13910</v>
      </c>
      <c r="G8" s="8">
        <f t="shared" si="8"/>
        <v>1.2036079223819607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2277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Germany</v>
      </c>
      <c r="D9" s="6">
        <f t="shared" si="7"/>
        <v>29056</v>
      </c>
      <c r="E9" s="6">
        <f>IF(COUNTIF(I9:XFD9,"&gt;"&amp;0)=0,,HLOOKUP(COUNTIF(I9:XFD9,"&gt;"&amp;0)-1,I$1:XFD9,A9+1,FALSE))</f>
        <v>29056</v>
      </c>
      <c r="F9" s="7">
        <f>IF(COUNTIF(I9:XFD9,"&gt;"&amp;0)=0,,HLOOKUP(COUNTIF(I9:XFD9,"&gt;"&amp;0)-MIN($F$1+1,COUNTIF(I9:XFD9,"&gt;"&amp;0)),I$1:XFD9,A9+1,FALSE))</f>
        <v>12327</v>
      </c>
      <c r="G9" s="8">
        <f t="shared" si="8"/>
        <v>1.1870682415735481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France</v>
      </c>
      <c r="D10" s="6">
        <f t="shared" si="7"/>
        <v>20123</v>
      </c>
      <c r="E10" s="6">
        <f>IF(COUNTIF(I10:XFD10,"&gt;"&amp;0)=0,,HLOOKUP(COUNTIF(I10:XFD10,"&gt;"&amp;0)-1,I$1:XFD10,A10+1,FALSE))</f>
        <v>20123</v>
      </c>
      <c r="F10" s="7">
        <f>IF(COUNTIF(I10:XFD10,"&gt;"&amp;0)=0,,HLOOKUP(COUNTIF(I10:XFD10,"&gt;"&amp;0)-MIN($F$1+1,COUNTIF(I10:XFD10,"&gt;"&amp;0)),I$1:XFD10,A10+1,FALSE))</f>
        <v>9124</v>
      </c>
      <c r="G10" s="8">
        <f t="shared" si="8"/>
        <v>1.1713899404569499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2293</v>
      </c>
      <c r="V10" s="9">
        <v>3681</v>
      </c>
      <c r="W10" s="9">
        <v>4496</v>
      </c>
      <c r="X10" s="9">
        <v>4532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United Kingdom</v>
      </c>
      <c r="D11" s="6">
        <f t="shared" si="7"/>
        <v>6726</v>
      </c>
      <c r="E11" s="6">
        <f>IF(COUNTIF(I11:XFD11,"&gt;"&amp;0)=0,,HLOOKUP(COUNTIF(I11:XFD11,"&gt;"&amp;0)-1,I$1:XFD11,A11+1,FALSE))</f>
        <v>6726</v>
      </c>
      <c r="F11" s="7">
        <f>IF(COUNTIF(I11:XFD11,"&gt;"&amp;0)=0,,HLOOKUP(COUNTIF(I11:XFD11,"&gt;"&amp;0)-MIN($F$1+1,COUNTIF(I11:XFD11,"&gt;"&amp;0)),I$1:XFD11,A11+1,FALSE))</f>
        <v>2642</v>
      </c>
      <c r="G11" s="8">
        <f t="shared" si="8"/>
        <v>1.2054933249293056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Iran</v>
      </c>
      <c r="D12" s="6">
        <f t="shared" si="7"/>
        <v>23049</v>
      </c>
      <c r="E12" s="6">
        <f>IF(COUNTIF(I12:XFD12,"&gt;"&amp;0)=0,,HLOOKUP(COUNTIF(I12:XFD12,"&gt;"&amp;0)-1,I$1:XFD12,A12+1,FALSE))</f>
        <v>23049</v>
      </c>
      <c r="F12" s="7">
        <f>IF(COUNTIF(I12:XFD12,"&gt;"&amp;0)=0,,HLOOKUP(COUNTIF(I12:XFD12,"&gt;"&amp;0)-MIN($F$1+1,COUNTIF(I12:XFD12,"&gt;"&amp;0)),I$1:XFD12,A12+1,FALSE))</f>
        <v>17361</v>
      </c>
      <c r="G12" s="8">
        <f t="shared" si="8"/>
        <v>1.0583162635938359</v>
      </c>
      <c r="H12" s="13" t="s">
        <v>338</v>
      </c>
      <c r="I12" s="9">
        <v>139</v>
      </c>
      <c r="J12" s="9">
        <v>245</v>
      </c>
      <c r="K12" s="9">
        <v>388</v>
      </c>
      <c r="L12" s="9">
        <v>593</v>
      </c>
      <c r="M12" s="9">
        <v>978</v>
      </c>
      <c r="N12" s="9">
        <v>1501</v>
      </c>
      <c r="O12" s="9">
        <v>2336</v>
      </c>
      <c r="P12" s="9">
        <v>2922</v>
      </c>
      <c r="Q12" s="9">
        <v>3513</v>
      </c>
      <c r="R12" s="9">
        <v>4747</v>
      </c>
      <c r="S12" s="9">
        <v>5823</v>
      </c>
      <c r="T12" s="9">
        <v>6566</v>
      </c>
      <c r="U12" s="9">
        <v>7161</v>
      </c>
      <c r="V12" s="9">
        <v>8042</v>
      </c>
      <c r="W12" s="9">
        <v>9000</v>
      </c>
      <c r="X12" s="9">
        <v>10075</v>
      </c>
      <c r="Y12" s="9">
        <v>11364</v>
      </c>
      <c r="Z12" s="9">
        <v>12729</v>
      </c>
      <c r="AA12" s="9">
        <v>13938</v>
      </c>
      <c r="AB12" s="9">
        <v>14991</v>
      </c>
      <c r="AC12" s="9">
        <v>16169</v>
      </c>
      <c r="AD12" s="9">
        <v>17361</v>
      </c>
      <c r="AE12" s="9">
        <v>18407</v>
      </c>
      <c r="AF12" s="9">
        <v>19644</v>
      </c>
      <c r="AG12" s="9">
        <v>20610</v>
      </c>
      <c r="AH12" s="9">
        <v>21638</v>
      </c>
      <c r="AI12" s="9">
        <v>23049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Korea, South</v>
      </c>
      <c r="D13" s="6">
        <f t="shared" si="7"/>
        <v>8961</v>
      </c>
      <c r="E13" s="6">
        <f>IF(COUNTIF(I13:XFD13,"&gt;"&amp;0)=0,,HLOOKUP(COUNTIF(I13:XFD13,"&gt;"&amp;0)-1,I$1:XFD13,A13+1,FALSE))</f>
        <v>8961</v>
      </c>
      <c r="F13" s="7">
        <f>IF(COUNTIF(I13:XFD13,"&gt;"&amp;0)=0,,HLOOKUP(COUNTIF(I13:XFD13,"&gt;"&amp;0)-MIN($F$1+1,COUNTIF(I13:XFD13,"&gt;"&amp;0)),I$1:XFD13,A13+1,FALSE))</f>
        <v>8413</v>
      </c>
      <c r="G13" s="8">
        <f t="shared" si="8"/>
        <v>1.0127007175089175</v>
      </c>
      <c r="H13" s="13" t="s">
        <v>339</v>
      </c>
      <c r="I13" s="9">
        <v>104</v>
      </c>
      <c r="J13" s="9">
        <v>204</v>
      </c>
      <c r="K13" s="9">
        <v>433</v>
      </c>
      <c r="L13" s="9">
        <v>602</v>
      </c>
      <c r="M13" s="9">
        <v>833</v>
      </c>
      <c r="N13" s="9">
        <v>977</v>
      </c>
      <c r="O13" s="9">
        <v>1261</v>
      </c>
      <c r="P13" s="9">
        <v>1766</v>
      </c>
      <c r="Q13" s="9">
        <v>2337</v>
      </c>
      <c r="R13" s="9">
        <v>3150</v>
      </c>
      <c r="S13" s="9">
        <v>3736</v>
      </c>
      <c r="T13" s="9">
        <v>4335</v>
      </c>
      <c r="U13" s="9">
        <v>5186</v>
      </c>
      <c r="V13" s="9">
        <v>5621</v>
      </c>
      <c r="W13" s="9">
        <v>6088</v>
      </c>
      <c r="X13" s="9">
        <v>6593</v>
      </c>
      <c r="Y13" s="9">
        <v>7041</v>
      </c>
      <c r="Z13" s="9">
        <v>7314</v>
      </c>
      <c r="AA13" s="9">
        <v>7478</v>
      </c>
      <c r="AB13" s="9">
        <v>7513</v>
      </c>
      <c r="AC13" s="9">
        <v>7755</v>
      </c>
      <c r="AD13" s="9">
        <v>7869</v>
      </c>
      <c r="AE13" s="9">
        <v>7979</v>
      </c>
      <c r="AF13" s="9">
        <v>8086</v>
      </c>
      <c r="AG13" s="9">
        <v>8162</v>
      </c>
      <c r="AH13" s="9">
        <v>8236</v>
      </c>
      <c r="AI13" s="9">
        <v>8320</v>
      </c>
      <c r="AJ13" s="9">
        <v>8413</v>
      </c>
      <c r="AK13" s="9">
        <v>8565</v>
      </c>
      <c r="AL13" s="9">
        <v>8652</v>
      </c>
      <c r="AM13" s="9">
        <v>8799</v>
      </c>
      <c r="AN13" s="9">
        <v>8961</v>
      </c>
      <c r="AO13" s="9">
        <v>8961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Switzerland</v>
      </c>
      <c r="D14" s="6">
        <f t="shared" si="7"/>
        <v>8795</v>
      </c>
      <c r="E14" s="6">
        <f>IF(COUNTIF(I14:XFD14,"&gt;"&amp;0)=0,,HLOOKUP(COUNTIF(I14:XFD14,"&gt;"&amp;0)-1,I$1:XFD14,A14+1,FALSE))</f>
        <v>8795</v>
      </c>
      <c r="F14" s="7">
        <f>IF(COUNTIF(I14:XFD14,"&gt;"&amp;0)=0,,HLOOKUP(COUNTIF(I14:XFD14,"&gt;"&amp;0)-MIN($F$1+1,COUNTIF(I14:XFD14,"&gt;"&amp;0)),I$1:XFD14,A14+1,FALSE))</f>
        <v>3028</v>
      </c>
      <c r="G14" s="8">
        <f t="shared" si="8"/>
        <v>1.2377017203534799</v>
      </c>
      <c r="H14" s="13" t="s">
        <v>77</v>
      </c>
      <c r="I14" s="9">
        <v>114</v>
      </c>
      <c r="J14" s="9">
        <v>214</v>
      </c>
      <c r="K14" s="9">
        <v>268</v>
      </c>
      <c r="L14" s="9">
        <v>337</v>
      </c>
      <c r="M14" s="9">
        <v>374</v>
      </c>
      <c r="N14" s="9">
        <v>491</v>
      </c>
      <c r="O14" s="9">
        <v>652</v>
      </c>
      <c r="P14" s="9">
        <v>652</v>
      </c>
      <c r="Q14" s="9">
        <v>1139</v>
      </c>
      <c r="R14" s="9">
        <v>1359</v>
      </c>
      <c r="S14" s="9">
        <v>2200</v>
      </c>
      <c r="T14" s="9">
        <v>2200</v>
      </c>
      <c r="U14" s="9">
        <v>2700</v>
      </c>
      <c r="V14" s="9">
        <v>3028</v>
      </c>
      <c r="W14" s="9">
        <v>4075</v>
      </c>
      <c r="X14" s="9">
        <v>5294</v>
      </c>
      <c r="Y14" s="9">
        <v>6575</v>
      </c>
      <c r="Z14" s="9">
        <v>7474</v>
      </c>
      <c r="AA14" s="9">
        <v>8795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Netherlands</v>
      </c>
      <c r="D15" s="6">
        <f t="shared" si="7"/>
        <v>4764</v>
      </c>
      <c r="E15" s="6">
        <f>IF(COUNTIF(I15:XFD15,"&gt;"&amp;0)=0,,HLOOKUP(COUNTIF(I15:XFD15,"&gt;"&amp;0)-1,I$1:XFD15,A15+1,FALSE))</f>
        <v>4764</v>
      </c>
      <c r="F15" s="7">
        <f>IF(COUNTIF(I15:XFD15,"&gt;"&amp;0)=0,,HLOOKUP(COUNTIF(I15:XFD15,"&gt;"&amp;0)-MIN($F$1+1,COUNTIF(I15:XFD15,"&gt;"&amp;0)),I$1:XFD15,A15+1,FALSE))</f>
        <v>2058</v>
      </c>
      <c r="G15" s="8">
        <f t="shared" si="8"/>
        <v>1.1827835518847254</v>
      </c>
      <c r="H15" s="13" t="s">
        <v>89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806</v>
      </c>
      <c r="Q15" s="9">
        <v>962</v>
      </c>
      <c r="R15" s="9">
        <v>1138</v>
      </c>
      <c r="S15" s="9">
        <v>1416</v>
      </c>
      <c r="T15" s="9">
        <v>1711</v>
      </c>
      <c r="U15" s="9">
        <v>2058</v>
      </c>
      <c r="V15" s="9">
        <v>2467</v>
      </c>
      <c r="W15" s="9">
        <v>3003</v>
      </c>
      <c r="X15" s="9">
        <v>3640</v>
      </c>
      <c r="Y15" s="9">
        <v>4217</v>
      </c>
      <c r="Z15" s="9">
        <v>4764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Austria</v>
      </c>
      <c r="D16" s="6">
        <f t="shared" si="7"/>
        <v>4474</v>
      </c>
      <c r="E16" s="6">
        <f>IF(COUNTIF(I16:XFD16,"&gt;"&amp;0)=0,,HLOOKUP(COUNTIF(I16:XFD16,"&gt;"&amp;0)-1,I$1:XFD16,A16+1,FALSE))</f>
        <v>4474</v>
      </c>
      <c r="F16" s="7">
        <f>IF(COUNTIF(I16:XFD16,"&gt;"&amp;0)=0,,HLOOKUP(COUNTIF(I16:XFD16,"&gt;"&amp;0)-MIN($F$1+1,COUNTIF(I16:XFD16,"&gt;"&amp;0)),I$1:XFD16,A16+1,FALSE))</f>
        <v>1646</v>
      </c>
      <c r="G16" s="8">
        <f t="shared" si="8"/>
        <v>1.2213868215995651</v>
      </c>
      <c r="H16" s="13" t="s">
        <v>78</v>
      </c>
      <c r="I16" s="9">
        <v>104</v>
      </c>
      <c r="J16" s="9">
        <v>131</v>
      </c>
      <c r="K16" s="9">
        <v>182</v>
      </c>
      <c r="L16" s="9">
        <v>246</v>
      </c>
      <c r="M16" s="9">
        <v>302</v>
      </c>
      <c r="N16" s="9">
        <v>504</v>
      </c>
      <c r="O16" s="9">
        <v>655</v>
      </c>
      <c r="P16" s="9">
        <v>860</v>
      </c>
      <c r="Q16" s="9">
        <v>1018</v>
      </c>
      <c r="R16" s="9">
        <v>1332</v>
      </c>
      <c r="S16" s="9">
        <v>1646</v>
      </c>
      <c r="T16" s="9">
        <v>2013</v>
      </c>
      <c r="U16" s="9">
        <v>2388</v>
      </c>
      <c r="V16" s="9">
        <v>2814</v>
      </c>
      <c r="W16" s="9">
        <v>3582</v>
      </c>
      <c r="X16" s="9">
        <v>4474</v>
      </c>
    </row>
    <row r="17" spans="1:40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Belgium</v>
      </c>
      <c r="D17" s="6">
        <f t="shared" si="7"/>
        <v>3743</v>
      </c>
      <c r="E17" s="6">
        <f>IF(COUNTIF(I17:XFD17,"&gt;"&amp;0)=0,,HLOOKUP(COUNTIF(I17:XFD17,"&gt;"&amp;0)-1,I$1:XFD17,A17+1,FALSE))</f>
        <v>3743</v>
      </c>
      <c r="F17" s="7">
        <f>IF(COUNTIF(I17:XFD17,"&gt;"&amp;0)=0,,HLOOKUP(COUNTIF(I17:XFD17,"&gt;"&amp;0)-MIN($F$1+1,COUNTIF(I17:XFD17,"&gt;"&amp;0)),I$1:XFD17,A17+1,FALSE))</f>
        <v>1486</v>
      </c>
      <c r="G17" s="8">
        <f t="shared" si="8"/>
        <v>1.2029295778792541</v>
      </c>
      <c r="H17" s="13" t="s">
        <v>63</v>
      </c>
      <c r="I17" s="9">
        <v>109</v>
      </c>
      <c r="J17" s="9">
        <v>169</v>
      </c>
      <c r="K17" s="9">
        <v>200</v>
      </c>
      <c r="L17" s="9">
        <v>239</v>
      </c>
      <c r="M17" s="9">
        <v>267</v>
      </c>
      <c r="N17" s="9">
        <v>314</v>
      </c>
      <c r="O17" s="9">
        <v>314</v>
      </c>
      <c r="P17" s="9">
        <v>559</v>
      </c>
      <c r="Q17" s="9">
        <v>689</v>
      </c>
      <c r="R17" s="9">
        <v>886</v>
      </c>
      <c r="S17" s="9">
        <v>1058</v>
      </c>
      <c r="T17" s="9">
        <v>1243</v>
      </c>
      <c r="U17" s="9">
        <v>1486</v>
      </c>
      <c r="V17" s="9">
        <v>1795</v>
      </c>
      <c r="W17" s="9">
        <v>2257</v>
      </c>
      <c r="X17" s="9">
        <v>2815</v>
      </c>
      <c r="Y17" s="9">
        <v>3401</v>
      </c>
      <c r="Z17" s="9">
        <v>3743</v>
      </c>
    </row>
    <row r="18" spans="1:40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Norway</v>
      </c>
      <c r="D18" s="6">
        <f t="shared" si="7"/>
        <v>2621</v>
      </c>
      <c r="E18" s="6">
        <f>IF(COUNTIF(I18:XFD18,"&gt;"&amp;0)=0,,HLOOKUP(COUNTIF(I18:XFD18,"&gt;"&amp;0)-1,I$1:XFD18,A18+1,FALSE))</f>
        <v>2621</v>
      </c>
      <c r="F18" s="7">
        <f>IF(COUNTIF(I18:XFD18,"&gt;"&amp;0)=0,,HLOOKUP(COUNTIF(I18:XFD18,"&gt;"&amp;0)-MIN($F$1+1,COUNTIF(I18:XFD18,"&gt;"&amp;0)),I$1:XFD18,A18+1,FALSE))</f>
        <v>1550</v>
      </c>
      <c r="G18" s="8">
        <f t="shared" si="8"/>
        <v>1.1107774756831394</v>
      </c>
      <c r="H18" s="13" t="s">
        <v>85</v>
      </c>
      <c r="I18" s="9">
        <v>108</v>
      </c>
      <c r="J18" s="9">
        <v>147</v>
      </c>
      <c r="K18" s="9">
        <v>176</v>
      </c>
      <c r="L18" s="9">
        <v>205</v>
      </c>
      <c r="M18" s="9">
        <v>400</v>
      </c>
      <c r="N18" s="9">
        <v>598</v>
      </c>
      <c r="O18" s="9">
        <v>702</v>
      </c>
      <c r="P18" s="9">
        <v>996</v>
      </c>
      <c r="Q18" s="9">
        <v>1090</v>
      </c>
      <c r="R18" s="9">
        <v>1221</v>
      </c>
      <c r="S18" s="9">
        <v>1333</v>
      </c>
      <c r="T18" s="9">
        <v>1463</v>
      </c>
      <c r="U18" s="9">
        <v>1550</v>
      </c>
      <c r="V18" s="9">
        <v>1746</v>
      </c>
      <c r="W18" s="9">
        <v>1914</v>
      </c>
      <c r="X18" s="9">
        <v>2118</v>
      </c>
      <c r="Y18" s="9">
        <v>2385</v>
      </c>
      <c r="Z18" s="9">
        <v>2621</v>
      </c>
    </row>
    <row r="19" spans="1:40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Canada</v>
      </c>
      <c r="D19" s="6">
        <f t="shared" si="7"/>
        <v>2088</v>
      </c>
      <c r="E19" s="6">
        <f>IF(COUNTIF(I19:XFD19,"&gt;"&amp;0)=0,,HLOOKUP(COUNTIF(I19:XFD19,"&gt;"&amp;0)-1,I$1:XFD19,A19+1,FALSE))</f>
        <v>2088</v>
      </c>
      <c r="F19" s="7">
        <f>IF(COUNTIF(I19:XFD19,"&gt;"&amp;0)=0,,HLOOKUP(COUNTIF(I19:XFD19,"&gt;"&amp;0)-MIN($F$1+1,COUNTIF(I19:XFD19,"&gt;"&amp;0)),I$1:XFD19,A19+1,FALSE))</f>
        <v>657</v>
      </c>
      <c r="G19" s="8">
        <f t="shared" si="8"/>
        <v>1.2601812831164962</v>
      </c>
      <c r="H19" s="13" t="s">
        <v>45</v>
      </c>
      <c r="I19" s="9">
        <v>108</v>
      </c>
      <c r="J19" s="9">
        <v>117</v>
      </c>
      <c r="K19" s="9">
        <v>193</v>
      </c>
      <c r="L19" s="9">
        <v>198</v>
      </c>
      <c r="M19" s="9">
        <v>252</v>
      </c>
      <c r="N19" s="9">
        <v>415</v>
      </c>
      <c r="O19" s="9">
        <v>478</v>
      </c>
      <c r="P19" s="9">
        <v>657</v>
      </c>
      <c r="Q19" s="9">
        <v>800</v>
      </c>
      <c r="R19" s="9">
        <v>943</v>
      </c>
      <c r="S19" s="9">
        <v>1277</v>
      </c>
      <c r="T19" s="9">
        <v>1469</v>
      </c>
      <c r="U19" s="9">
        <v>2088</v>
      </c>
    </row>
    <row r="20" spans="1:40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Portugal</v>
      </c>
      <c r="D20" s="6">
        <f t="shared" si="7"/>
        <v>2060</v>
      </c>
      <c r="E20" s="6">
        <f>IF(COUNTIF(I20:XFD20,"&gt;"&amp;0)=0,,HLOOKUP(COUNTIF(I20:XFD20,"&gt;"&amp;0)-1,I$1:XFD20,A20+1,FALSE))</f>
        <v>2060</v>
      </c>
      <c r="F20" s="7">
        <f>IF(COUNTIF(I20:XFD20,"&gt;"&amp;0)=0,,HLOOKUP(COUNTIF(I20:XFD20,"&gt;"&amp;0)-MIN($F$1+1,COUNTIF(I20:XFD20,"&gt;"&amp;0)),I$1:XFD20,A20+1,FALSE))</f>
        <v>448</v>
      </c>
      <c r="G20" s="8">
        <f t="shared" si="8"/>
        <v>1.3568062681838491</v>
      </c>
      <c r="H20" s="13" t="s">
        <v>108</v>
      </c>
      <c r="I20" s="9">
        <v>112</v>
      </c>
      <c r="J20" s="9">
        <v>169</v>
      </c>
      <c r="K20" s="9">
        <v>245</v>
      </c>
      <c r="L20" s="9">
        <v>331</v>
      </c>
      <c r="M20" s="9">
        <v>448</v>
      </c>
      <c r="N20" s="9">
        <v>448</v>
      </c>
      <c r="O20" s="9">
        <v>785</v>
      </c>
      <c r="P20" s="9">
        <v>1020</v>
      </c>
      <c r="Q20" s="9">
        <v>1280</v>
      </c>
      <c r="R20" s="9">
        <v>1600</v>
      </c>
      <c r="S20" s="9">
        <v>2060</v>
      </c>
    </row>
    <row r="21" spans="1:40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Sweden</v>
      </c>
      <c r="D21" s="6">
        <f t="shared" si="7"/>
        <v>2046</v>
      </c>
      <c r="E21" s="6">
        <f>IF(COUNTIF(I21:XFD21,"&gt;"&amp;0)=0,,HLOOKUP(COUNTIF(I21:XFD21,"&gt;"&amp;0)-1,I$1:XFD21,A21+1,FALSE))</f>
        <v>2046</v>
      </c>
      <c r="F21" s="7">
        <f>IF(COUNTIF(I21:XFD21,"&gt;"&amp;0)=0,,HLOOKUP(COUNTIF(I21:XFD21,"&gt;"&amp;0)-MIN($F$1+1,COUNTIF(I21:XFD21,"&gt;"&amp;0)),I$1:XFD21,A21+1,FALSE))</f>
        <v>1279</v>
      </c>
      <c r="G21" s="8">
        <f t="shared" si="8"/>
        <v>1.0985175938750964</v>
      </c>
      <c r="H21" s="13" t="s">
        <v>59</v>
      </c>
      <c r="I21" s="9">
        <v>101</v>
      </c>
      <c r="J21" s="9">
        <v>161</v>
      </c>
      <c r="K21" s="9">
        <v>203</v>
      </c>
      <c r="L21" s="9">
        <v>248</v>
      </c>
      <c r="M21" s="9">
        <v>355</v>
      </c>
      <c r="N21" s="9">
        <v>500</v>
      </c>
      <c r="O21" s="9">
        <v>599</v>
      </c>
      <c r="P21" s="9">
        <v>814</v>
      </c>
      <c r="Q21" s="9">
        <v>961</v>
      </c>
      <c r="R21" s="9">
        <v>1022</v>
      </c>
      <c r="S21" s="9">
        <v>1103</v>
      </c>
      <c r="T21" s="9">
        <v>1190</v>
      </c>
      <c r="U21" s="9">
        <v>1279</v>
      </c>
      <c r="V21" s="9">
        <v>1439</v>
      </c>
      <c r="W21" s="9">
        <v>1639</v>
      </c>
      <c r="X21" s="9">
        <v>1763</v>
      </c>
      <c r="Y21" s="9">
        <v>1934</v>
      </c>
      <c r="Z21" s="9">
        <v>2046</v>
      </c>
    </row>
    <row r="22" spans="1:40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Brazil</v>
      </c>
      <c r="D22" s="6">
        <f t="shared" si="7"/>
        <v>1924</v>
      </c>
      <c r="E22" s="6">
        <f>IF(COUNTIF(I22:XFD22,"&gt;"&amp;0)=0,,HLOOKUP(COUNTIF(I22:XFD22,"&gt;"&amp;0)-1,I$1:XFD22,A22+1,FALSE))</f>
        <v>1924</v>
      </c>
      <c r="F22" s="7">
        <f>IF(COUNTIF(I22:XFD22,"&gt;"&amp;0)=0,,HLOOKUP(COUNTIF(I22:XFD22,"&gt;"&amp;0)-MIN($F$1+1,COUNTIF(I22:XFD22,"&gt;"&amp;0)),I$1:XFD22,A22+1,FALSE))</f>
        <v>372</v>
      </c>
      <c r="G22" s="8">
        <f t="shared" si="8"/>
        <v>1.389096527211688</v>
      </c>
      <c r="H22" s="13" t="s">
        <v>81</v>
      </c>
      <c r="I22" s="9">
        <v>151</v>
      </c>
      <c r="J22" s="9">
        <v>151</v>
      </c>
      <c r="K22" s="9">
        <v>162</v>
      </c>
      <c r="L22" s="9">
        <v>200</v>
      </c>
      <c r="M22" s="9">
        <v>321</v>
      </c>
      <c r="N22" s="9">
        <v>372</v>
      </c>
      <c r="O22" s="9">
        <v>621</v>
      </c>
      <c r="P22" s="9">
        <v>793</v>
      </c>
      <c r="Q22" s="9">
        <v>1021</v>
      </c>
      <c r="R22" s="9">
        <v>1546</v>
      </c>
      <c r="S22" s="9">
        <v>1924</v>
      </c>
    </row>
    <row r="23" spans="1:40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Australia</v>
      </c>
      <c r="D23" s="6">
        <f t="shared" si="7"/>
        <v>1682</v>
      </c>
      <c r="E23" s="6">
        <f>IF(COUNTIF(I23:XFD23,"&gt;"&amp;0)=0,,HLOOKUP(COUNTIF(I23:XFD23,"&gt;"&amp;0)-1,I$1:XFD23,A23+1,FALSE))</f>
        <v>1682</v>
      </c>
      <c r="F23" s="7">
        <f>IF(COUNTIF(I23:XFD23,"&gt;"&amp;0)=0,,HLOOKUP(COUNTIF(I23:XFD23,"&gt;"&amp;0)-MIN($F$1+1,COUNTIF(I23:XFD23,"&gt;"&amp;0)),I$1:XFD23,A23+1,FALSE))</f>
        <v>568</v>
      </c>
      <c r="G23" s="8">
        <f t="shared" si="8"/>
        <v>1.2424975216792959</v>
      </c>
      <c r="H23" s="13" t="s">
        <v>48</v>
      </c>
      <c r="I23" s="9">
        <v>107</v>
      </c>
      <c r="J23" s="9">
        <v>128</v>
      </c>
      <c r="K23" s="9">
        <v>128</v>
      </c>
      <c r="L23" s="9">
        <v>200</v>
      </c>
      <c r="M23" s="9">
        <v>250</v>
      </c>
      <c r="N23" s="9">
        <v>297</v>
      </c>
      <c r="O23" s="9">
        <v>377</v>
      </c>
      <c r="P23" s="9">
        <v>452</v>
      </c>
      <c r="Q23" s="9">
        <v>568</v>
      </c>
      <c r="R23" s="9">
        <v>681</v>
      </c>
      <c r="S23" s="9">
        <v>791</v>
      </c>
      <c r="T23" s="9">
        <v>1071</v>
      </c>
      <c r="U23" s="9">
        <v>1549</v>
      </c>
      <c r="V23" s="9">
        <v>1682</v>
      </c>
    </row>
    <row r="24" spans="1:40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Denmark</v>
      </c>
      <c r="D24" s="6">
        <f t="shared" si="7"/>
        <v>1572</v>
      </c>
      <c r="E24" s="6">
        <f>IF(COUNTIF(I24:XFD24,"&gt;"&amp;0)=0,,HLOOKUP(COUNTIF(I24:XFD24,"&gt;"&amp;0)-1,I$1:XFD24,A24+1,FALSE))</f>
        <v>1572</v>
      </c>
      <c r="F24" s="7">
        <f>IF(COUNTIF(I24:XFD24,"&gt;"&amp;0)=0,,HLOOKUP(COUNTIF(I24:XFD24,"&gt;"&amp;0)-MIN($F$1+1,COUNTIF(I24:XFD24,"&gt;"&amp;0)),I$1:XFD24,A24+1,FALSE))</f>
        <v>1116</v>
      </c>
      <c r="G24" s="8">
        <f t="shared" si="8"/>
        <v>1.0709215784078525</v>
      </c>
      <c r="H24" s="13" t="s">
        <v>87</v>
      </c>
      <c r="I24" s="9">
        <v>264</v>
      </c>
      <c r="J24" s="9">
        <v>444</v>
      </c>
      <c r="K24" s="9">
        <v>617</v>
      </c>
      <c r="L24" s="9">
        <v>804</v>
      </c>
      <c r="M24" s="9">
        <v>836</v>
      </c>
      <c r="N24" s="9">
        <v>875</v>
      </c>
      <c r="O24" s="9">
        <v>933</v>
      </c>
      <c r="P24" s="9">
        <v>1025</v>
      </c>
      <c r="Q24" s="9">
        <v>1116</v>
      </c>
      <c r="R24" s="9">
        <v>1225</v>
      </c>
      <c r="S24" s="9">
        <v>1337</v>
      </c>
      <c r="T24" s="9">
        <v>1420</v>
      </c>
      <c r="U24" s="9">
        <v>1514</v>
      </c>
      <c r="V24" s="9">
        <v>1572</v>
      </c>
    </row>
    <row r="25" spans="1:40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Turkey</v>
      </c>
      <c r="D25" s="6">
        <f t="shared" si="7"/>
        <v>1529</v>
      </c>
      <c r="E25" s="6">
        <f>IF(COUNTIF(I25:XFD25,"&gt;"&amp;0)=0,,HLOOKUP(COUNTIF(I25:XFD25,"&gt;"&amp;0)-1,I$1:XFD25,A25+1,FALSE))</f>
        <v>1529</v>
      </c>
      <c r="F25" s="7">
        <f>IF(COUNTIF(I25:XFD25,"&gt;"&amp;0)=0,,HLOOKUP(COUNTIF(I25:XFD25,"&gt;"&amp;0)-MIN($F$1+1,COUNTIF(I25:XFD25,"&gt;"&amp;0)),I$1:XFD25,A25+1,FALSE))</f>
        <v>192</v>
      </c>
      <c r="G25" s="8">
        <f t="shared" si="8"/>
        <v>1.6798734420682333</v>
      </c>
      <c r="H25" s="13" t="s">
        <v>355</v>
      </c>
      <c r="I25" s="9">
        <v>192</v>
      </c>
      <c r="J25" s="9">
        <v>359</v>
      </c>
      <c r="K25" s="9">
        <v>670</v>
      </c>
      <c r="L25" s="9">
        <v>1236</v>
      </c>
      <c r="M25" s="9">
        <v>1529</v>
      </c>
    </row>
    <row r="26" spans="1:40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Malaysia</v>
      </c>
      <c r="D26" s="6">
        <f t="shared" si="7"/>
        <v>1518</v>
      </c>
      <c r="E26" s="6">
        <f>IF(COUNTIF(I26:XFD26,"&gt;"&amp;0)=0,,HLOOKUP(COUNTIF(I26:XFD26,"&gt;"&amp;0)-1,I$1:XFD26,A26+1,FALSE))</f>
        <v>1518</v>
      </c>
      <c r="F26" s="7">
        <f>IF(COUNTIF(I26:XFD26,"&gt;"&amp;0)=0,,HLOOKUP(COUNTIF(I26:XFD26,"&gt;"&amp;0)-MIN($F$1+1,COUNTIF(I26:XFD26,"&gt;"&amp;0)),I$1:XFD26,A26+1,FALSE))</f>
        <v>790</v>
      </c>
      <c r="G26" s="8">
        <f t="shared" si="8"/>
        <v>1.1395383252147324</v>
      </c>
      <c r="H26" s="13" t="s">
        <v>43</v>
      </c>
      <c r="I26" s="9">
        <v>117</v>
      </c>
      <c r="J26" s="9">
        <v>129</v>
      </c>
      <c r="K26" s="9">
        <v>149</v>
      </c>
      <c r="L26" s="9">
        <v>149</v>
      </c>
      <c r="M26" s="9">
        <v>197</v>
      </c>
      <c r="N26" s="9">
        <v>238</v>
      </c>
      <c r="O26" s="9">
        <v>428</v>
      </c>
      <c r="P26" s="9">
        <v>566</v>
      </c>
      <c r="Q26" s="9">
        <v>673</v>
      </c>
      <c r="R26" s="9">
        <v>790</v>
      </c>
      <c r="S26" s="9">
        <v>900</v>
      </c>
      <c r="T26" s="9">
        <v>1030</v>
      </c>
      <c r="U26" s="9">
        <v>1183</v>
      </c>
      <c r="V26" s="9">
        <v>1306</v>
      </c>
      <c r="W26" s="9">
        <v>1518</v>
      </c>
    </row>
    <row r="27" spans="1:40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Israel</v>
      </c>
      <c r="D27" s="6">
        <f t="shared" si="7"/>
        <v>1442</v>
      </c>
      <c r="E27" s="6">
        <f>IF(COUNTIF(I27:XFD27,"&gt;"&amp;0)=0,,HLOOKUP(COUNTIF(I27:XFD27,"&gt;"&amp;0)-1,I$1:XFD27,A27+1,FALSE))</f>
        <v>1442</v>
      </c>
      <c r="F27" s="7">
        <f>IF(COUNTIF(I27:XFD27,"&gt;"&amp;0)=0,,HLOOKUP(COUNTIF(I27:XFD27,"&gt;"&amp;0)-MIN($F$1+1,COUNTIF(I27:XFD27,"&gt;"&amp;0)),I$1:XFD27,A27+1,FALSE))</f>
        <v>433</v>
      </c>
      <c r="G27" s="8">
        <f t="shared" si="8"/>
        <v>1.2720244901160542</v>
      </c>
      <c r="H27" s="13" t="s">
        <v>79</v>
      </c>
      <c r="I27" s="9">
        <v>109</v>
      </c>
      <c r="J27" s="9">
        <v>131</v>
      </c>
      <c r="K27" s="9">
        <v>161</v>
      </c>
      <c r="L27" s="9">
        <v>193</v>
      </c>
      <c r="M27" s="9">
        <v>251</v>
      </c>
      <c r="N27" s="9">
        <v>255</v>
      </c>
      <c r="O27" s="9">
        <v>337</v>
      </c>
      <c r="P27" s="9">
        <v>433</v>
      </c>
      <c r="Q27" s="9">
        <v>677</v>
      </c>
      <c r="R27" s="9">
        <v>705</v>
      </c>
      <c r="S27" s="9">
        <v>883</v>
      </c>
      <c r="T27" s="9">
        <v>1071</v>
      </c>
      <c r="U27" s="9">
        <v>1442</v>
      </c>
    </row>
    <row r="28" spans="1:40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Czechia</v>
      </c>
      <c r="D28" s="6">
        <f t="shared" si="7"/>
        <v>1236</v>
      </c>
      <c r="E28" s="6">
        <f>IF(COUNTIF(I28:XFD28,"&gt;"&amp;0)=0,,HLOOKUP(COUNTIF(I28:XFD28,"&gt;"&amp;0)-1,I$1:XFD28,A28+1,FALSE))</f>
        <v>1236</v>
      </c>
      <c r="F28" s="7">
        <f>IF(COUNTIF(I28:XFD28,"&gt;"&amp;0)=0,,HLOOKUP(COUNTIF(I28:XFD28,"&gt;"&amp;0)-MIN($F$1+1,COUNTIF(I28:XFD28,"&gt;"&amp;0)),I$1:XFD28,A28+1,FALSE))</f>
        <v>464</v>
      </c>
      <c r="G28" s="8">
        <f t="shared" si="8"/>
        <v>1.2164663446753885</v>
      </c>
      <c r="H28" s="13" t="s">
        <v>341</v>
      </c>
      <c r="I28" s="9">
        <v>141</v>
      </c>
      <c r="J28" s="9">
        <v>189</v>
      </c>
      <c r="K28" s="9">
        <v>253</v>
      </c>
      <c r="L28" s="9">
        <v>298</v>
      </c>
      <c r="M28" s="9">
        <v>396</v>
      </c>
      <c r="N28" s="9">
        <v>464</v>
      </c>
      <c r="O28" s="9">
        <v>694</v>
      </c>
      <c r="P28" s="9">
        <v>833</v>
      </c>
      <c r="Q28" s="9">
        <v>995</v>
      </c>
      <c r="R28" s="9">
        <v>1120</v>
      </c>
      <c r="S28" s="9">
        <v>1236</v>
      </c>
    </row>
    <row r="29" spans="1:40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Japan</v>
      </c>
      <c r="D29" s="6">
        <f t="shared" si="7"/>
        <v>1128</v>
      </c>
      <c r="E29" s="6">
        <f>IF(COUNTIF(I29:XFD29,"&gt;"&amp;0)=0,,HLOOKUP(COUNTIF(I29:XFD29,"&gt;"&amp;0)-1,I$1:XFD29,A29+1,FALSE))</f>
        <v>1128</v>
      </c>
      <c r="F29" s="7">
        <f>IF(COUNTIF(I29:XFD29,"&gt;"&amp;0)=0,,HLOOKUP(COUNTIF(I29:XFD29,"&gt;"&amp;0)-MIN($F$1+1,COUNTIF(I29:XFD29,"&gt;"&amp;0)),I$1:XFD29,A29+1,FALSE))</f>
        <v>889</v>
      </c>
      <c r="G29" s="8">
        <f t="shared" si="8"/>
        <v>1.0487729264599723</v>
      </c>
      <c r="H29" s="13" t="s">
        <v>36</v>
      </c>
      <c r="I29" s="9">
        <v>105</v>
      </c>
      <c r="J29" s="9">
        <v>122</v>
      </c>
      <c r="K29" s="9">
        <v>147</v>
      </c>
      <c r="L29" s="9">
        <v>159</v>
      </c>
      <c r="M29" s="9">
        <v>170</v>
      </c>
      <c r="N29" s="9">
        <v>189</v>
      </c>
      <c r="O29" s="9">
        <v>214</v>
      </c>
      <c r="P29" s="9">
        <v>228</v>
      </c>
      <c r="Q29" s="9">
        <v>241</v>
      </c>
      <c r="R29" s="9">
        <v>256</v>
      </c>
      <c r="S29" s="9">
        <v>274</v>
      </c>
      <c r="T29" s="9">
        <v>293</v>
      </c>
      <c r="U29" s="9">
        <v>331</v>
      </c>
      <c r="V29" s="9">
        <v>360</v>
      </c>
      <c r="W29" s="9">
        <v>420</v>
      </c>
      <c r="X29" s="9">
        <v>461</v>
      </c>
      <c r="Y29" s="9">
        <v>502</v>
      </c>
      <c r="Z29" s="9">
        <v>511</v>
      </c>
      <c r="AA29" s="9">
        <v>581</v>
      </c>
      <c r="AB29" s="9">
        <v>639</v>
      </c>
      <c r="AC29" s="9">
        <v>639</v>
      </c>
      <c r="AD29" s="9">
        <v>701</v>
      </c>
      <c r="AE29" s="9">
        <v>773</v>
      </c>
      <c r="AF29" s="9">
        <v>839</v>
      </c>
      <c r="AG29" s="9">
        <v>839</v>
      </c>
      <c r="AH29" s="9">
        <v>878</v>
      </c>
      <c r="AI29" s="9">
        <v>889</v>
      </c>
      <c r="AJ29" s="9">
        <v>924</v>
      </c>
      <c r="AK29" s="9">
        <v>963</v>
      </c>
      <c r="AL29" s="9">
        <v>1007</v>
      </c>
      <c r="AM29" s="9">
        <v>1101</v>
      </c>
      <c r="AN29" s="9">
        <v>1128</v>
      </c>
    </row>
    <row r="30" spans="1:40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Ireland</v>
      </c>
      <c r="D30" s="6">
        <f t="shared" si="7"/>
        <v>1125</v>
      </c>
      <c r="E30" s="6">
        <f>IF(COUNTIF(I30:XFD30,"&gt;"&amp;0)=0,,HLOOKUP(COUNTIF(I30:XFD30,"&gt;"&amp;0)-1,I$1:XFD30,A30+1,FALSE))</f>
        <v>1125</v>
      </c>
      <c r="F30" s="7">
        <f>IF(COUNTIF(I30:XFD30,"&gt;"&amp;0)=0,,HLOOKUP(COUNTIF(I30:XFD30,"&gt;"&amp;0)-MIN($F$1+1,COUNTIF(I30:XFD30,"&gt;"&amp;0)),I$1:XFD30,A30+1,FALSE))</f>
        <v>292</v>
      </c>
      <c r="G30" s="8">
        <f t="shared" si="8"/>
        <v>1.3096460403201486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  <c r="R30" s="9">
        <v>1125</v>
      </c>
    </row>
    <row r="31" spans="1:40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Ecuador</v>
      </c>
      <c r="D31" s="6">
        <f t="shared" si="7"/>
        <v>981</v>
      </c>
      <c r="E31" s="6">
        <f>IF(COUNTIF(I31:XFD31,"&gt;"&amp;0)=0,,HLOOKUP(COUNTIF(I31:XFD31,"&gt;"&amp;0)-1,I$1:XFD31,A31+1,FALSE))</f>
        <v>981</v>
      </c>
      <c r="F31" s="7">
        <f>IF(COUNTIF(I31:XFD31,"&gt;"&amp;0)=0,,HLOOKUP(COUNTIF(I31:XFD31,"&gt;"&amp;0)-MIN($F$1+1,COUNTIF(I31:XFD31,"&gt;"&amp;0)),I$1:XFD31,A31+1,FALSE))</f>
        <v>111</v>
      </c>
      <c r="G31" s="8">
        <f t="shared" si="8"/>
        <v>1.5462125919119076</v>
      </c>
      <c r="H31" s="13" t="s">
        <v>103</v>
      </c>
      <c r="I31" s="9">
        <v>111</v>
      </c>
      <c r="J31" s="9">
        <v>199</v>
      </c>
      <c r="K31" s="9">
        <v>367</v>
      </c>
      <c r="L31" s="9">
        <v>506</v>
      </c>
      <c r="M31" s="9">
        <v>789</v>
      </c>
      <c r="N31" s="9">
        <v>981</v>
      </c>
    </row>
    <row r="32" spans="1:40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Luxembourg</v>
      </c>
      <c r="D32" s="6">
        <f t="shared" si="7"/>
        <v>875</v>
      </c>
      <c r="E32" s="6">
        <f>IF(COUNTIF(I32:XFD32,"&gt;"&amp;0)=0,,HLOOKUP(COUNTIF(I32:XFD32,"&gt;"&amp;0)-1,I$1:XFD32,A32+1,FALSE))</f>
        <v>875</v>
      </c>
      <c r="F32" s="7">
        <f>IF(COUNTIF(I32:XFD32,"&gt;"&amp;0)=0,,HLOOKUP(COUNTIF(I32:XFD32,"&gt;"&amp;0)-MIN($F$1+1,COUNTIF(I32:XFD32,"&gt;"&amp;0)),I$1:XFD32,A32+1,FALSE))</f>
        <v>203</v>
      </c>
      <c r="G32" s="8">
        <f t="shared" si="8"/>
        <v>1.3393756619426755</v>
      </c>
      <c r="H32" s="13" t="s">
        <v>99</v>
      </c>
      <c r="I32" s="9">
        <v>140</v>
      </c>
      <c r="J32" s="9">
        <v>203</v>
      </c>
      <c r="K32" s="9">
        <v>335</v>
      </c>
      <c r="L32" s="9">
        <v>484</v>
      </c>
      <c r="M32" s="9">
        <v>670</v>
      </c>
      <c r="N32" s="9">
        <v>798</v>
      </c>
      <c r="O32" s="9">
        <v>875</v>
      </c>
    </row>
    <row r="33" spans="1:51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Pakistan</v>
      </c>
      <c r="D33" s="6">
        <f t="shared" si="7"/>
        <v>875</v>
      </c>
      <c r="E33" s="6">
        <f>IF(COUNTIF(I33:XFD33,"&gt;"&amp;0)=0,,HLOOKUP(COUNTIF(I33:XFD33,"&gt;"&amp;0)-1,I$1:XFD33,A33+1,FALSE))</f>
        <v>875</v>
      </c>
      <c r="F33" s="7">
        <f>IF(COUNTIF(I33:XFD33,"&gt;"&amp;0)=0,,HLOOKUP(COUNTIF(I33:XFD33,"&gt;"&amp;0)-MIN($F$1+1,COUNTIF(I33:XFD33,"&gt;"&amp;0)),I$1:XFD33,A33+1,FALSE))</f>
        <v>299</v>
      </c>
      <c r="G33" s="8">
        <f t="shared" si="8"/>
        <v>1.2395594851566318</v>
      </c>
      <c r="H33" s="13" t="s">
        <v>80</v>
      </c>
      <c r="I33" s="9">
        <v>136</v>
      </c>
      <c r="J33" s="9">
        <v>236</v>
      </c>
      <c r="K33" s="9">
        <v>299</v>
      </c>
      <c r="L33" s="9">
        <v>454</v>
      </c>
      <c r="M33" s="9">
        <v>501</v>
      </c>
      <c r="N33" s="9">
        <v>730</v>
      </c>
      <c r="O33" s="9">
        <v>776</v>
      </c>
      <c r="P33" s="9">
        <v>875</v>
      </c>
    </row>
    <row r="34" spans="1:51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Poland</v>
      </c>
      <c r="D34" s="6">
        <f t="shared" si="7"/>
        <v>749</v>
      </c>
      <c r="E34" s="6">
        <f>IF(COUNTIF(I34:XFD34,"&gt;"&amp;0)=0,,HLOOKUP(COUNTIF(I34:XFD34,"&gt;"&amp;0)-1,I$1:XFD34,A34+1,FALSE))</f>
        <v>749</v>
      </c>
      <c r="F34" s="7">
        <f>IF(COUNTIF(I34:XFD34,"&gt;"&amp;0)=0,,HLOOKUP(COUNTIF(I34:XFD34,"&gt;"&amp;0)-MIN($F$1+1,COUNTIF(I34:XFD34,"&gt;"&amp;0)),I$1:XFD34,A34+1,FALSE))</f>
        <v>251</v>
      </c>
      <c r="G34" s="8">
        <f t="shared" si="8"/>
        <v>1.244404632705421</v>
      </c>
      <c r="H34" s="13" t="s">
        <v>137</v>
      </c>
      <c r="I34" s="9">
        <v>103</v>
      </c>
      <c r="J34" s="9">
        <v>119</v>
      </c>
      <c r="K34" s="9">
        <v>177</v>
      </c>
      <c r="L34" s="9">
        <v>238</v>
      </c>
      <c r="M34" s="9">
        <v>251</v>
      </c>
      <c r="N34" s="9">
        <v>355</v>
      </c>
      <c r="O34" s="9">
        <v>425</v>
      </c>
      <c r="P34" s="9">
        <v>536</v>
      </c>
      <c r="Q34" s="9">
        <v>634</v>
      </c>
      <c r="R34" s="9">
        <v>749</v>
      </c>
    </row>
    <row r="35" spans="1:51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Chile</v>
      </c>
      <c r="D35" s="6">
        <f t="shared" si="7"/>
        <v>746</v>
      </c>
      <c r="E35" s="6">
        <f>IF(COUNTIF(I35:XFD35,"&gt;"&amp;0)=0,,HLOOKUP(COUNTIF(I35:XFD35,"&gt;"&amp;0)-1,I$1:XFD35,A35+1,FALSE))</f>
        <v>746</v>
      </c>
      <c r="F35" s="7">
        <f>IF(COUNTIF(I35:XFD35,"&gt;"&amp;0)=0,,HLOOKUP(COUNTIF(I35:XFD35,"&gt;"&amp;0)-MIN($F$1+1,COUNTIF(I35:XFD35,"&gt;"&amp;0)),I$1:XFD35,A35+1,FALSE))</f>
        <v>238</v>
      </c>
      <c r="G35" s="8">
        <f t="shared" si="8"/>
        <v>1.2567021962956606</v>
      </c>
      <c r="H35" s="13" t="s">
        <v>124</v>
      </c>
      <c r="I35" s="9">
        <v>155</v>
      </c>
      <c r="J35" s="9">
        <v>201</v>
      </c>
      <c r="K35" s="9">
        <v>238</v>
      </c>
      <c r="L35" s="9">
        <v>238</v>
      </c>
      <c r="M35" s="9">
        <v>434</v>
      </c>
      <c r="N35" s="9">
        <v>537</v>
      </c>
      <c r="O35" s="9">
        <v>632</v>
      </c>
      <c r="P35" s="9">
        <v>746</v>
      </c>
    </row>
    <row r="36" spans="1:51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Thailand</v>
      </c>
      <c r="D36" s="6">
        <f t="shared" si="7"/>
        <v>721</v>
      </c>
      <c r="E36" s="6">
        <f>IF(COUNTIF(I36:XFD36,"&gt;"&amp;0)=0,,HLOOKUP(COUNTIF(I36:XFD36,"&gt;"&amp;0)-1,I$1:XFD36,A36+1,FALSE))</f>
        <v>721</v>
      </c>
      <c r="F36" s="7">
        <f>IF(COUNTIF(I36:XFD36,"&gt;"&amp;0)=0,,HLOOKUP(COUNTIF(I36:XFD36,"&gt;"&amp;0)-MIN($F$1+1,COUNTIF(I36:XFD36,"&gt;"&amp;0)),I$1:XFD36,A36+1,FALSE))</f>
        <v>212</v>
      </c>
      <c r="G36" s="8">
        <f t="shared" si="8"/>
        <v>1.2773793195432857</v>
      </c>
      <c r="H36" s="13" t="s">
        <v>35</v>
      </c>
      <c r="I36" s="9">
        <v>114</v>
      </c>
      <c r="J36" s="9">
        <v>147</v>
      </c>
      <c r="K36" s="9">
        <v>177</v>
      </c>
      <c r="L36" s="9">
        <v>212</v>
      </c>
      <c r="M36" s="9">
        <v>272</v>
      </c>
      <c r="N36" s="9">
        <v>322</v>
      </c>
      <c r="O36" s="9">
        <v>411</v>
      </c>
      <c r="P36" s="9">
        <v>599</v>
      </c>
      <c r="Q36" s="9">
        <v>721</v>
      </c>
    </row>
    <row r="37" spans="1:51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Cruise Ship</v>
      </c>
      <c r="D37" s="6">
        <f t="shared" si="7"/>
        <v>712</v>
      </c>
      <c r="E37" s="6">
        <f>IF(COUNTIF(I37:XFD37,"&gt;"&amp;0)=0,,HLOOKUP(COUNTIF(I37:XFD37,"&gt;"&amp;0)-1,I$1:XFD37,A37+1,FALSE))</f>
        <v>712</v>
      </c>
      <c r="F37" s="7">
        <f>IF(COUNTIF(I37:XFD37,"&gt;"&amp;0)=0,,HLOOKUP(COUNTIF(I37:XFD37,"&gt;"&amp;0)-MIN($F$1+1,COUNTIF(I37:XFD37,"&gt;"&amp;0)),I$1:XFD37,A37+1,FALSE))</f>
        <v>712</v>
      </c>
      <c r="G37" s="8">
        <f t="shared" si="8"/>
        <v>1</v>
      </c>
      <c r="H37" s="13" t="s">
        <v>340</v>
      </c>
      <c r="I37" s="9">
        <v>135</v>
      </c>
      <c r="J37" s="9">
        <v>135</v>
      </c>
      <c r="K37" s="9">
        <v>175</v>
      </c>
      <c r="L37" s="9">
        <v>175</v>
      </c>
      <c r="M37" s="9">
        <v>218</v>
      </c>
      <c r="N37" s="9">
        <v>285</v>
      </c>
      <c r="O37" s="9">
        <v>355</v>
      </c>
      <c r="P37" s="9">
        <v>454</v>
      </c>
      <c r="Q37" s="9">
        <v>542</v>
      </c>
      <c r="R37" s="9">
        <v>621</v>
      </c>
      <c r="S37" s="9">
        <v>634</v>
      </c>
      <c r="T37" s="9">
        <v>634</v>
      </c>
      <c r="U37" s="9">
        <v>634</v>
      </c>
      <c r="V37" s="9">
        <v>691</v>
      </c>
      <c r="W37" s="9">
        <v>691</v>
      </c>
      <c r="X37" s="9">
        <v>691</v>
      </c>
      <c r="Y37" s="9">
        <v>705</v>
      </c>
      <c r="Z37" s="9">
        <v>705</v>
      </c>
      <c r="AA37" s="9">
        <v>705</v>
      </c>
      <c r="AB37" s="9">
        <v>705</v>
      </c>
      <c r="AC37" s="9">
        <v>705</v>
      </c>
      <c r="AD37" s="9">
        <v>705</v>
      </c>
      <c r="AE37" s="9">
        <v>706</v>
      </c>
      <c r="AF37" s="9">
        <v>706</v>
      </c>
      <c r="AG37" s="9">
        <v>706</v>
      </c>
      <c r="AH37" s="9">
        <v>706</v>
      </c>
      <c r="AI37" s="9">
        <v>706</v>
      </c>
      <c r="AJ37" s="9">
        <v>706</v>
      </c>
      <c r="AK37" s="9">
        <v>706</v>
      </c>
      <c r="AL37" s="9">
        <v>706</v>
      </c>
      <c r="AM37" s="9">
        <v>706</v>
      </c>
      <c r="AN37" s="9">
        <v>706</v>
      </c>
      <c r="AO37" s="9">
        <v>706</v>
      </c>
      <c r="AP37" s="9">
        <v>706</v>
      </c>
      <c r="AQ37" s="9">
        <v>706</v>
      </c>
      <c r="AR37" s="9">
        <v>706</v>
      </c>
      <c r="AS37" s="9">
        <v>706</v>
      </c>
      <c r="AT37" s="9">
        <v>712</v>
      </c>
      <c r="AU37" s="9">
        <v>712</v>
      </c>
      <c r="AV37" s="9">
        <v>712</v>
      </c>
      <c r="AW37" s="9">
        <v>712</v>
      </c>
      <c r="AX37" s="9">
        <v>712</v>
      </c>
      <c r="AY37" s="9">
        <v>712</v>
      </c>
    </row>
    <row r="38" spans="1:51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Finland</v>
      </c>
      <c r="D38" s="6">
        <f t="shared" si="7"/>
        <v>700</v>
      </c>
      <c r="E38" s="6">
        <f>IF(COUNTIF(I38:XFD38,"&gt;"&amp;0)=0,,HLOOKUP(COUNTIF(I38:XFD38,"&gt;"&amp;0)-1,I$1:XFD38,A38+1,FALSE))</f>
        <v>700</v>
      </c>
      <c r="F38" s="7">
        <f>IF(COUNTIF(I38:XFD38,"&gt;"&amp;0)=0,,HLOOKUP(COUNTIF(I38:XFD38,"&gt;"&amp;0)-MIN($F$1+1,COUNTIF(I38:XFD38,"&gt;"&amp;0)),I$1:XFD38,A38+1,FALSE))</f>
        <v>336</v>
      </c>
      <c r="G38" s="8">
        <f t="shared" si="8"/>
        <v>1.1581151756192944</v>
      </c>
      <c r="H38" s="13" t="s">
        <v>54</v>
      </c>
      <c r="I38" s="9">
        <v>155</v>
      </c>
      <c r="J38" s="9">
        <v>225</v>
      </c>
      <c r="K38" s="9">
        <v>244</v>
      </c>
      <c r="L38" s="9">
        <v>277</v>
      </c>
      <c r="M38" s="9">
        <v>321</v>
      </c>
      <c r="N38" s="9">
        <v>336</v>
      </c>
      <c r="O38" s="9">
        <v>400</v>
      </c>
      <c r="P38" s="9">
        <v>450</v>
      </c>
      <c r="Q38" s="9">
        <v>523</v>
      </c>
      <c r="R38" s="9">
        <v>626</v>
      </c>
      <c r="S38" s="9">
        <v>700</v>
      </c>
    </row>
    <row r="39" spans="1:51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Greece</v>
      </c>
      <c r="D39" s="6">
        <f t="shared" si="7"/>
        <v>695</v>
      </c>
      <c r="E39" s="6">
        <f>IF(COUNTIF(I39:XFD39,"&gt;"&amp;0)=0,,HLOOKUP(COUNTIF(I39:XFD39,"&gt;"&amp;0)-1,I$1:XFD39,A39+1,FALSE))</f>
        <v>695</v>
      </c>
      <c r="F39" s="7">
        <f>IF(COUNTIF(I39:XFD39,"&gt;"&amp;0)=0,,HLOOKUP(COUNTIF(I39:XFD39,"&gt;"&amp;0)-MIN($F$1+1,COUNTIF(I39:XFD39,"&gt;"&amp;0)),I$1:XFD39,A39+1,FALSE))</f>
        <v>418</v>
      </c>
      <c r="G39" s="8">
        <f t="shared" si="8"/>
        <v>1.1070358993539133</v>
      </c>
      <c r="H39" s="13" t="s">
        <v>83</v>
      </c>
      <c r="I39" s="9">
        <v>190</v>
      </c>
      <c r="J39" s="9">
        <v>228</v>
      </c>
      <c r="K39" s="9">
        <v>331</v>
      </c>
      <c r="L39" s="9">
        <v>331</v>
      </c>
      <c r="M39" s="9">
        <v>387</v>
      </c>
      <c r="N39" s="9">
        <v>418</v>
      </c>
      <c r="O39" s="9">
        <v>418</v>
      </c>
      <c r="P39" s="9">
        <v>495</v>
      </c>
      <c r="Q39" s="9">
        <v>530</v>
      </c>
      <c r="R39" s="9">
        <v>624</v>
      </c>
      <c r="S39" s="9">
        <v>695</v>
      </c>
    </row>
    <row r="40" spans="1:51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Iceland</v>
      </c>
      <c r="D40" s="6">
        <f t="shared" si="7"/>
        <v>588</v>
      </c>
      <c r="E40" s="6">
        <f>IF(COUNTIF(I40:XFD40,"&gt;"&amp;0)=0,,HLOOKUP(COUNTIF(I40:XFD40,"&gt;"&amp;0)-1,I$1:XFD40,A40+1,FALSE))</f>
        <v>588</v>
      </c>
      <c r="F40" s="7">
        <f>IF(COUNTIF(I40:XFD40,"&gt;"&amp;0)=0,,HLOOKUP(COUNTIF(I40:XFD40,"&gt;"&amp;0)-MIN($F$1+1,COUNTIF(I40:XFD40,"&gt;"&amp;0)),I$1:XFD40,A40+1,FALSE))</f>
        <v>250</v>
      </c>
      <c r="G40" s="8">
        <f t="shared" si="8"/>
        <v>1.1865538791365731</v>
      </c>
      <c r="H40" s="13" t="s">
        <v>92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  <c r="O40" s="9">
        <v>250</v>
      </c>
      <c r="P40" s="9">
        <v>330</v>
      </c>
      <c r="Q40" s="9">
        <v>409</v>
      </c>
      <c r="R40" s="9">
        <v>473</v>
      </c>
      <c r="S40" s="9">
        <v>568</v>
      </c>
      <c r="T40" s="9">
        <v>588</v>
      </c>
    </row>
    <row r="41" spans="1:51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Indonesia</v>
      </c>
      <c r="D41" s="6">
        <f t="shared" si="7"/>
        <v>579</v>
      </c>
      <c r="E41" s="6">
        <f>IF(COUNTIF(I41:XFD41,"&gt;"&amp;0)=0,,HLOOKUP(COUNTIF(I41:XFD41,"&gt;"&amp;0)-1,I$1:XFD41,A41+1,FALSE))</f>
        <v>579</v>
      </c>
      <c r="F41" s="7">
        <f>IF(COUNTIF(I41:XFD41,"&gt;"&amp;0)=0,,HLOOKUP(COUNTIF(I41:XFD41,"&gt;"&amp;0)-MIN($F$1+1,COUNTIF(I41:XFD41,"&gt;"&amp;0)),I$1:XFD41,A41+1,FALSE))</f>
        <v>227</v>
      </c>
      <c r="G41" s="8">
        <f t="shared" si="8"/>
        <v>1.2059534417169968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  <c r="P41" s="9">
        <v>514</v>
      </c>
      <c r="Q41" s="9">
        <v>579</v>
      </c>
    </row>
    <row r="42" spans="1:51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Romania</v>
      </c>
      <c r="D42" s="6">
        <f t="shared" si="7"/>
        <v>576</v>
      </c>
      <c r="E42" s="6">
        <f>IF(COUNTIF(I42:XFD42,"&gt;"&amp;0)=0,,HLOOKUP(COUNTIF(I42:XFD42,"&gt;"&amp;0)-1,I$1:XFD42,A42+1,FALSE))</f>
        <v>576</v>
      </c>
      <c r="F42" s="7">
        <f>IF(COUNTIF(I42:XFD42,"&gt;"&amp;0)=0,,HLOOKUP(COUNTIF(I42:XFD42,"&gt;"&amp;0)-MIN($F$1+1,COUNTIF(I42:XFD42,"&gt;"&amp;0)),I$1:XFD42,A42+1,FALSE))</f>
        <v>260</v>
      </c>
      <c r="G42" s="8">
        <f t="shared" si="8"/>
        <v>1.1724378410885961</v>
      </c>
      <c r="H42" s="13" t="s">
        <v>86</v>
      </c>
      <c r="I42" s="9">
        <v>123</v>
      </c>
      <c r="J42" s="9">
        <v>131</v>
      </c>
      <c r="K42" s="9">
        <v>158</v>
      </c>
      <c r="L42" s="9">
        <v>184</v>
      </c>
      <c r="M42" s="9">
        <v>260</v>
      </c>
      <c r="N42" s="9">
        <v>277</v>
      </c>
      <c r="O42" s="9">
        <v>308</v>
      </c>
      <c r="P42" s="9">
        <v>367</v>
      </c>
      <c r="Q42" s="9">
        <v>433</v>
      </c>
      <c r="R42" s="9">
        <v>576</v>
      </c>
    </row>
    <row r="43" spans="1:51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Saudi Arabia</v>
      </c>
      <c r="D43" s="6">
        <f t="shared" si="7"/>
        <v>562</v>
      </c>
      <c r="E43" s="6">
        <f>IF(COUNTIF(I43:XFD43,"&gt;"&amp;0)=0,,HLOOKUP(COUNTIF(I43:XFD43,"&gt;"&amp;0)-1,I$1:XFD43,A43+1,FALSE))</f>
        <v>562</v>
      </c>
      <c r="F43" s="7">
        <f>IF(COUNTIF(I43:XFD43,"&gt;"&amp;0)=0,,HLOOKUP(COUNTIF(I43:XFD43,"&gt;"&amp;0)-MIN($F$1+1,COUNTIF(I43:XFD43,"&gt;"&amp;0)),I$1:XFD43,A43+1,FALSE))</f>
        <v>171</v>
      </c>
      <c r="G43" s="8">
        <f t="shared" si="8"/>
        <v>1.2686681617561459</v>
      </c>
      <c r="H43" s="13" t="s">
        <v>113</v>
      </c>
      <c r="I43" s="9">
        <v>103</v>
      </c>
      <c r="J43" s="9">
        <v>103</v>
      </c>
      <c r="K43" s="9">
        <v>118</v>
      </c>
      <c r="L43" s="9">
        <v>171</v>
      </c>
      <c r="M43" s="9">
        <v>171</v>
      </c>
      <c r="N43" s="9">
        <v>274</v>
      </c>
      <c r="O43" s="9">
        <v>344</v>
      </c>
      <c r="P43" s="9">
        <v>392</v>
      </c>
      <c r="Q43" s="9">
        <v>511</v>
      </c>
      <c r="R43" s="9">
        <v>562</v>
      </c>
    </row>
    <row r="44" spans="1:51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Singapore</v>
      </c>
      <c r="D44" s="6">
        <f t="shared" si="7"/>
        <v>509</v>
      </c>
      <c r="E44" s="6">
        <f>IF(COUNTIF(I44:XFD44,"&gt;"&amp;0)=0,,HLOOKUP(COUNTIF(I44:XFD44,"&gt;"&amp;0)-1,I$1:XFD44,A44+1,FALSE))</f>
        <v>509</v>
      </c>
      <c r="F44" s="7">
        <f>IF(COUNTIF(I44:XFD44,"&gt;"&amp;0)=0,,HLOOKUP(COUNTIF(I44:XFD44,"&gt;"&amp;0)-MIN($F$1+1,COUNTIF(I44:XFD44,"&gt;"&amp;0)),I$1:XFD44,A44+1,FALSE))</f>
        <v>313</v>
      </c>
      <c r="G44" s="8">
        <f t="shared" si="8"/>
        <v>1.1021347326630964</v>
      </c>
      <c r="H44" s="13" t="s">
        <v>40</v>
      </c>
      <c r="I44" s="9">
        <v>102</v>
      </c>
      <c r="J44" s="9">
        <v>106</v>
      </c>
      <c r="K44" s="9">
        <v>108</v>
      </c>
      <c r="L44" s="9">
        <v>110</v>
      </c>
      <c r="M44" s="9">
        <v>110</v>
      </c>
      <c r="N44" s="9">
        <v>117</v>
      </c>
      <c r="O44" s="9">
        <v>130</v>
      </c>
      <c r="P44" s="9">
        <v>138</v>
      </c>
      <c r="Q44" s="9">
        <v>150</v>
      </c>
      <c r="R44" s="9">
        <v>150</v>
      </c>
      <c r="S44" s="9">
        <v>160</v>
      </c>
      <c r="T44" s="9">
        <v>178</v>
      </c>
      <c r="U44" s="9">
        <v>178</v>
      </c>
      <c r="V44" s="9">
        <v>200</v>
      </c>
      <c r="W44" s="9">
        <v>212</v>
      </c>
      <c r="X44" s="9">
        <v>226</v>
      </c>
      <c r="Y44" s="9">
        <v>243</v>
      </c>
      <c r="Z44" s="9">
        <v>266</v>
      </c>
      <c r="AA44" s="9">
        <v>313</v>
      </c>
      <c r="AB44" s="9">
        <v>345</v>
      </c>
      <c r="AC44" s="9">
        <v>385</v>
      </c>
      <c r="AD44" s="9">
        <v>432</v>
      </c>
      <c r="AE44" s="9">
        <v>455</v>
      </c>
      <c r="AF44" s="9">
        <v>509</v>
      </c>
    </row>
    <row r="45" spans="1:51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Qatar</v>
      </c>
      <c r="D45" s="6">
        <f t="shared" si="7"/>
        <v>501</v>
      </c>
      <c r="E45" s="6">
        <f>IF(COUNTIF(I45:XFD45,"&gt;"&amp;0)=0,,HLOOKUP(COUNTIF(I45:XFD45,"&gt;"&amp;0)-1,I$1:XFD45,A45+1,FALSE))</f>
        <v>501</v>
      </c>
      <c r="F45" s="7">
        <f>IF(COUNTIF(I45:XFD45,"&gt;"&amp;0)=0,,HLOOKUP(COUNTIF(I45:XFD45,"&gt;"&amp;0)-MIN($F$1+1,COUNTIF(I45:XFD45,"&gt;"&amp;0)),I$1:XFD45,A45+1,FALSE))</f>
        <v>452</v>
      </c>
      <c r="G45" s="8">
        <f t="shared" si="8"/>
        <v>1.0207981121772405</v>
      </c>
      <c r="H45" s="13" t="s">
        <v>101</v>
      </c>
      <c r="I45" s="9">
        <v>262</v>
      </c>
      <c r="J45" s="9">
        <v>262</v>
      </c>
      <c r="K45" s="9">
        <v>320</v>
      </c>
      <c r="L45" s="9">
        <v>337</v>
      </c>
      <c r="M45" s="9">
        <v>401</v>
      </c>
      <c r="N45" s="9">
        <v>439</v>
      </c>
      <c r="O45" s="9">
        <v>439</v>
      </c>
      <c r="P45" s="9">
        <v>452</v>
      </c>
      <c r="Q45" s="9">
        <v>460</v>
      </c>
      <c r="R45" s="9">
        <v>470</v>
      </c>
      <c r="S45" s="9">
        <v>481</v>
      </c>
      <c r="T45" s="9">
        <v>494</v>
      </c>
      <c r="U45" s="9">
        <v>501</v>
      </c>
    </row>
    <row r="46" spans="1:51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India</v>
      </c>
      <c r="D46" s="6">
        <f t="shared" si="7"/>
        <v>499</v>
      </c>
      <c r="E46" s="6">
        <f>IF(COUNTIF(I46:XFD46,"&gt;"&amp;0)=0,,HLOOKUP(COUNTIF(I46:XFD46,"&gt;"&amp;0)-1,I$1:XFD46,A46+1,FALSE))</f>
        <v>499</v>
      </c>
      <c r="F46" s="7">
        <f>IF(COUNTIF(I46:XFD46,"&gt;"&amp;0)=0,,HLOOKUP(COUNTIF(I46:XFD46,"&gt;"&amp;0)-MIN($F$1+1,COUNTIF(I46:XFD46,"&gt;"&amp;0)),I$1:XFD46,A46+1,FALSE))</f>
        <v>156</v>
      </c>
      <c r="G46" s="8">
        <f t="shared" si="8"/>
        <v>1.2618135577931184</v>
      </c>
      <c r="H46" s="13" t="s">
        <v>57</v>
      </c>
      <c r="I46" s="9">
        <v>102</v>
      </c>
      <c r="J46" s="9">
        <v>113</v>
      </c>
      <c r="K46" s="9">
        <v>119</v>
      </c>
      <c r="L46" s="9">
        <v>142</v>
      </c>
      <c r="M46" s="9">
        <v>156</v>
      </c>
      <c r="N46" s="9">
        <v>194</v>
      </c>
      <c r="O46" s="9">
        <v>244</v>
      </c>
      <c r="P46" s="9">
        <v>330</v>
      </c>
      <c r="Q46" s="9">
        <v>396</v>
      </c>
      <c r="R46" s="9">
        <v>499</v>
      </c>
    </row>
    <row r="47" spans="1:51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Philippines</v>
      </c>
      <c r="D47" s="6">
        <f t="shared" si="7"/>
        <v>462</v>
      </c>
      <c r="E47" s="6">
        <f>IF(COUNTIF(I47:XFD47,"&gt;"&amp;0)=0,,HLOOKUP(COUNTIF(I47:XFD47,"&gt;"&amp;0)-1,I$1:XFD47,A47+1,FALSE))</f>
        <v>462</v>
      </c>
      <c r="F47" s="7">
        <f>IF(COUNTIF(I47:XFD47,"&gt;"&amp;0)=0,,HLOOKUP(COUNTIF(I47:XFD47,"&gt;"&amp;0)-MIN($F$1+1,COUNTIF(I47:XFD47,"&gt;"&amp;0)),I$1:XFD47,A47+1,FALSE))</f>
        <v>202</v>
      </c>
      <c r="G47" s="8">
        <f t="shared" si="8"/>
        <v>1.1799351020897699</v>
      </c>
      <c r="H47" s="13" t="s">
        <v>56</v>
      </c>
      <c r="I47" s="9">
        <v>111</v>
      </c>
      <c r="J47" s="9">
        <v>140</v>
      </c>
      <c r="K47" s="9">
        <v>142</v>
      </c>
      <c r="L47" s="9">
        <v>187</v>
      </c>
      <c r="M47" s="9">
        <v>202</v>
      </c>
      <c r="N47" s="9">
        <v>217</v>
      </c>
      <c r="O47" s="9">
        <v>230</v>
      </c>
      <c r="P47" s="9">
        <v>307</v>
      </c>
      <c r="Q47" s="9">
        <v>380</v>
      </c>
      <c r="R47" s="9">
        <v>462</v>
      </c>
    </row>
    <row r="48" spans="1:51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Slovenia</v>
      </c>
      <c r="D48" s="6">
        <f t="shared" si="7"/>
        <v>442</v>
      </c>
      <c r="E48" s="6">
        <f>IF(COUNTIF(I48:XFD48,"&gt;"&amp;0)=0,,HLOOKUP(COUNTIF(I48:XFD48,"&gt;"&amp;0)-1,I$1:XFD48,A48+1,FALSE))</f>
        <v>442</v>
      </c>
      <c r="F48" s="7">
        <f>IF(COUNTIF(I48:XFD48,"&gt;"&amp;0)=0,,HLOOKUP(COUNTIF(I48:XFD48,"&gt;"&amp;0)-MIN($F$1+1,COUNTIF(I48:XFD48,"&gt;"&amp;0)),I$1:XFD48,A48+1,FALSE))</f>
        <v>275</v>
      </c>
      <c r="G48" s="8">
        <f t="shared" si="8"/>
        <v>1.0995574238430583</v>
      </c>
      <c r="H48" s="13" t="s">
        <v>141</v>
      </c>
      <c r="I48" s="9">
        <v>141</v>
      </c>
      <c r="J48" s="9">
        <v>181</v>
      </c>
      <c r="K48" s="9">
        <v>219</v>
      </c>
      <c r="L48" s="9">
        <v>253</v>
      </c>
      <c r="M48" s="9">
        <v>275</v>
      </c>
      <c r="N48" s="9">
        <v>275</v>
      </c>
      <c r="O48" s="9">
        <v>286</v>
      </c>
      <c r="P48" s="9">
        <v>341</v>
      </c>
      <c r="Q48" s="9">
        <v>383</v>
      </c>
      <c r="R48" s="9">
        <v>414</v>
      </c>
      <c r="S48" s="9">
        <v>442</v>
      </c>
    </row>
    <row r="49" spans="1:22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Russia</v>
      </c>
      <c r="D49" s="6">
        <f t="shared" si="7"/>
        <v>438</v>
      </c>
      <c r="E49" s="6">
        <f>IF(COUNTIF(I49:XFD49,"&gt;"&amp;0)=0,,HLOOKUP(COUNTIF(I49:XFD49,"&gt;"&amp;0)-1,I$1:XFD49,A49+1,FALSE))</f>
        <v>438</v>
      </c>
      <c r="F49" s="7">
        <f>IF(COUNTIF(I49:XFD49,"&gt;"&amp;0)=0,,HLOOKUP(COUNTIF(I49:XFD49,"&gt;"&amp;0)-MIN($F$1+1,COUNTIF(I49:XFD49,"&gt;"&amp;0)),I$1:XFD49,A49+1,FALSE))</f>
        <v>147</v>
      </c>
      <c r="G49" s="8">
        <f t="shared" si="8"/>
        <v>1.2440314367779859</v>
      </c>
      <c r="H49" s="13" t="s">
        <v>344</v>
      </c>
      <c r="I49" s="9">
        <v>114</v>
      </c>
      <c r="J49" s="9">
        <v>147</v>
      </c>
      <c r="K49" s="9">
        <v>199</v>
      </c>
      <c r="L49" s="9">
        <v>253</v>
      </c>
      <c r="M49" s="9">
        <v>306</v>
      </c>
      <c r="N49" s="9">
        <v>367</v>
      </c>
      <c r="O49" s="9">
        <v>438</v>
      </c>
    </row>
    <row r="50" spans="1:22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South Africa</v>
      </c>
      <c r="D50" s="6">
        <f t="shared" si="7"/>
        <v>402</v>
      </c>
      <c r="E50" s="6">
        <f>IF(COUNTIF(I50:XFD50,"&gt;"&amp;0)=0,,HLOOKUP(COUNTIF(I50:XFD50,"&gt;"&amp;0)-1,I$1:XFD50,A50+1,FALSE))</f>
        <v>402</v>
      </c>
      <c r="F50" s="7">
        <f>IF(COUNTIF(I50:XFD50,"&gt;"&amp;0)=0,,HLOOKUP(COUNTIF(I50:XFD50,"&gt;"&amp;0)-MIN($F$1+1,COUNTIF(I50:XFD50,"&gt;"&amp;0)),I$1:XFD50,A50+1,FALSE))</f>
        <v>116</v>
      </c>
      <c r="G50" s="8">
        <f t="shared" si="8"/>
        <v>1.2821936235474392</v>
      </c>
      <c r="H50" s="13" t="s">
        <v>145</v>
      </c>
      <c r="I50" s="9">
        <v>116</v>
      </c>
      <c r="J50" s="9">
        <v>150</v>
      </c>
      <c r="K50" s="9">
        <v>202</v>
      </c>
      <c r="L50" s="9">
        <v>240</v>
      </c>
      <c r="M50" s="9">
        <v>274</v>
      </c>
      <c r="N50" s="9">
        <v>402</v>
      </c>
    </row>
    <row r="51" spans="1:22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Peru</v>
      </c>
      <c r="D51" s="6">
        <f t="shared" si="7"/>
        <v>395</v>
      </c>
      <c r="E51" s="6">
        <f>IF(COUNTIF(I51:XFD51,"&gt;"&amp;0)=0,,HLOOKUP(COUNTIF(I51:XFD51,"&gt;"&amp;0)-1,I$1:XFD51,A51+1,FALSE))</f>
        <v>395</v>
      </c>
      <c r="F51" s="7">
        <f>IF(COUNTIF(I51:XFD51,"&gt;"&amp;0)=0,,HLOOKUP(COUNTIF(I51:XFD51,"&gt;"&amp;0)-MIN($F$1+1,COUNTIF(I51:XFD51,"&gt;"&amp;0)),I$1:XFD51,A51+1,FALSE))</f>
        <v>145</v>
      </c>
      <c r="G51" s="8">
        <f t="shared" si="8"/>
        <v>1.2219285685463026</v>
      </c>
      <c r="H51" s="13" t="s">
        <v>160</v>
      </c>
      <c r="I51" s="9">
        <v>117</v>
      </c>
      <c r="J51" s="9">
        <v>145</v>
      </c>
      <c r="K51" s="9">
        <v>234</v>
      </c>
      <c r="L51" s="9">
        <v>234</v>
      </c>
      <c r="M51" s="9">
        <v>318</v>
      </c>
      <c r="N51" s="9">
        <v>363</v>
      </c>
      <c r="O51" s="9">
        <v>395</v>
      </c>
    </row>
    <row r="52" spans="1:22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Bahrain</v>
      </c>
      <c r="D52" s="6">
        <f t="shared" si="7"/>
        <v>377</v>
      </c>
      <c r="E52" s="6">
        <f>IF(COUNTIF(I52:XFD52,"&gt;"&amp;0)=0,,HLOOKUP(COUNTIF(I52:XFD52,"&gt;"&amp;0)-1,I$1:XFD52,A52+1,FALSE))</f>
        <v>377</v>
      </c>
      <c r="F52" s="7">
        <f>IF(COUNTIF(I52:XFD52,"&gt;"&amp;0)=0,,HLOOKUP(COUNTIF(I52:XFD52,"&gt;"&amp;0)-MIN($F$1+1,COUNTIF(I52:XFD52,"&gt;"&amp;0)),I$1:XFD52,A52+1,FALSE))</f>
        <v>256</v>
      </c>
      <c r="G52" s="8">
        <f t="shared" si="8"/>
        <v>1.0804888186428658</v>
      </c>
      <c r="H52" s="13" t="s">
        <v>73</v>
      </c>
      <c r="I52" s="9">
        <v>110</v>
      </c>
      <c r="J52" s="9">
        <v>195</v>
      </c>
      <c r="K52" s="9">
        <v>195</v>
      </c>
      <c r="L52" s="9">
        <v>195</v>
      </c>
      <c r="M52" s="9">
        <v>210</v>
      </c>
      <c r="N52" s="9">
        <v>214</v>
      </c>
      <c r="O52" s="9">
        <v>214</v>
      </c>
      <c r="P52" s="9">
        <v>228</v>
      </c>
      <c r="Q52" s="9">
        <v>256</v>
      </c>
      <c r="R52" s="9">
        <v>278</v>
      </c>
      <c r="S52" s="9">
        <v>285</v>
      </c>
      <c r="T52" s="9">
        <v>305</v>
      </c>
      <c r="U52" s="9">
        <v>334</v>
      </c>
      <c r="V52" s="9">
        <v>377</v>
      </c>
    </row>
    <row r="53" spans="1:22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Egypt</v>
      </c>
      <c r="D53" s="6">
        <f t="shared" si="7"/>
        <v>366</v>
      </c>
      <c r="E53" s="6">
        <f>IF(COUNTIF(I53:XFD53,"&gt;"&amp;0)=0,,HLOOKUP(COUNTIF(I53:XFD53,"&gt;"&amp;0)-1,I$1:XFD53,A53+1,FALSE))</f>
        <v>366</v>
      </c>
      <c r="F53" s="7">
        <f>IF(COUNTIF(I53:XFD53,"&gt;"&amp;0)=0,,HLOOKUP(COUNTIF(I53:XFD53,"&gt;"&amp;0)-MIN($F$1+1,COUNTIF(I53:XFD53,"&gt;"&amp;0)),I$1:XFD53,A53+1,FALSE))</f>
        <v>196</v>
      </c>
      <c r="G53" s="8">
        <f t="shared" si="8"/>
        <v>1.1330393755933463</v>
      </c>
      <c r="H53" s="13" t="s">
        <v>65</v>
      </c>
      <c r="I53" s="9">
        <v>109</v>
      </c>
      <c r="J53" s="9">
        <v>110</v>
      </c>
      <c r="K53" s="9">
        <v>150</v>
      </c>
      <c r="L53" s="9">
        <v>196</v>
      </c>
      <c r="M53" s="9">
        <v>196</v>
      </c>
      <c r="N53" s="9">
        <v>256</v>
      </c>
      <c r="O53" s="9">
        <v>285</v>
      </c>
      <c r="P53" s="9">
        <v>294</v>
      </c>
      <c r="Q53" s="9">
        <v>327</v>
      </c>
      <c r="R53" s="9">
        <v>366</v>
      </c>
    </row>
    <row r="54" spans="1:22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Estonia</v>
      </c>
      <c r="D54" s="6">
        <f t="shared" si="7"/>
        <v>352</v>
      </c>
      <c r="E54" s="6">
        <f>IF(COUNTIF(I54:XFD54,"&gt;"&amp;0)=0,,HLOOKUP(COUNTIF(I54:XFD54,"&gt;"&amp;0)-1,I$1:XFD54,A54+1,FALSE))</f>
        <v>352</v>
      </c>
      <c r="F54" s="7">
        <f>IF(COUNTIF(I54:XFD54,"&gt;"&amp;0)=0,,HLOOKUP(COUNTIF(I54:XFD54,"&gt;"&amp;0)-MIN($F$1+1,COUNTIF(I54:XFD54,"&gt;"&amp;0)),I$1:XFD54,A54+1,FALSE))</f>
        <v>258</v>
      </c>
      <c r="G54" s="8">
        <f t="shared" si="8"/>
        <v>1.0641052637642969</v>
      </c>
      <c r="H54" s="13" t="s">
        <v>88</v>
      </c>
      <c r="I54" s="9">
        <v>115</v>
      </c>
      <c r="J54" s="9">
        <v>171</v>
      </c>
      <c r="K54" s="9">
        <v>205</v>
      </c>
      <c r="L54" s="9">
        <v>225</v>
      </c>
      <c r="M54" s="9">
        <v>258</v>
      </c>
      <c r="N54" s="9">
        <v>267</v>
      </c>
      <c r="O54" s="9">
        <v>283</v>
      </c>
      <c r="P54" s="9">
        <v>306</v>
      </c>
      <c r="Q54" s="9">
        <v>326</v>
      </c>
      <c r="R54" s="9">
        <v>352</v>
      </c>
    </row>
    <row r="55" spans="1:22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Panama</v>
      </c>
      <c r="D55" s="6">
        <f t="shared" si="7"/>
        <v>345</v>
      </c>
      <c r="E55" s="6">
        <f>IF(COUNTIF(I55:XFD55,"&gt;"&amp;0)=0,,HLOOKUP(COUNTIF(I55:XFD55,"&gt;"&amp;0)-1,I$1:XFD55,A55+1,FALSE))</f>
        <v>345</v>
      </c>
      <c r="F55" s="7">
        <f>IF(COUNTIF(I55:XFD55,"&gt;"&amp;0)=0,,HLOOKUP(COUNTIF(I55:XFD55,"&gt;"&amp;0)-MIN($F$1+1,COUNTIF(I55:XFD55,"&gt;"&amp;0)),I$1:XFD55,A55+1,FALSE))</f>
        <v>109</v>
      </c>
      <c r="G55" s="8">
        <f t="shared" si="8"/>
        <v>1.3338228381653288</v>
      </c>
      <c r="H55" s="13" t="s">
        <v>283</v>
      </c>
      <c r="I55" s="9">
        <v>109</v>
      </c>
      <c r="J55" s="9">
        <v>137</v>
      </c>
      <c r="K55" s="9">
        <v>200</v>
      </c>
      <c r="L55" s="9">
        <v>313</v>
      </c>
      <c r="M55" s="9">
        <v>345</v>
      </c>
    </row>
    <row r="56" spans="1:22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Mexico</v>
      </c>
      <c r="D56" s="6">
        <f t="shared" si="7"/>
        <v>316</v>
      </c>
      <c r="E56" s="6">
        <f>IF(COUNTIF(I56:XFD56,"&gt;"&amp;0)=0,,HLOOKUP(COUNTIF(I56:XFD56,"&gt;"&amp;0)-1,I$1:XFD56,A56+1,FALSE))</f>
        <v>316</v>
      </c>
      <c r="F56" s="7">
        <f>IF(COUNTIF(I56:XFD56,"&gt;"&amp;0)=0,,HLOOKUP(COUNTIF(I56:XFD56,"&gt;"&amp;0)-MIN($F$1+1,COUNTIF(I56:XFD56,"&gt;"&amp;0)),I$1:XFD56,A56+1,FALSE))</f>
        <v>118</v>
      </c>
      <c r="G56" s="8">
        <f t="shared" si="8"/>
        <v>1.2792377558160413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  <c r="M56" s="9">
        <v>316</v>
      </c>
    </row>
    <row r="57" spans="1:22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Croatia</v>
      </c>
      <c r="D57" s="6">
        <f t="shared" si="7"/>
        <v>315</v>
      </c>
      <c r="E57" s="6">
        <f>IF(COUNTIF(I57:XFD57,"&gt;"&amp;0)=0,,HLOOKUP(COUNTIF(I57:XFD57,"&gt;"&amp;0)-1,I$1:XFD57,A57+1,FALSE))</f>
        <v>315</v>
      </c>
      <c r="F57" s="7">
        <f>IF(COUNTIF(I57:XFD57,"&gt;"&amp;0)=0,,HLOOKUP(COUNTIF(I57:XFD57,"&gt;"&amp;0)-MIN($F$1+1,COUNTIF(I57:XFD57,"&gt;"&amp;0)),I$1:XFD57,A57+1,FALSE))</f>
        <v>105</v>
      </c>
      <c r="G57" s="8">
        <f t="shared" si="8"/>
        <v>1.3160740129524926</v>
      </c>
      <c r="H57" s="13" t="s">
        <v>76</v>
      </c>
      <c r="I57" s="9">
        <v>105</v>
      </c>
      <c r="J57" s="9">
        <v>128</v>
      </c>
      <c r="K57" s="9">
        <v>206</v>
      </c>
      <c r="L57" s="9">
        <v>254</v>
      </c>
      <c r="M57" s="9">
        <v>315</v>
      </c>
    </row>
    <row r="58" spans="1:22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Argentina</v>
      </c>
      <c r="D58" s="6">
        <f t="shared" si="7"/>
        <v>301</v>
      </c>
      <c r="E58" s="6">
        <f>IF(COUNTIF(I58:XFD58,"&gt;"&amp;0)=0,,HLOOKUP(COUNTIF(I58:XFD58,"&gt;"&amp;0)-1,I$1:XFD58,A58+1,FALSE))</f>
        <v>301</v>
      </c>
      <c r="F58" s="7">
        <f>IF(COUNTIF(I58:XFD58,"&gt;"&amp;0)=0,,HLOOKUP(COUNTIF(I58:XFD58,"&gt;"&amp;0)-MIN($F$1+1,COUNTIF(I58:XFD58,"&gt;"&amp;0)),I$1:XFD58,A58+1,FALSE))</f>
        <v>128</v>
      </c>
      <c r="G58" s="8">
        <f t="shared" si="8"/>
        <v>1.3297974892826141</v>
      </c>
      <c r="H58" s="13" t="s">
        <v>123</v>
      </c>
      <c r="I58" s="9">
        <v>128</v>
      </c>
      <c r="J58" s="9">
        <v>158</v>
      </c>
      <c r="K58" s="9">
        <v>266</v>
      </c>
      <c r="L58" s="9">
        <v>301</v>
      </c>
    </row>
    <row r="59" spans="1:22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Colombia</v>
      </c>
      <c r="D59" s="6">
        <f t="shared" si="7"/>
        <v>277</v>
      </c>
      <c r="E59" s="6">
        <f>IF(COUNTIF(I59:XFD59,"&gt;"&amp;0)=0,,HLOOKUP(COUNTIF(I59:XFD59,"&gt;"&amp;0)-1,I$1:XFD59,A59+1,FALSE))</f>
        <v>277</v>
      </c>
      <c r="F59" s="7">
        <f>IF(COUNTIF(I59:XFD59,"&gt;"&amp;0)=0,,HLOOKUP(COUNTIF(I59:XFD59,"&gt;"&amp;0)-MIN($F$1+1,COUNTIF(I59:XFD59,"&gt;"&amp;0)),I$1:XFD59,A59+1,FALSE))</f>
        <v>102</v>
      </c>
      <c r="G59" s="8">
        <f t="shared" si="8"/>
        <v>1.2837187936557928</v>
      </c>
      <c r="H59" s="13" t="s">
        <v>158</v>
      </c>
      <c r="I59" s="9">
        <v>102</v>
      </c>
      <c r="J59" s="9">
        <v>128</v>
      </c>
      <c r="K59" s="9">
        <v>196</v>
      </c>
      <c r="L59" s="9">
        <v>231</v>
      </c>
      <c r="M59" s="9">
        <v>277</v>
      </c>
    </row>
    <row r="60" spans="1:22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Lebanon</v>
      </c>
      <c r="D60" s="6">
        <f t="shared" si="7"/>
        <v>267</v>
      </c>
      <c r="E60" s="6">
        <f>IF(COUNTIF(I60:XFD60,"&gt;"&amp;0)=0,,HLOOKUP(COUNTIF(I60:XFD60,"&gt;"&amp;0)-1,I$1:XFD60,A60+1,FALSE))</f>
        <v>267</v>
      </c>
      <c r="F60" s="7">
        <f>IF(COUNTIF(I60:XFD60,"&gt;"&amp;0)=0,,HLOOKUP(COUNTIF(I60:XFD60,"&gt;"&amp;0)-MIN($F$1+1,COUNTIF(I60:XFD60,"&gt;"&amp;0)),I$1:XFD60,A60+1,FALSE))</f>
        <v>133</v>
      </c>
      <c r="G60" s="8">
        <f t="shared" si="8"/>
        <v>1.1495607421212002</v>
      </c>
      <c r="H60" s="15" t="s">
        <v>67</v>
      </c>
      <c r="I60" s="9">
        <v>110</v>
      </c>
      <c r="J60" s="9">
        <v>110</v>
      </c>
      <c r="K60" s="9">
        <v>120</v>
      </c>
      <c r="L60" s="9">
        <v>133</v>
      </c>
      <c r="M60" s="9">
        <v>157</v>
      </c>
      <c r="N60" s="9">
        <v>163</v>
      </c>
      <c r="O60" s="9">
        <v>187</v>
      </c>
      <c r="P60" s="9">
        <v>248</v>
      </c>
      <c r="Q60" s="9">
        <v>267</v>
      </c>
    </row>
    <row r="61" spans="1:22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Iraq</v>
      </c>
      <c r="D61" s="6">
        <f t="shared" si="7"/>
        <v>266</v>
      </c>
      <c r="E61" s="6">
        <f>IF(COUNTIF(I61:XFD61,"&gt;"&amp;0)=0,,HLOOKUP(COUNTIF(I61:XFD61,"&gt;"&amp;0)-1,I$1:XFD61,A61+1,FALSE))</f>
        <v>266</v>
      </c>
      <c r="F61" s="7">
        <f>IF(COUNTIF(I61:XFD61,"&gt;"&amp;0)=0,,HLOOKUP(COUNTIF(I61:XFD61,"&gt;"&amp;0)-MIN($F$1+1,COUNTIF(I61:XFD61,"&gt;"&amp;0)),I$1:XFD61,A61+1,FALSE))</f>
        <v>164</v>
      </c>
      <c r="G61" s="8">
        <f t="shared" si="8"/>
        <v>1.1015584790100406</v>
      </c>
      <c r="H61" s="13" t="s">
        <v>70</v>
      </c>
      <c r="I61" s="9">
        <v>101</v>
      </c>
      <c r="J61" s="9">
        <v>110</v>
      </c>
      <c r="K61" s="9">
        <v>116</v>
      </c>
      <c r="L61" s="9">
        <v>124</v>
      </c>
      <c r="M61" s="9">
        <v>154</v>
      </c>
      <c r="N61" s="9">
        <v>164</v>
      </c>
      <c r="O61" s="9">
        <v>192</v>
      </c>
      <c r="P61" s="9">
        <v>208</v>
      </c>
      <c r="Q61" s="9">
        <v>214</v>
      </c>
      <c r="R61" s="9">
        <v>233</v>
      </c>
      <c r="S61" s="9">
        <v>266</v>
      </c>
    </row>
    <row r="62" spans="1:22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Serbia</v>
      </c>
      <c r="D62" s="6">
        <f t="shared" si="7"/>
        <v>249</v>
      </c>
      <c r="E62" s="6">
        <f>IF(COUNTIF(I62:XFD62,"&gt;"&amp;0)=0,,HLOOKUP(COUNTIF(I62:XFD62,"&gt;"&amp;0)-1,I$1:XFD62,A62+1,FALSE))</f>
        <v>249</v>
      </c>
      <c r="F62" s="7">
        <f>IF(COUNTIF(I62:XFD62,"&gt;"&amp;0)=0,,HLOOKUP(COUNTIF(I62:XFD62,"&gt;"&amp;0)-MIN($F$1+1,COUNTIF(I62:XFD62,"&gt;"&amp;0)),I$1:XFD62,A62+1,FALSE))</f>
        <v>103</v>
      </c>
      <c r="G62" s="8">
        <f t="shared" si="8"/>
        <v>1.2469255692413976</v>
      </c>
      <c r="H62" s="13" t="s">
        <v>161</v>
      </c>
      <c r="I62" s="9">
        <v>103</v>
      </c>
      <c r="J62" s="9">
        <v>135</v>
      </c>
      <c r="K62" s="9">
        <v>171</v>
      </c>
      <c r="L62" s="9">
        <v>222</v>
      </c>
      <c r="M62" s="9">
        <v>249</v>
      </c>
    </row>
    <row r="63" spans="1:22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Dominican Republic</v>
      </c>
      <c r="D63" s="6">
        <f t="shared" si="7"/>
        <v>245</v>
      </c>
      <c r="E63" s="6">
        <f>IF(COUNTIF(I63:XFD63,"&gt;"&amp;0)=0,,HLOOKUP(COUNTIF(I63:XFD63,"&gt;"&amp;0)-1,I$1:XFD63,A63+1,FALSE))</f>
        <v>245</v>
      </c>
      <c r="F63" s="7">
        <f>IF(COUNTIF(I63:XFD63,"&gt;"&amp;0)=0,,HLOOKUP(COUNTIF(I63:XFD63,"&gt;"&amp;0)-MIN($F$1+1,COUNTIF(I63:XFD63,"&gt;"&amp;0)),I$1:XFD63,A63+1,FALSE))</f>
        <v>112</v>
      </c>
      <c r="G63" s="8">
        <f t="shared" si="8"/>
        <v>1.479019945774904</v>
      </c>
      <c r="H63" s="13" t="s">
        <v>106</v>
      </c>
      <c r="I63" s="9">
        <v>112</v>
      </c>
      <c r="J63" s="9">
        <v>202</v>
      </c>
      <c r="K63" s="9">
        <v>245</v>
      </c>
    </row>
    <row r="64" spans="1:22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Armenia</v>
      </c>
      <c r="D64" s="6">
        <f t="shared" si="7"/>
        <v>235</v>
      </c>
      <c r="E64" s="6">
        <f>IF(COUNTIF(I64:XFD64,"&gt;"&amp;0)=0,,HLOOKUP(COUNTIF(I64:XFD64,"&gt;"&amp;0)-1,I$1:XFD64,A64+1,FALSE))</f>
        <v>235</v>
      </c>
      <c r="F64" s="7">
        <f>IF(COUNTIF(I64:XFD64,"&gt;"&amp;0)=0,,HLOOKUP(COUNTIF(I64:XFD64,"&gt;"&amp;0)-MIN($F$1+1,COUNTIF(I64:XFD64,"&gt;"&amp;0)),I$1:XFD64,A64+1,FALSE))</f>
        <v>115</v>
      </c>
      <c r="G64" s="8">
        <f t="shared" si="8"/>
        <v>1.1956181673010464</v>
      </c>
      <c r="H64" s="13" t="s">
        <v>105</v>
      </c>
      <c r="I64" s="9">
        <v>115</v>
      </c>
      <c r="J64" s="9">
        <v>136</v>
      </c>
      <c r="K64" s="9">
        <v>160</v>
      </c>
      <c r="L64" s="9">
        <v>194</v>
      </c>
      <c r="M64" s="9">
        <v>235</v>
      </c>
    </row>
    <row r="65" spans="1:18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Algeria</v>
      </c>
      <c r="D65" s="6">
        <f t="shared" si="7"/>
        <v>230</v>
      </c>
      <c r="E65" s="6">
        <f>IF(COUNTIF(I65:XFD65,"&gt;"&amp;0)=0,,HLOOKUP(COUNTIF(I65:XFD65,"&gt;"&amp;0)-1,I$1:XFD65,A65+1,FALSE))</f>
        <v>230</v>
      </c>
      <c r="F65" s="7">
        <f>IF(COUNTIF(I65:XFD65,"&gt;"&amp;0)=0,,HLOOKUP(COUNTIF(I65:XFD65,"&gt;"&amp;0)-MIN($F$1+1,COUNTIF(I65:XFD65,"&gt;"&amp;0)),I$1:XFD65,A65+1,FALSE))</f>
        <v>139</v>
      </c>
      <c r="G65" s="8">
        <f t="shared" si="8"/>
        <v>1.2863422013573238</v>
      </c>
      <c r="H65" s="13" t="s">
        <v>75</v>
      </c>
      <c r="I65" s="9">
        <v>139</v>
      </c>
      <c r="J65" s="9">
        <v>201</v>
      </c>
      <c r="K65" s="9">
        <v>230</v>
      </c>
    </row>
    <row r="66" spans="1:18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>Bulgaria</v>
      </c>
      <c r="D66" s="6">
        <f t="shared" si="7"/>
        <v>201</v>
      </c>
      <c r="E66" s="6">
        <f>IF(COUNTIF(I66:XFD66,"&gt;"&amp;0)=0,,HLOOKUP(COUNTIF(I66:XFD66,"&gt;"&amp;0)-1,I$1:XFD66,A66+1,FALSE))</f>
        <v>201</v>
      </c>
      <c r="F66" s="7">
        <f>IF(COUNTIF(I66:XFD66,"&gt;"&amp;0)=0,,HLOOKUP(COUNTIF(I66:XFD66,"&gt;"&amp;0)-MIN($F$1+1,COUNTIF(I66:XFD66,"&gt;"&amp;0)),I$1:XFD66,A66+1,FALSE))</f>
        <v>127</v>
      </c>
      <c r="G66" s="8">
        <f t="shared" si="8"/>
        <v>1.1653707466595042</v>
      </c>
      <c r="H66" s="13" t="s">
        <v>199</v>
      </c>
      <c r="I66" s="9">
        <v>127</v>
      </c>
      <c r="J66" s="9">
        <v>163</v>
      </c>
      <c r="K66" s="9">
        <v>187</v>
      </c>
      <c r="L66" s="9">
        <v>201</v>
      </c>
    </row>
    <row r="67" spans="1:18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>United Arab Emirates</v>
      </c>
      <c r="D67" s="6">
        <f t="shared" si="7"/>
        <v>198</v>
      </c>
      <c r="E67" s="6">
        <f>IF(COUNTIF(I67:XFD67,"&gt;"&amp;0)=0,,HLOOKUP(COUNTIF(I67:XFD67,"&gt;"&amp;0)-1,I$1:XFD67,A67+1,FALSE))</f>
        <v>198</v>
      </c>
      <c r="F67" s="7">
        <f>IF(COUNTIF(I67:XFD67,"&gt;"&amp;0)=0,,HLOOKUP(COUNTIF(I67:XFD67,"&gt;"&amp;0)-MIN($F$1+1,COUNTIF(I67:XFD67,"&gt;"&amp;0)),I$1:XFD67,A67+1,FALSE))</f>
        <v>113</v>
      </c>
      <c r="G67" s="8">
        <f t="shared" si="8"/>
        <v>1.118709559920438</v>
      </c>
      <c r="H67" s="13" t="s">
        <v>55</v>
      </c>
      <c r="I67" s="9">
        <v>113</v>
      </c>
      <c r="J67" s="9">
        <v>140</v>
      </c>
      <c r="K67" s="9">
        <v>140</v>
      </c>
      <c r="L67" s="9">
        <v>153</v>
      </c>
      <c r="M67" s="9">
        <v>153</v>
      </c>
      <c r="N67" s="9">
        <v>198</v>
      </c>
    </row>
    <row r="68" spans="1:18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>Taiwan*</v>
      </c>
      <c r="D68" s="6">
        <f t="shared" si="7"/>
        <v>195</v>
      </c>
      <c r="E68" s="6">
        <f>IF(COUNTIF(I68:XFD68,"&gt;"&amp;0)=0,,HLOOKUP(COUNTIF(I68:XFD68,"&gt;"&amp;0)-1,I$1:XFD68,A68+1,FALSE))</f>
        <v>195</v>
      </c>
      <c r="F68" s="7">
        <f>IF(COUNTIF(I68:XFD68,"&gt;"&amp;0)=0,,HLOOKUP(COUNTIF(I68:XFD68,"&gt;"&amp;0)-MIN($F$1+1,COUNTIF(I68:XFD68,"&gt;"&amp;0)),I$1:XFD68,A68+1,FALSE))</f>
        <v>100</v>
      </c>
      <c r="G68" s="8">
        <f t="shared" si="8"/>
        <v>1.1428965514115608</v>
      </c>
      <c r="H68" s="13" t="s">
        <v>342</v>
      </c>
      <c r="I68" s="9">
        <v>100</v>
      </c>
      <c r="J68" s="9">
        <v>108</v>
      </c>
      <c r="K68" s="9">
        <v>135</v>
      </c>
      <c r="L68" s="9">
        <v>153</v>
      </c>
      <c r="M68" s="9">
        <v>169</v>
      </c>
      <c r="N68" s="9">
        <v>195</v>
      </c>
    </row>
    <row r="69" spans="1:18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>Kuwait</v>
      </c>
      <c r="D69" s="6">
        <f t="shared" si="7"/>
        <v>189</v>
      </c>
      <c r="E69" s="6">
        <f>IF(COUNTIF(I69:XFD69,"&gt;"&amp;0)=0,,HLOOKUP(COUNTIF(I69:XFD69,"&gt;"&amp;0)-1,I$1:XFD69,A69+1,FALSE))</f>
        <v>189</v>
      </c>
      <c r="F69" s="7">
        <f>IF(COUNTIF(I69:XFD69,"&gt;"&amp;0)=0,,HLOOKUP(COUNTIF(I69:XFD69,"&gt;"&amp;0)-MIN($F$1+1,COUNTIF(I69:XFD69,"&gt;"&amp;0)),I$1:XFD69,A69+1,FALSE))</f>
        <v>142</v>
      </c>
      <c r="G69" s="8">
        <f t="shared" si="8"/>
        <v>1.0588506119775938</v>
      </c>
      <c r="H69" s="13" t="s">
        <v>74</v>
      </c>
      <c r="I69" s="9">
        <v>104</v>
      </c>
      <c r="J69" s="9">
        <v>112</v>
      </c>
      <c r="K69" s="9">
        <v>123</v>
      </c>
      <c r="L69" s="9">
        <v>130</v>
      </c>
      <c r="M69" s="9">
        <v>142</v>
      </c>
      <c r="N69" s="9">
        <v>148</v>
      </c>
      <c r="O69" s="9">
        <v>159</v>
      </c>
      <c r="P69" s="9">
        <v>176</v>
      </c>
      <c r="Q69" s="9">
        <v>188</v>
      </c>
      <c r="R69" s="9">
        <v>189</v>
      </c>
    </row>
    <row r="70" spans="1:18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 t="shared" ref="C70:C133" si="9">IF(H70="","",H70)</f>
        <v>San Marino</v>
      </c>
      <c r="D70" s="6">
        <f t="shared" ref="D70:D133" si="10">MAX(I70:CL70)</f>
        <v>187</v>
      </c>
      <c r="E70" s="6">
        <f>IF(COUNTIF(I70:XFD70,"&gt;"&amp;0)=0,,HLOOKUP(COUNTIF(I70:XFD70,"&gt;"&amp;0)-1,I$1:XFD70,A70+1,FALSE))</f>
        <v>187</v>
      </c>
      <c r="F70" s="7">
        <f>IF(COUNTIF(I70:XFD70,"&gt;"&amp;0)=0,,HLOOKUP(COUNTIF(I70:XFD70,"&gt;"&amp;0)-MIN($F$1+1,COUNTIF(I70:XFD70,"&gt;"&amp;0)),I$1:XFD70,A70+1,FALSE))</f>
        <v>119</v>
      </c>
      <c r="G70" s="8">
        <f t="shared" ref="G70:G133" si="11">IF(COUNTIF(I70:XFD70,"&gt;"&amp;0)=0,,(E70/F70)^(1/MIN(COUNTIF(I70:XFD70,"&gt;"&amp;0)-1,$F$1)))</f>
        <v>1.0946087842231575</v>
      </c>
      <c r="H70" s="13" t="s">
        <v>90</v>
      </c>
      <c r="I70" s="9">
        <v>101</v>
      </c>
      <c r="J70" s="9">
        <v>109</v>
      </c>
      <c r="K70" s="9">
        <v>109</v>
      </c>
      <c r="L70" s="9">
        <v>119</v>
      </c>
      <c r="M70" s="9">
        <v>119</v>
      </c>
      <c r="N70" s="9">
        <v>144</v>
      </c>
      <c r="O70" s="9">
        <v>144</v>
      </c>
      <c r="P70" s="9">
        <v>175</v>
      </c>
      <c r="Q70" s="9">
        <v>187</v>
      </c>
    </row>
    <row r="71" spans="1:18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 t="shared" si="9"/>
        <v>Slovakia</v>
      </c>
      <c r="D71" s="6">
        <f t="shared" si="10"/>
        <v>186</v>
      </c>
      <c r="E71" s="6">
        <f>IF(COUNTIF(I71:XFD71,"&gt;"&amp;0)=0,,HLOOKUP(COUNTIF(I71:XFD71,"&gt;"&amp;0)-1,I$1:XFD71,A71+1,FALSE))</f>
        <v>186</v>
      </c>
      <c r="F71" s="7">
        <f>IF(COUNTIF(I71:XFD71,"&gt;"&amp;0)=0,,HLOOKUP(COUNTIF(I71:XFD71,"&gt;"&amp;0)-MIN($F$1+1,COUNTIF(I71:XFD71,"&gt;"&amp;0)),I$1:XFD71,A71+1,FALSE))</f>
        <v>105</v>
      </c>
      <c r="G71" s="8">
        <f t="shared" si="11"/>
        <v>1.1211526016021442</v>
      </c>
      <c r="H71" s="13" t="s">
        <v>162</v>
      </c>
      <c r="I71" s="9">
        <v>105</v>
      </c>
      <c r="J71" s="9">
        <v>123</v>
      </c>
      <c r="K71" s="9">
        <v>137</v>
      </c>
      <c r="L71" s="9">
        <v>178</v>
      </c>
      <c r="M71" s="9">
        <v>185</v>
      </c>
      <c r="N71" s="9">
        <v>186</v>
      </c>
    </row>
    <row r="72" spans="1:18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 t="shared" si="9"/>
        <v>Latvia</v>
      </c>
      <c r="D72" s="6">
        <f t="shared" si="10"/>
        <v>180</v>
      </c>
      <c r="E72" s="6">
        <f>IF(COUNTIF(I72:XFD72,"&gt;"&amp;0)=0,,HLOOKUP(COUNTIF(I72:XFD72,"&gt;"&amp;0)-1,I$1:XFD72,A72+1,FALSE))</f>
        <v>180</v>
      </c>
      <c r="F72" s="7">
        <f>IF(COUNTIF(I72:XFD72,"&gt;"&amp;0)=0,,HLOOKUP(COUNTIF(I72:XFD72,"&gt;"&amp;0)-MIN($F$1+1,COUNTIF(I72:XFD72,"&gt;"&amp;0)),I$1:XFD72,A72+1,FALSE))</f>
        <v>111</v>
      </c>
      <c r="G72" s="8">
        <f t="shared" si="11"/>
        <v>1.1748520403091145</v>
      </c>
      <c r="H72" s="13" t="s">
        <v>111</v>
      </c>
      <c r="I72" s="9">
        <v>111</v>
      </c>
      <c r="J72" s="9">
        <v>124</v>
      </c>
      <c r="K72" s="9">
        <v>139</v>
      </c>
      <c r="L72" s="9">
        <v>180</v>
      </c>
    </row>
    <row r="73" spans="1:18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 t="shared" si="9"/>
        <v>Lithuania</v>
      </c>
      <c r="D73" s="6">
        <f t="shared" si="10"/>
        <v>179</v>
      </c>
      <c r="E73" s="6">
        <f>IF(COUNTIF(I73:XFD73,"&gt;"&amp;0)=0,,HLOOKUP(COUNTIF(I73:XFD73,"&gt;"&amp;0)-1,I$1:XFD73,A73+1,FALSE))</f>
        <v>179</v>
      </c>
      <c r="F73" s="7">
        <f>IF(COUNTIF(I73:XFD73,"&gt;"&amp;0)=0,,HLOOKUP(COUNTIF(I73:XFD73,"&gt;"&amp;0)-MIN($F$1+1,COUNTIF(I73:XFD73,"&gt;"&amp;0)),I$1:XFD73,A73+1,FALSE))</f>
        <v>143</v>
      </c>
      <c r="G73" s="8">
        <f t="shared" si="11"/>
        <v>1.2517482517482517</v>
      </c>
      <c r="H73" s="13" t="s">
        <v>93</v>
      </c>
      <c r="I73" s="9">
        <v>143</v>
      </c>
      <c r="J73" s="9">
        <v>179</v>
      </c>
    </row>
    <row r="74" spans="1:18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 t="shared" si="9"/>
        <v>Hungary</v>
      </c>
      <c r="D74" s="6">
        <f t="shared" si="10"/>
        <v>167</v>
      </c>
      <c r="E74" s="6">
        <f>IF(COUNTIF(I74:XFD74,"&gt;"&amp;0)=0,,HLOOKUP(COUNTIF(I74:XFD74,"&gt;"&amp;0)-1,I$1:XFD74,A74+1,FALSE))</f>
        <v>167</v>
      </c>
      <c r="F74" s="7">
        <f>IF(COUNTIF(I74:XFD74,"&gt;"&amp;0)=0,,HLOOKUP(COUNTIF(I74:XFD74,"&gt;"&amp;0)-MIN($F$1+1,COUNTIF(I74:XFD74,"&gt;"&amp;0)),I$1:XFD74,A74+1,FALSE))</f>
        <v>103</v>
      </c>
      <c r="G74" s="8">
        <f t="shared" si="11"/>
        <v>1.2733260475231671</v>
      </c>
      <c r="H74" s="13" t="s">
        <v>132</v>
      </c>
      <c r="I74" s="9">
        <v>103</v>
      </c>
      <c r="J74" s="9">
        <v>131</v>
      </c>
      <c r="K74" s="9">
        <v>167</v>
      </c>
    </row>
    <row r="75" spans="1:18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 t="shared" si="9"/>
        <v>Costa Rica</v>
      </c>
      <c r="D75" s="6">
        <f t="shared" si="10"/>
        <v>158</v>
      </c>
      <c r="E75" s="6">
        <f>IF(COUNTIF(I75:XFD75,"&gt;"&amp;0)=0,,HLOOKUP(COUNTIF(I75:XFD75,"&gt;"&amp;0)-1,I$1:XFD75,A75+1,FALSE))</f>
        <v>158</v>
      </c>
      <c r="F75" s="7">
        <f>IF(COUNTIF(I75:XFD75,"&gt;"&amp;0)=0,,HLOOKUP(COUNTIF(I75:XFD75,"&gt;"&amp;0)-MIN($F$1+1,COUNTIF(I75:XFD75,"&gt;"&amp;0)),I$1:XFD75,A75+1,FALSE))</f>
        <v>117</v>
      </c>
      <c r="G75" s="8">
        <f t="shared" si="11"/>
        <v>1.1620788916538114</v>
      </c>
      <c r="H75" s="13" t="s">
        <v>159</v>
      </c>
      <c r="I75" s="9">
        <v>117</v>
      </c>
      <c r="J75" s="9">
        <v>134</v>
      </c>
      <c r="K75" s="9">
        <v>158</v>
      </c>
    </row>
    <row r="76" spans="1:18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 t="shared" si="9"/>
        <v>Morocco</v>
      </c>
      <c r="D76" s="6">
        <f t="shared" si="10"/>
        <v>143</v>
      </c>
      <c r="E76" s="6">
        <f>IF(COUNTIF(I76:XFD76,"&gt;"&amp;0)=0,,HLOOKUP(COUNTIF(I76:XFD76,"&gt;"&amp;0)-1,I$1:XFD76,A76+1,FALSE))</f>
        <v>143</v>
      </c>
      <c r="F76" s="7">
        <f>IF(COUNTIF(I76:XFD76,"&gt;"&amp;0)=0,,HLOOKUP(COUNTIF(I76:XFD76,"&gt;"&amp;0)-MIN($F$1+1,COUNTIF(I76:XFD76,"&gt;"&amp;0)),I$1:XFD76,A76+1,FALSE))</f>
        <v>115</v>
      </c>
      <c r="G76" s="8">
        <f t="shared" si="11"/>
        <v>1.2434782608695651</v>
      </c>
      <c r="H76" s="13" t="s">
        <v>112</v>
      </c>
      <c r="I76" s="9">
        <v>115</v>
      </c>
      <c r="J76" s="9">
        <v>143</v>
      </c>
    </row>
    <row r="77" spans="1:18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 t="shared" si="9"/>
        <v>North Macedonia</v>
      </c>
      <c r="D77" s="6">
        <f t="shared" si="10"/>
        <v>136</v>
      </c>
      <c r="E77" s="6">
        <f>IF(COUNTIF(I77:XFD77,"&gt;"&amp;0)=0,,HLOOKUP(COUNTIF(I77:XFD77,"&gt;"&amp;0)-1,I$1:XFD77,A77+1,FALSE))</f>
        <v>136</v>
      </c>
      <c r="F77" s="7">
        <f>IF(COUNTIF(I77:XFD77,"&gt;"&amp;0)=0,,HLOOKUP(COUNTIF(I77:XFD77,"&gt;"&amp;0)-MIN($F$1+1,COUNTIF(I77:XFD77,"&gt;"&amp;0)),I$1:XFD77,A77+1,FALSE))</f>
        <v>115</v>
      </c>
      <c r="G77" s="8">
        <f t="shared" si="11"/>
        <v>1.182608695652174</v>
      </c>
      <c r="H77" s="13" t="s">
        <v>84</v>
      </c>
      <c r="I77" s="9">
        <v>115</v>
      </c>
      <c r="J77" s="9">
        <v>136</v>
      </c>
    </row>
    <row r="78" spans="1:18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 t="shared" si="9"/>
        <v>Bosnia and Herzegovina</v>
      </c>
      <c r="D78" s="6">
        <f t="shared" si="10"/>
        <v>136</v>
      </c>
      <c r="E78" s="6">
        <f>IF(COUNTIF(I78:XFD78,"&gt;"&amp;0)=0,,HLOOKUP(COUNTIF(I78:XFD78,"&gt;"&amp;0)-1,I$1:XFD78,A78+1,FALSE))</f>
        <v>136</v>
      </c>
      <c r="F78" s="7">
        <f>IF(COUNTIF(I78:XFD78,"&gt;"&amp;0)=0,,HLOOKUP(COUNTIF(I78:XFD78,"&gt;"&amp;0)-MIN($F$1+1,COUNTIF(I78:XFD78,"&gt;"&amp;0)),I$1:XFD78,A78+1,FALSE))</f>
        <v>126</v>
      </c>
      <c r="G78" s="8">
        <f t="shared" si="11"/>
        <v>1.0793650793650793</v>
      </c>
      <c r="H78" s="13" t="s">
        <v>140</v>
      </c>
      <c r="I78" s="9">
        <v>126</v>
      </c>
      <c r="J78" s="9">
        <v>136</v>
      </c>
    </row>
    <row r="79" spans="1:18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 t="shared" si="9"/>
        <v>Andorra</v>
      </c>
      <c r="D79" s="6">
        <f t="shared" si="10"/>
        <v>133</v>
      </c>
      <c r="E79" s="6">
        <f>IF(COUNTIF(I79:XFD79,"&gt;"&amp;0)=0,,HLOOKUP(COUNTIF(I79:XFD79,"&gt;"&amp;0)-1,I$1:XFD79,A79+1,FALSE))</f>
        <v>133</v>
      </c>
      <c r="F79" s="7">
        <f>IF(COUNTIF(I79:XFD79,"&gt;"&amp;0)=0,,HLOOKUP(COUNTIF(I79:XFD79,"&gt;"&amp;0)-MIN($F$1+1,COUNTIF(I79:XFD79,"&gt;"&amp;0)),I$1:XFD79,A79+1,FALSE))</f>
        <v>113</v>
      </c>
      <c r="G79" s="8">
        <f t="shared" si="11"/>
        <v>1.1769911504424779</v>
      </c>
      <c r="H79" s="13" t="s">
        <v>109</v>
      </c>
      <c r="I79" s="9">
        <v>113</v>
      </c>
      <c r="J79" s="9">
        <v>133</v>
      </c>
    </row>
    <row r="80" spans="1:18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 t="shared" si="9"/>
        <v>Jordan</v>
      </c>
      <c r="D80" s="6">
        <f t="shared" si="10"/>
        <v>127</v>
      </c>
      <c r="E80" s="6">
        <f>IF(COUNTIF(I80:XFD80,"&gt;"&amp;0)=0,,HLOOKUP(COUNTIF(I80:XFD80,"&gt;"&amp;0)-1,I$1:XFD80,A80+1,FALSE))</f>
        <v>127</v>
      </c>
      <c r="F80" s="7">
        <f>IF(COUNTIF(I80:XFD80,"&gt;"&amp;0)=0,,HLOOKUP(COUNTIF(I80:XFD80,"&gt;"&amp;0)-MIN($F$1+1,COUNTIF(I80:XFD80,"&gt;"&amp;0)),I$1:XFD80,A80+1,FALSE))</f>
        <v>112</v>
      </c>
      <c r="G80" s="8">
        <f t="shared" si="11"/>
        <v>1.1339285714285714</v>
      </c>
      <c r="H80" s="13" t="s">
        <v>125</v>
      </c>
      <c r="I80" s="9">
        <v>112</v>
      </c>
      <c r="J80" s="9">
        <v>127</v>
      </c>
    </row>
    <row r="81" spans="1:10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 t="shared" si="9"/>
        <v>Vietnam</v>
      </c>
      <c r="D81" s="6">
        <f t="shared" si="10"/>
        <v>123</v>
      </c>
      <c r="E81" s="6">
        <f>IF(COUNTIF(I81:XFD81,"&gt;"&amp;0)=0,,HLOOKUP(COUNTIF(I81:XFD81,"&gt;"&amp;0)-1,I$1:XFD81,A81+1,FALSE))</f>
        <v>123</v>
      </c>
      <c r="F81" s="7">
        <f>IF(COUNTIF(I81:XFD81,"&gt;"&amp;0)=0,,HLOOKUP(COUNTIF(I81:XFD81,"&gt;"&amp;0)-MIN($F$1+1,COUNTIF(I81:XFD81,"&gt;"&amp;0)),I$1:XFD81,A81+1,FALSE))</f>
        <v>113</v>
      </c>
      <c r="G81" s="8">
        <f t="shared" si="11"/>
        <v>1.0884955752212389</v>
      </c>
      <c r="H81" s="13" t="s">
        <v>343</v>
      </c>
      <c r="I81" s="9">
        <v>113</v>
      </c>
      <c r="J81" s="9">
        <v>123</v>
      </c>
    </row>
    <row r="82" spans="1:10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 t="shared" si="9"/>
        <v>Cyprus</v>
      </c>
      <c r="D82" s="6">
        <f t="shared" si="10"/>
        <v>116</v>
      </c>
      <c r="E82" s="6">
        <f>IF(COUNTIF(I82:XFD82,"&gt;"&amp;0)=0,,HLOOKUP(COUNTIF(I82:XFD82,"&gt;"&amp;0)-1,I$1:XFD82,A82+1,FALSE))</f>
        <v>116</v>
      </c>
      <c r="F82" s="7">
        <f>IF(COUNTIF(I82:XFD82,"&gt;"&amp;0)=0,,HLOOKUP(COUNTIF(I82:XFD82,"&gt;"&amp;0)-MIN($F$1+1,COUNTIF(I82:XFD82,"&gt;"&amp;0)),I$1:XFD82,A82+1,FALSE))</f>
        <v>116</v>
      </c>
      <c r="G82" s="8" t="e">
        <f t="shared" si="11"/>
        <v>#DIV/0!</v>
      </c>
      <c r="H82" s="13" t="s">
        <v>231</v>
      </c>
      <c r="I82" s="9">
        <v>116</v>
      </c>
    </row>
    <row r="83" spans="1:10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 t="shared" si="9"/>
        <v>Moldova</v>
      </c>
      <c r="D83" s="6">
        <f t="shared" si="10"/>
        <v>109</v>
      </c>
      <c r="E83" s="6">
        <f>IF(COUNTIF(I83:XFD83,"&gt;"&amp;0)=0,,HLOOKUP(COUNTIF(I83:XFD83,"&gt;"&amp;0)-1,I$1:XFD83,A83+1,FALSE))</f>
        <v>109</v>
      </c>
      <c r="F83" s="7">
        <f>IF(COUNTIF(I83:XFD83,"&gt;"&amp;0)=0,,HLOOKUP(COUNTIF(I83:XFD83,"&gt;"&amp;0)-MIN($F$1+1,COUNTIF(I83:XFD83,"&gt;"&amp;0)),I$1:XFD83,A83+1,FALSE))</f>
        <v>109</v>
      </c>
      <c r="G83" s="8" t="e">
        <f t="shared" si="11"/>
        <v>#DIV/0!</v>
      </c>
      <c r="H83" s="13" t="s">
        <v>345</v>
      </c>
      <c r="I83" s="9">
        <v>109</v>
      </c>
    </row>
    <row r="84" spans="1:10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 t="shared" si="9"/>
        <v>Malta</v>
      </c>
      <c r="D84" s="6">
        <f t="shared" si="10"/>
        <v>107</v>
      </c>
      <c r="E84" s="6">
        <f>IF(COUNTIF(I84:XFD84,"&gt;"&amp;0)=0,,HLOOKUP(COUNTIF(I84:XFD84,"&gt;"&amp;0)-1,I$1:XFD84,A84+1,FALSE))</f>
        <v>107</v>
      </c>
      <c r="F84" s="7">
        <f>IF(COUNTIF(I84:XFD84,"&gt;"&amp;0)=0,,HLOOKUP(COUNTIF(I84:XFD84,"&gt;"&amp;0)-MIN($F$1+1,COUNTIF(I84:XFD84,"&gt;"&amp;0)),I$1:XFD84,A84+1,FALSE))</f>
        <v>107</v>
      </c>
      <c r="G84" s="8" t="e">
        <f t="shared" si="11"/>
        <v>#DIV/0!</v>
      </c>
      <c r="H84" s="13" t="s">
        <v>177</v>
      </c>
      <c r="I84" s="9">
        <v>107</v>
      </c>
    </row>
    <row r="85" spans="1:10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 t="shared" si="9"/>
        <v>Albania</v>
      </c>
      <c r="D85" s="6">
        <f t="shared" si="10"/>
        <v>104</v>
      </c>
      <c r="E85" s="6">
        <f>IF(COUNTIF(I85:XFD85,"&gt;"&amp;0)=0,,HLOOKUP(COUNTIF(I85:XFD85,"&gt;"&amp;0)-1,I$1:XFD85,A85+1,FALSE))</f>
        <v>104</v>
      </c>
      <c r="F85" s="7">
        <f>IF(COUNTIF(I85:XFD85,"&gt;"&amp;0)=0,,HLOOKUP(COUNTIF(I85:XFD85,"&gt;"&amp;0)-MIN($F$1+1,COUNTIF(I85:XFD85,"&gt;"&amp;0)),I$1:XFD85,A85+1,FALSE))</f>
        <v>104</v>
      </c>
      <c r="G85" s="8" t="e">
        <f t="shared" si="11"/>
        <v>#DIV/0!</v>
      </c>
      <c r="H85" s="13" t="s">
        <v>230</v>
      </c>
      <c r="I85" s="9">
        <v>104</v>
      </c>
    </row>
    <row r="86" spans="1:10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 t="shared" si="9"/>
        <v>New Zealand</v>
      </c>
      <c r="D86" s="6">
        <f t="shared" si="10"/>
        <v>102</v>
      </c>
      <c r="E86" s="6">
        <f>IF(COUNTIF(I86:XFD86,"&gt;"&amp;0)=0,,HLOOKUP(COUNTIF(I86:XFD86,"&gt;"&amp;0)-1,I$1:XFD86,A86+1,FALSE))</f>
        <v>102</v>
      </c>
      <c r="F86" s="7">
        <f>IF(COUNTIF(I86:XFD86,"&gt;"&amp;0)=0,,HLOOKUP(COUNTIF(I86:XFD86,"&gt;"&amp;0)-MIN($F$1+1,COUNTIF(I86:XFD86,"&gt;"&amp;0)),I$1:XFD86,A86+1,FALSE))</f>
        <v>102</v>
      </c>
      <c r="G86" s="8">
        <f t="shared" si="11"/>
        <v>1</v>
      </c>
      <c r="H86" s="13" t="s">
        <v>95</v>
      </c>
      <c r="I86" s="9">
        <v>102</v>
      </c>
      <c r="J86" s="9">
        <v>102</v>
      </c>
    </row>
    <row r="87" spans="1:10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 t="shared" si="9"/>
        <v/>
      </c>
      <c r="D87" s="6">
        <f t="shared" si="10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1"/>
        <v>0</v>
      </c>
    </row>
    <row r="88" spans="1:10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 t="shared" si="9"/>
        <v/>
      </c>
      <c r="D88" s="6">
        <f t="shared" si="10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1"/>
        <v>0</v>
      </c>
    </row>
    <row r="89" spans="1:10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 t="shared" si="9"/>
        <v/>
      </c>
      <c r="D89" s="6">
        <f t="shared" si="10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1"/>
        <v>0</v>
      </c>
    </row>
    <row r="90" spans="1:10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 t="shared" si="9"/>
        <v/>
      </c>
      <c r="D90" s="6">
        <f t="shared" si="10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1"/>
        <v>0</v>
      </c>
    </row>
    <row r="91" spans="1:10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 t="shared" si="9"/>
        <v/>
      </c>
      <c r="D91" s="6">
        <f t="shared" si="10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1"/>
        <v>0</v>
      </c>
    </row>
    <row r="92" spans="1:10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 t="shared" si="9"/>
        <v/>
      </c>
      <c r="D92" s="6">
        <f t="shared" si="10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1"/>
        <v>0</v>
      </c>
    </row>
    <row r="93" spans="1:10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 t="shared" si="9"/>
        <v/>
      </c>
      <c r="D93" s="6">
        <f t="shared" si="10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1"/>
        <v>0</v>
      </c>
    </row>
    <row r="94" spans="1:10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 t="shared" si="9"/>
        <v/>
      </c>
      <c r="D94" s="6">
        <f t="shared" si="10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1"/>
        <v>0</v>
      </c>
    </row>
    <row r="95" spans="1:10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 t="shared" si="9"/>
        <v/>
      </c>
      <c r="D95" s="6">
        <f t="shared" si="10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1"/>
        <v>0</v>
      </c>
    </row>
    <row r="96" spans="1:10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 t="shared" si="9"/>
        <v/>
      </c>
      <c r="D96" s="6">
        <f t="shared" si="10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1"/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 t="shared" si="9"/>
        <v/>
      </c>
      <c r="D97" s="6">
        <f t="shared" si="10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1"/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 t="shared" si="9"/>
        <v/>
      </c>
      <c r="D98" s="6">
        <f t="shared" si="10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1"/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 t="shared" si="9"/>
        <v/>
      </c>
      <c r="D99" s="6">
        <f t="shared" si="10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1"/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 t="shared" si="9"/>
        <v/>
      </c>
      <c r="D100" s="6">
        <f t="shared" si="10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1"/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 t="shared" si="9"/>
        <v/>
      </c>
      <c r="D101" s="6">
        <f t="shared" si="10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1"/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 t="shared" si="9"/>
        <v/>
      </c>
      <c r="D102" s="6">
        <f t="shared" si="10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1"/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 t="shared" si="9"/>
        <v/>
      </c>
      <c r="D103" s="6">
        <f t="shared" si="10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1"/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 t="shared" si="9"/>
        <v/>
      </c>
      <c r="D104" s="6">
        <f t="shared" si="10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1"/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 t="shared" si="9"/>
        <v/>
      </c>
      <c r="D105" s="6">
        <f t="shared" si="10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1"/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 t="shared" si="9"/>
        <v/>
      </c>
      <c r="D106" s="6">
        <f t="shared" si="10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1"/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 t="shared" si="9"/>
        <v/>
      </c>
      <c r="D107" s="6">
        <f t="shared" si="10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1"/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 t="shared" si="9"/>
        <v/>
      </c>
      <c r="D108" s="6">
        <f t="shared" si="10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1"/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 t="shared" si="9"/>
        <v/>
      </c>
      <c r="D109" s="6">
        <f t="shared" si="10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1"/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 t="shared" si="9"/>
        <v/>
      </c>
      <c r="D110" s="6">
        <f t="shared" si="10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1"/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 t="shared" si="9"/>
        <v/>
      </c>
      <c r="D111" s="6">
        <f t="shared" si="10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1"/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 t="shared" si="9"/>
        <v/>
      </c>
      <c r="D112" s="6">
        <f t="shared" si="10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1"/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 t="shared" si="9"/>
        <v/>
      </c>
      <c r="D113" s="6">
        <f t="shared" si="10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1"/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 t="shared" si="9"/>
        <v/>
      </c>
      <c r="D114" s="6">
        <f t="shared" si="10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1"/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 t="shared" si="9"/>
        <v/>
      </c>
      <c r="D115" s="6">
        <f t="shared" si="10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1"/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 t="shared" ref="C134:C197" si="12">IF(H134="","",H134)</f>
        <v/>
      </c>
      <c r="D134" s="6">
        <f t="shared" ref="D134:D197" si="13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 t="shared" ref="C198:C200" si="15">IF(H198="","",H198)</f>
        <v/>
      </c>
      <c r="D198" s="6">
        <f t="shared" ref="D198:D200" si="16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57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58108</v>
      </c>
      <c r="E5" s="6">
        <f>IF(COUNTIF(I5:XFD5,"&gt;"&amp;0)=0,,HLOOKUP(COUNTIF(I5:XFD5,"&gt;"&amp;0)-1,I$1:XFD5,A5+1,FALSE))</f>
        <v>5410</v>
      </c>
      <c r="F5" s="7">
        <f>IF(COUNTIF(I5:XFD5,"&gt;"&amp;0)=0,,HLOOKUP(COUNTIF(I5:XFD5,"&gt;"&amp;0)-MIN($F$1+1,COUNTIF(I5:XFD5,"&gt;"&amp;0)),I$1:XFD5,A5+1,FALSE))</f>
        <v>8106</v>
      </c>
      <c r="G5" s="8">
        <f t="shared" si="9"/>
        <v>0.92231258179890641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10">
        <v>37424</v>
      </c>
      <c r="AC5" s="10">
        <v>38638</v>
      </c>
      <c r="AD5" s="11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  <c r="BQ5" s="9">
        <v>5799</v>
      </c>
      <c r="BR5" s="9">
        <v>5410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50826</v>
      </c>
      <c r="E6" s="6">
        <f>IF(COUNTIF(I6:XFD6,"&gt;"&amp;0)=0,,HLOOKUP(COUNTIF(I6:XFD6,"&gt;"&amp;0)-1,I$1:XFD6,A6+1,FALSE))</f>
        <v>50826</v>
      </c>
      <c r="F6" s="7">
        <f>IF(COUNTIF(I6:XFD6,"&gt;"&amp;0)=0,,HLOOKUP(COUNTIF(I6:XFD6,"&gt;"&amp;0)-MIN($F$1+1,COUNTIF(I6:XFD6,"&gt;"&amp;0)),I$1:XFD6,A6+1,FALSE))</f>
        <v>28710</v>
      </c>
      <c r="G6" s="8">
        <f t="shared" ref="G6:G69" si="15">IF(COUNTIF(I6:XFD6,"&gt;"&amp;0)=0,,(E6/F6)^(1/MIN(COUNTIF(I6:XFD6,"&gt;"&amp;0)-1,$F$1)))</f>
        <v>1.1210127391375442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  <c r="AK6" s="9">
        <v>46638</v>
      </c>
      <c r="AL6" s="9">
        <v>50826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13306</v>
      </c>
      <c r="E7" s="6">
        <f>IF(COUNTIF(I7:XFD7,"&gt;"&amp;0)=0,,HLOOKUP(COUNTIF(I7:XFD7,"&gt;"&amp;0)-1,I$1:XFD7,A7+1,FALSE))</f>
        <v>13306</v>
      </c>
      <c r="F7" s="7">
        <f>IF(COUNTIF(I7:XFD7,"&gt;"&amp;0)=0,,HLOOKUP(COUNTIF(I7:XFD7,"&gt;"&amp;0)-MIN($F$1+1,COUNTIF(I7:XFD7,"&gt;"&amp;0)),I$1:XFD7,A7+1,FALSE))</f>
        <v>10837</v>
      </c>
      <c r="G7" s="8">
        <f t="shared" si="15"/>
        <v>1.0419039611443826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  <c r="AH7" s="9">
        <v>12022</v>
      </c>
      <c r="AI7" s="9">
        <v>13306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0</v>
      </c>
      <c r="C8" s="9" t="str">
        <f t="shared" si="13"/>
        <v>Korea, South</v>
      </c>
      <c r="D8" s="6">
        <f t="shared" si="14"/>
        <v>7577</v>
      </c>
      <c r="E8" s="6">
        <f>IF(COUNTIF(I8:XFD8,"&gt;"&amp;0)=0,,HLOOKUP(COUNTIF(I8:XFD8,"&gt;"&amp;0)-1,I$1:XFD8,A8+1,FALSE))</f>
        <v>5941</v>
      </c>
      <c r="F8" s="7">
        <f>IF(COUNTIF(I8:XFD8,"&gt;"&amp;0)=0,,HLOOKUP(COUNTIF(I8:XFD8,"&gt;"&amp;0)-MIN($F$1+1,COUNTIF(I8:XFD8,"&gt;"&amp;0)),I$1:XFD8,A8+1,FALSE))</f>
        <v>6789</v>
      </c>
      <c r="G8" s="8">
        <f t="shared" si="15"/>
        <v>0.97366766766790835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  <c r="AN8" s="9">
        <v>5941</v>
      </c>
      <c r="AO8" s="9">
        <v>5941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Spain</v>
      </c>
      <c r="D9" s="6">
        <f t="shared" si="14"/>
        <v>30250</v>
      </c>
      <c r="E9" s="6">
        <f>IF(COUNTIF(I9:XFD9,"&gt;"&amp;0)=0,,HLOOKUP(COUNTIF(I9:XFD9,"&gt;"&amp;0)-1,I$1:XFD9,A9+1,FALSE))</f>
        <v>30250</v>
      </c>
      <c r="F9" s="7">
        <f>IF(COUNTIF(I9:XFD9,"&gt;"&amp;0)=0,,HLOOKUP(COUNTIF(I9:XFD9,"&gt;"&amp;0)-MIN($F$1+1,COUNTIF(I9:XFD9,"&gt;"&amp;0)),I$1:XFD9,A9+1,FALSE))</f>
        <v>12206</v>
      </c>
      <c r="G9" s="8">
        <f t="shared" si="15"/>
        <v>1.199030975396721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  <c r="AC9" s="9">
        <v>24421</v>
      </c>
      <c r="AD9" s="9">
        <v>30250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28667</v>
      </c>
      <c r="E10" s="6">
        <f>IF(COUNTIF(I10:XFD10,"&gt;"&amp;0)=0,,HLOOKUP(COUNTIF(I10:XFD10,"&gt;"&amp;0)-1,I$1:XFD10,A10+1,FALSE))</f>
        <v>28667</v>
      </c>
      <c r="F10" s="7">
        <f>IF(COUNTIF(I10:XFD10,"&gt;"&amp;0)=0,,HLOOKUP(COUNTIF(I10:XFD10,"&gt;"&amp;0)-MIN($F$1+1,COUNTIF(I10:XFD10,"&gt;"&amp;0)),I$1:XFD10,A10+1,FALSE))</f>
        <v>12194</v>
      </c>
      <c r="G10" s="8">
        <f t="shared" si="15"/>
        <v>1.1864439091754726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  <c r="AD10" s="9">
        <v>24513</v>
      </c>
      <c r="AE10" s="9">
        <v>28667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17061</v>
      </c>
      <c r="E11" s="6">
        <f>IF(COUNTIF(I11:XFD11,"&gt;"&amp;0)=0,,HLOOKUP(COUNTIF(I11:XFD11,"&gt;"&amp;0)-1,I$1:XFD11,A11+1,FALSE))</f>
        <v>17061</v>
      </c>
      <c r="F11" s="7">
        <f>IF(COUNTIF(I11:XFD11,"&gt;"&amp;0)=0,,HLOOKUP(COUNTIF(I11:XFD11,"&gt;"&amp;0)-MIN($F$1+1,COUNTIF(I11:XFD11,"&gt;"&amp;0)),I$1:XFD11,A11+1,FALSE))</f>
        <v>8848</v>
      </c>
      <c r="G11" s="8">
        <f t="shared" si="15"/>
        <v>1.1403334760063761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936</v>
      </c>
      <c r="Q11" s="9">
        <v>1105</v>
      </c>
      <c r="R11" s="9">
        <v>1188</v>
      </c>
      <c r="S11" s="9">
        <v>1749</v>
      </c>
      <c r="T11" s="9">
        <v>2233</v>
      </c>
      <c r="U11" s="9">
        <v>2233</v>
      </c>
      <c r="V11" s="9">
        <v>3590</v>
      </c>
      <c r="W11" s="9">
        <v>4393</v>
      </c>
      <c r="X11" s="9">
        <v>4429</v>
      </c>
      <c r="Y11" s="9">
        <v>6522</v>
      </c>
      <c r="Z11" s="9">
        <v>7528</v>
      </c>
      <c r="AA11" s="9">
        <v>8848</v>
      </c>
      <c r="AB11" s="9">
        <v>10586</v>
      </c>
      <c r="AC11" s="9">
        <v>12295</v>
      </c>
      <c r="AD11" s="9">
        <v>13888</v>
      </c>
      <c r="AE11" s="9">
        <v>13361</v>
      </c>
      <c r="AF11" s="9">
        <v>17061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43112</v>
      </c>
      <c r="E12" s="6">
        <f>IF(COUNTIF(I12:XFD12,"&gt;"&amp;0)=0,,HLOOKUP(COUNTIF(I12:XFD12,"&gt;"&amp;0)-1,I$1:XFD12,A12+1,FALSE))</f>
        <v>43112</v>
      </c>
      <c r="F12" s="7">
        <f>IF(COUNTIF(I12:XFD12,"&gt;"&amp;0)=0,,HLOOKUP(COUNTIF(I12:XFD12,"&gt;"&amp;0)-MIN($F$1+1,COUNTIF(I12:XFD12,"&gt;"&amp;0)),I$1:XFD12,A12+1,FALSE))</f>
        <v>7665</v>
      </c>
      <c r="G12" s="8">
        <f t="shared" si="15"/>
        <v>1.4125934959367188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  <c r="AB12" s="9">
        <v>32859</v>
      </c>
      <c r="AC12" s="9">
        <v>43112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8544</v>
      </c>
      <c r="E13" s="6">
        <f>IF(COUNTIF(I13:XFD13,"&gt;"&amp;0)=0,,HLOOKUP(COUNTIF(I13:XFD13,"&gt;"&amp;0)-1,I$1:XFD13,A13+1,FALSE))</f>
        <v>8544</v>
      </c>
      <c r="F13" s="7">
        <f>IF(COUNTIF(I13:XFD13,"&gt;"&amp;0)=0,,HLOOKUP(COUNTIF(I13:XFD13,"&gt;"&amp;0)-MIN($F$1+1,COUNTIF(I13:XFD13,"&gt;"&amp;0)),I$1:XFD13,A13+1,FALSE))</f>
        <v>2985</v>
      </c>
      <c r="G13" s="8">
        <f t="shared" si="15"/>
        <v>1.234080189889265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  <c r="Z13" s="9">
        <v>7245</v>
      </c>
      <c r="AA13" s="9">
        <v>8544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2610</v>
      </c>
      <c r="E14" s="6">
        <f>IF(COUNTIF(I14:XFD14,"&gt;"&amp;0)=0,,HLOOKUP(COUNTIF(I14:XFD14,"&gt;"&amp;0)-1,I$1:XFD14,A14+1,FALSE))</f>
        <v>2610</v>
      </c>
      <c r="F14" s="7">
        <f>IF(COUNTIF(I14:XFD14,"&gt;"&amp;0)=0,,HLOOKUP(COUNTIF(I14:XFD14,"&gt;"&amp;0)-MIN($F$1+1,COUNTIF(I14:XFD14,"&gt;"&amp;0)),I$1:XFD14,A14+1,FALSE))</f>
        <v>1543</v>
      </c>
      <c r="G14" s="8">
        <f t="shared" si="15"/>
        <v>1.1108487131362474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  <c r="Y14" s="9">
        <v>2377</v>
      </c>
      <c r="Z14" s="9">
        <v>2610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2005</v>
      </c>
      <c r="E15" s="6">
        <f>IF(COUNTIF(I15:XFD15,"&gt;"&amp;0)=0,,HLOOKUP(COUNTIF(I15:XFD15,"&gt;"&amp;0)-1,I$1:XFD15,A15+1,FALSE))</f>
        <v>2005</v>
      </c>
      <c r="F15" s="7">
        <f>IF(COUNTIF(I15:XFD15,"&gt;"&amp;0)=0,,HLOOKUP(COUNTIF(I15:XFD15,"&gt;"&amp;0)-MIN($F$1+1,COUNTIF(I15:XFD15,"&gt;"&amp;0)),I$1:XFD15,A15+1,FALSE))</f>
        <v>1268</v>
      </c>
      <c r="G15" s="8">
        <f t="shared" si="15"/>
        <v>1.0959709042416845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  <c r="Y15" s="9">
        <v>1897</v>
      </c>
      <c r="Z15" s="9">
        <v>2005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1547</v>
      </c>
      <c r="E16" s="6">
        <f>IF(COUNTIF(I16:XFD16,"&gt;"&amp;0)=0,,HLOOKUP(COUNTIF(I16:XFD16,"&gt;"&amp;0)-1,I$1:XFD16,A16+1,FALSE))</f>
        <v>1547</v>
      </c>
      <c r="F16" s="7">
        <f>IF(COUNTIF(I16:XFD16,"&gt;"&amp;0)=0,,HLOOKUP(COUNTIF(I16:XFD16,"&gt;"&amp;0)-MIN($F$1+1,COUNTIF(I16:XFD16,"&gt;"&amp;0)),I$1:XFD16,A16+1,FALSE))</f>
        <v>1111</v>
      </c>
      <c r="G16" s="8">
        <f t="shared" si="15"/>
        <v>1.0684525771860862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  <c r="U16" s="9">
        <v>1500</v>
      </c>
      <c r="V16" s="9">
        <v>1547</v>
      </c>
    </row>
    <row r="17" spans="1:51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4548</v>
      </c>
      <c r="E17" s="6">
        <f>IF(COUNTIF(I17:XFD17,"&gt;"&amp;0)=0,,HLOOKUP(COUNTIF(I17:XFD17,"&gt;"&amp;0)-1,I$1:XFD17,A17+1,FALSE))</f>
        <v>4548</v>
      </c>
      <c r="F17" s="7">
        <f>IF(COUNTIF(I17:XFD17,"&gt;"&amp;0)=0,,HLOOKUP(COUNTIF(I17:XFD17,"&gt;"&amp;0)-MIN($F$1+1,COUNTIF(I17:XFD17,"&gt;"&amp;0)),I$1:XFD17,A17+1,FALSE))</f>
        <v>1998</v>
      </c>
      <c r="G17" s="8">
        <f t="shared" si="15"/>
        <v>1.1788132111814891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  <c r="Y17" s="9">
        <v>4035</v>
      </c>
      <c r="Z17" s="9">
        <v>4548</v>
      </c>
    </row>
    <row r="18" spans="1:51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6323</v>
      </c>
      <c r="E18" s="6">
        <f>IF(COUNTIF(I18:XFD18,"&gt;"&amp;0)=0,,HLOOKUP(COUNTIF(I18:XFD18,"&gt;"&amp;0)-1,I$1:XFD18,A18+1,FALSE))</f>
        <v>6323</v>
      </c>
      <c r="F18" s="7">
        <f>IF(COUNTIF(I18:XFD18,"&gt;"&amp;0)=0,,HLOOKUP(COUNTIF(I18:XFD18,"&gt;"&amp;0)-MIN($F$1+1,COUNTIF(I18:XFD18,"&gt;"&amp;0)),I$1:XFD18,A18+1,FALSE))</f>
        <v>2471</v>
      </c>
      <c r="G18" s="8">
        <f t="shared" si="15"/>
        <v>1.2067299377736864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561</v>
      </c>
      <c r="Q18" s="9">
        <v>772</v>
      </c>
      <c r="R18" s="9">
        <v>1104</v>
      </c>
      <c r="S18" s="9">
        <v>1301</v>
      </c>
      <c r="T18" s="9">
        <v>1474</v>
      </c>
      <c r="U18" s="9">
        <v>1836</v>
      </c>
      <c r="V18" s="9">
        <v>2471</v>
      </c>
      <c r="W18" s="9">
        <v>2511</v>
      </c>
      <c r="X18" s="9">
        <v>3769</v>
      </c>
      <c r="Y18" s="9">
        <v>4766</v>
      </c>
      <c r="Z18" s="9">
        <v>5396</v>
      </c>
      <c r="AA18" s="9">
        <v>6323</v>
      </c>
    </row>
    <row r="19" spans="1:51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Japan</v>
      </c>
      <c r="D19" s="6">
        <f t="shared" si="14"/>
        <v>851</v>
      </c>
      <c r="E19" s="6">
        <f>IF(COUNTIF(I19:XFD19,"&gt;"&amp;0)=0,,HLOOKUP(COUNTIF(I19:XFD19,"&gt;"&amp;0)-1,I$1:XFD19,A19+1,FALSE))</f>
        <v>851</v>
      </c>
      <c r="F19" s="7">
        <f>IF(COUNTIF(I19:XFD19,"&gt;"&amp;0)=0,,HLOOKUP(COUNTIF(I19:XFD19,"&gt;"&amp;0)-MIN($F$1+1,COUNTIF(I19:XFD19,"&gt;"&amp;0)),I$1:XFD19,A19+1,FALSE))</f>
        <v>716</v>
      </c>
      <c r="G19" s="8">
        <f t="shared" si="15"/>
        <v>1.0351500502771975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668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  <c r="AM19" s="9">
        <v>825</v>
      </c>
      <c r="AN19" s="9">
        <v>851</v>
      </c>
    </row>
    <row r="20" spans="1:51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Cruise Ship</v>
      </c>
      <c r="D20" s="6">
        <f t="shared" si="14"/>
        <v>691</v>
      </c>
      <c r="E20" s="6">
        <f>IF(COUNTIF(I20:XFD20,"&gt;"&amp;0)=0,,HLOOKUP(COUNTIF(I20:XFD20,"&gt;"&amp;0)-1,I$1:XFD20,A20+1,FALSE))</f>
        <v>379</v>
      </c>
      <c r="F20" s="7">
        <f>IF(COUNTIF(I20:XFD20,"&gt;"&amp;0)=0,,HLOOKUP(COUNTIF(I20:XFD20,"&gt;"&amp;0)-MIN($F$1+1,COUNTIF(I20:XFD20,"&gt;"&amp;0)),I$1:XFD20,A20+1,FALSE))</f>
        <v>380</v>
      </c>
      <c r="G20" s="8">
        <f t="shared" si="15"/>
        <v>0.99947312931752808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660</v>
      </c>
      <c r="AI20" s="9">
        <v>660</v>
      </c>
      <c r="AJ20" s="9">
        <v>660</v>
      </c>
      <c r="AK20" s="9">
        <v>660</v>
      </c>
      <c r="AL20" s="9">
        <v>660</v>
      </c>
      <c r="AM20" s="9">
        <v>374</v>
      </c>
      <c r="AN20" s="9">
        <v>374</v>
      </c>
      <c r="AO20" s="9">
        <v>374</v>
      </c>
      <c r="AP20" s="9">
        <v>374</v>
      </c>
      <c r="AQ20" s="9">
        <v>374</v>
      </c>
      <c r="AR20" s="9">
        <v>374</v>
      </c>
      <c r="AS20" s="9">
        <v>374</v>
      </c>
      <c r="AT20" s="9">
        <v>380</v>
      </c>
      <c r="AU20" s="9">
        <v>380</v>
      </c>
      <c r="AV20" s="9">
        <v>380</v>
      </c>
      <c r="AW20" s="9">
        <v>379</v>
      </c>
      <c r="AX20" s="9">
        <v>379</v>
      </c>
      <c r="AY20" s="9">
        <v>379</v>
      </c>
    </row>
    <row r="21" spans="1:51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3392</v>
      </c>
      <c r="E21" s="6">
        <f>IF(COUNTIF(I21:XFD21,"&gt;"&amp;0)=0,,HLOOKUP(COUNTIF(I21:XFD21,"&gt;"&amp;0)-1,I$1:XFD21,A21+1,FALSE))</f>
        <v>3392</v>
      </c>
      <c r="F21" s="7">
        <f>IF(COUNTIF(I21:XFD21,"&gt;"&amp;0)=0,,HLOOKUP(COUNTIF(I21:XFD21,"&gt;"&amp;0)-MIN($F$1+1,COUNTIF(I21:XFD21,"&gt;"&amp;0)),I$1:XFD21,A21+1,FALSE))</f>
        <v>1441</v>
      </c>
      <c r="G21" s="8">
        <f t="shared" si="15"/>
        <v>1.1867476285592018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  <c r="X21" s="9">
        <v>2485</v>
      </c>
      <c r="Y21" s="9">
        <v>3063</v>
      </c>
      <c r="Z21" s="9">
        <v>3392</v>
      </c>
    </row>
    <row r="22" spans="1:51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Austria</v>
      </c>
      <c r="D22" s="6">
        <f t="shared" si="14"/>
        <v>4444</v>
      </c>
      <c r="E22" s="6">
        <f>IF(COUNTIF(I22:XFD22,"&gt;"&amp;0)=0,,HLOOKUP(COUNTIF(I22:XFD22,"&gt;"&amp;0)-1,I$1:XFD22,A22+1,FALSE))</f>
        <v>4444</v>
      </c>
      <c r="F22" s="7">
        <f>IF(COUNTIF(I22:XFD22,"&gt;"&amp;0)=0,,HLOOKUP(COUNTIF(I22:XFD22,"&gt;"&amp;0)-MIN($F$1+1,COUNTIF(I22:XFD22,"&gt;"&amp;0)),I$1:XFD22,A22+1,FALSE))</f>
        <v>1633</v>
      </c>
      <c r="G22" s="8">
        <f t="shared" si="15"/>
        <v>1.2216803065134689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  <c r="V22" s="9">
        <v>2797</v>
      </c>
      <c r="W22" s="9">
        <v>3557</v>
      </c>
      <c r="X22" s="9">
        <v>4444</v>
      </c>
    </row>
    <row r="23" spans="1:51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Qatar</v>
      </c>
      <c r="D23" s="6">
        <f t="shared" si="14"/>
        <v>468</v>
      </c>
      <c r="E23" s="6">
        <f>IF(COUNTIF(I23:XFD23,"&gt;"&amp;0)=0,,HLOOKUP(COUNTIF(I23:XFD23,"&gt;"&amp;0)-1,I$1:XFD23,A23+1,FALSE))</f>
        <v>468</v>
      </c>
      <c r="F23" s="7">
        <f>IF(COUNTIF(I23:XFD23,"&gt;"&amp;0)=0,,HLOOKUP(COUNTIF(I23:XFD23,"&gt;"&amp;0)-MIN($F$1+1,COUNTIF(I23:XFD23,"&gt;"&amp;0)),I$1:XFD23,A23+1,FALSE))</f>
        <v>448</v>
      </c>
      <c r="G23" s="8">
        <f t="shared" si="15"/>
        <v>1.0087732742478646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  <c r="S23" s="9">
        <v>454</v>
      </c>
      <c r="T23" s="9">
        <v>461</v>
      </c>
      <c r="U23" s="9">
        <v>468</v>
      </c>
    </row>
    <row r="24" spans="1:51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Australia</v>
      </c>
      <c r="D24" s="6">
        <f t="shared" si="14"/>
        <v>1587</v>
      </c>
      <c r="E24" s="6">
        <f>IF(COUNTIF(I24:XFD24,"&gt;"&amp;0)=0,,HLOOKUP(COUNTIF(I24:XFD24,"&gt;"&amp;0)-1,I$1:XFD24,A24+1,FALSE))</f>
        <v>1587</v>
      </c>
      <c r="F24" s="7">
        <f>IF(COUNTIF(I24:XFD24,"&gt;"&amp;0)=0,,HLOOKUP(COUNTIF(I24:XFD24,"&gt;"&amp;0)-MIN($F$1+1,COUNTIF(I24:XFD24,"&gt;"&amp;0)),I$1:XFD24,A24+1,FALSE))</f>
        <v>539</v>
      </c>
      <c r="G24" s="8">
        <f t="shared" si="15"/>
        <v>1.2410738711114753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  <c r="T24" s="9">
        <v>1038</v>
      </c>
      <c r="U24" s="9">
        <v>1454</v>
      </c>
      <c r="V24" s="9">
        <v>1587</v>
      </c>
    </row>
    <row r="25" spans="1:51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Singapore</v>
      </c>
      <c r="D25" s="6">
        <f t="shared" si="14"/>
        <v>363</v>
      </c>
      <c r="E25" s="6">
        <f>IF(COUNTIF(I25:XFD25,"&gt;"&amp;0)=0,,HLOOKUP(COUNTIF(I25:XFD25,"&gt;"&amp;0)-1,I$1:XFD25,A25+1,FALSE))</f>
        <v>363</v>
      </c>
      <c r="F25" s="7">
        <f>IF(COUNTIF(I25:XFD25,"&gt;"&amp;0)=0,,HLOOKUP(COUNTIF(I25:XFD25,"&gt;"&amp;0)-MIN($F$1+1,COUNTIF(I25:XFD25,"&gt;"&amp;0)),I$1:XFD25,A25+1,FALSE))</f>
        <v>199</v>
      </c>
      <c r="G25" s="8">
        <f t="shared" si="15"/>
        <v>1.1277444792280842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  <c r="AD25" s="9">
        <v>290</v>
      </c>
      <c r="AE25" s="9">
        <v>309</v>
      </c>
      <c r="AF25" s="9">
        <v>363</v>
      </c>
    </row>
    <row r="26" spans="1:51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Malaysia</v>
      </c>
      <c r="D26" s="6">
        <f t="shared" si="14"/>
        <v>1365</v>
      </c>
      <c r="E26" s="6">
        <f>IF(COUNTIF(I26:XFD26,"&gt;"&amp;0)=0,,HLOOKUP(COUNTIF(I26:XFD26,"&gt;"&amp;0)-1,I$1:XFD26,A26+1,FALSE))</f>
        <v>1365</v>
      </c>
      <c r="F26" s="7">
        <f>IF(COUNTIF(I26:XFD26,"&gt;"&amp;0)=0,,HLOOKUP(COUNTIF(I26:XFD26,"&gt;"&amp;0)-MIN($F$1+1,COUNTIF(I26:XFD26,"&gt;"&amp;0)),I$1:XFD26,A26+1,FALSE))</f>
        <v>728</v>
      </c>
      <c r="G26" s="8">
        <f t="shared" si="15"/>
        <v>1.1339665776330272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  <c r="U26" s="9">
        <v>1065</v>
      </c>
      <c r="V26" s="9">
        <v>1157</v>
      </c>
      <c r="W26" s="9">
        <v>1365</v>
      </c>
    </row>
    <row r="27" spans="1:51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Canada</v>
      </c>
      <c r="D27" s="6">
        <f t="shared" si="14"/>
        <v>2053</v>
      </c>
      <c r="E27" s="6">
        <f>IF(COUNTIF(I27:XFD27,"&gt;"&amp;0)=0,,HLOOKUP(COUNTIF(I27:XFD27,"&gt;"&amp;0)-1,I$1:XFD27,A27+1,FALSE))</f>
        <v>2053</v>
      </c>
      <c r="F27" s="7">
        <f>IF(COUNTIF(I27:XFD27,"&gt;"&amp;0)=0,,HLOOKUP(COUNTIF(I27:XFD27,"&gt;"&amp;0)-MIN($F$1+1,COUNTIF(I27:XFD27,"&gt;"&amp;0)),I$1:XFD27,A27+1,FALSE))</f>
        <v>640</v>
      </c>
      <c r="G27" s="8">
        <f t="shared" si="15"/>
        <v>1.262530257394225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  <c r="S27" s="9">
        <v>1248</v>
      </c>
      <c r="T27" s="9">
        <v>1438</v>
      </c>
      <c r="U27" s="9">
        <v>2053</v>
      </c>
    </row>
    <row r="28" spans="1:51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Greece</v>
      </c>
      <c r="D28" s="6">
        <f t="shared" si="14"/>
        <v>659</v>
      </c>
      <c r="E28" s="6">
        <f>IF(COUNTIF(I28:XFD28,"&gt;"&amp;0)=0,,HLOOKUP(COUNTIF(I28:XFD28,"&gt;"&amp;0)-1,I$1:XFD28,A28+1,FALSE))</f>
        <v>659</v>
      </c>
      <c r="F28" s="7">
        <f>IF(COUNTIF(I28:XFD28,"&gt;"&amp;0)=0,,HLOOKUP(COUNTIF(I28:XFD28,"&gt;"&amp;0)-MIN($F$1+1,COUNTIF(I28:XFD28,"&gt;"&amp;0)),I$1:XFD28,A28+1,FALSE))</f>
        <v>405</v>
      </c>
      <c r="G28" s="8">
        <f t="shared" si="15"/>
        <v>1.1022651540832851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  <c r="Q28" s="9">
        <v>498</v>
      </c>
      <c r="R28" s="9">
        <v>590</v>
      </c>
      <c r="S28" s="9">
        <v>659</v>
      </c>
    </row>
    <row r="29" spans="1:51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Bahrain</v>
      </c>
      <c r="D29" s="6">
        <f t="shared" si="14"/>
        <v>226</v>
      </c>
      <c r="E29" s="6">
        <f>IF(COUNTIF(I29:XFD29,"&gt;"&amp;0)=0,,HLOOKUP(COUNTIF(I29:XFD29,"&gt;"&amp;0)-1,I$1:XFD29,A29+1,FALSE))</f>
        <v>226</v>
      </c>
      <c r="F29" s="7">
        <f>IF(COUNTIF(I29:XFD29,"&gt;"&amp;0)=0,,HLOOKUP(COUNTIF(I29:XFD29,"&gt;"&amp;0)-MIN($F$1+1,COUNTIF(I29:XFD29,"&gt;"&amp;0)),I$1:XFD29,A29+1,FALSE))</f>
        <v>167</v>
      </c>
      <c r="G29" s="8">
        <f t="shared" si="15"/>
        <v>1.0623763487225206</v>
      </c>
      <c r="H29" s="13" t="s">
        <v>73</v>
      </c>
      <c r="I29" s="9">
        <v>88</v>
      </c>
      <c r="J29" s="9">
        <v>160</v>
      </c>
      <c r="K29" s="9">
        <v>160</v>
      </c>
      <c r="L29" s="9">
        <v>151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  <c r="T29" s="9">
        <v>179</v>
      </c>
      <c r="U29" s="9">
        <v>183</v>
      </c>
      <c r="V29" s="9">
        <v>226</v>
      </c>
    </row>
    <row r="30" spans="1:51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Israel</v>
      </c>
      <c r="D30" s="6">
        <f t="shared" si="14"/>
        <v>1404</v>
      </c>
      <c r="E30" s="6">
        <f>IF(COUNTIF(I30:XFD30,"&gt;"&amp;0)=0,,HLOOKUP(COUNTIF(I30:XFD30,"&gt;"&amp;0)-1,I$1:XFD30,A30+1,FALSE))</f>
        <v>1404</v>
      </c>
      <c r="F30" s="7">
        <f>IF(COUNTIF(I30:XFD30,"&gt;"&amp;0)=0,,HLOOKUP(COUNTIF(I30:XFD30,"&gt;"&amp;0)-MIN($F$1+1,COUNTIF(I30:XFD30,"&gt;"&amp;0)),I$1:XFD30,A30+1,FALSE))</f>
        <v>422</v>
      </c>
      <c r="G30" s="8">
        <f t="shared" si="15"/>
        <v>1.2717768970201566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  <c r="S30" s="9">
        <v>846</v>
      </c>
      <c r="T30" s="9">
        <v>1033</v>
      </c>
      <c r="U30" s="9">
        <v>1404</v>
      </c>
    </row>
    <row r="31" spans="1:51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Finland</v>
      </c>
      <c r="D31" s="6">
        <f t="shared" si="14"/>
        <v>689</v>
      </c>
      <c r="E31" s="6">
        <f>IF(COUNTIF(I31:XFD31,"&gt;"&amp;0)=0,,HLOOKUP(COUNTIF(I31:XFD31,"&gt;"&amp;0)-1,I$1:XFD31,A31+1,FALSE))</f>
        <v>689</v>
      </c>
      <c r="F31" s="7">
        <f>IF(COUNTIF(I31:XFD31,"&gt;"&amp;0)=0,,HLOOKUP(COUNTIF(I31:XFD31,"&gt;"&amp;0)-MIN($F$1+1,COUNTIF(I31:XFD31,"&gt;"&amp;0)),I$1:XFD31,A31+1,FALSE))</f>
        <v>326</v>
      </c>
      <c r="G31" s="8">
        <f t="shared" si="15"/>
        <v>1.161449481308956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  <c r="Q31" s="9">
        <v>512</v>
      </c>
      <c r="R31" s="9">
        <v>615</v>
      </c>
      <c r="S31" s="9">
        <v>689</v>
      </c>
    </row>
    <row r="32" spans="1:51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Brazil</v>
      </c>
      <c r="D32" s="6">
        <f t="shared" si="14"/>
        <v>1888</v>
      </c>
      <c r="E32" s="6">
        <f>IF(COUNTIF(I32:XFD32,"&gt;"&amp;0)=0,,HLOOKUP(COUNTIF(I32:XFD32,"&gt;"&amp;0)-1,I$1:XFD32,A32+1,FALSE))</f>
        <v>1888</v>
      </c>
      <c r="F32" s="7">
        <f>IF(COUNTIF(I32:XFD32,"&gt;"&amp;0)=0,,HLOOKUP(COUNTIF(I32:XFD32,"&gt;"&amp;0)-MIN($F$1+1,COUNTIF(I32:XFD32,"&gt;"&amp;0)),I$1:XFD32,A32+1,FALSE))</f>
        <v>367</v>
      </c>
      <c r="G32" s="8">
        <f t="shared" si="15"/>
        <v>1.3876092464653647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  <c r="Q32" s="9">
        <v>1004</v>
      </c>
      <c r="R32" s="9">
        <v>1519</v>
      </c>
      <c r="S32" s="9">
        <v>1888</v>
      </c>
    </row>
    <row r="33" spans="1:20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1229</v>
      </c>
      <c r="E33" s="6">
        <f>IF(COUNTIF(I33:XFD33,"&gt;"&amp;0)=0,,HLOOKUP(COUNTIF(I33:XFD33,"&gt;"&amp;0)-1,I$1:XFD33,A33+1,FALSE))</f>
        <v>1229</v>
      </c>
      <c r="F33" s="7">
        <f>IF(COUNTIF(I33:XFD33,"&gt;"&amp;0)=0,,HLOOKUP(COUNTIF(I33:XFD33,"&gt;"&amp;0)-MIN($F$1+1,COUNTIF(I33:XFD33,"&gt;"&amp;0)),I$1:XFD33,A33+1,FALSE))</f>
        <v>461</v>
      </c>
      <c r="G33" s="8">
        <f t="shared" si="15"/>
        <v>1.2166626935113847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  <c r="Q33" s="9">
        <v>989</v>
      </c>
      <c r="R33" s="9">
        <v>1113</v>
      </c>
      <c r="S33" s="9">
        <v>1229</v>
      </c>
    </row>
    <row r="34" spans="1:20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Slovenia</v>
      </c>
      <c r="D34" s="6">
        <f t="shared" si="14"/>
        <v>439</v>
      </c>
      <c r="E34" s="6">
        <f>IF(COUNTIF(I34:XFD34,"&gt;"&amp;0)=0,,HLOOKUP(COUNTIF(I34:XFD34,"&gt;"&amp;0)-1,I$1:XFD34,A34+1,FALSE))</f>
        <v>439</v>
      </c>
      <c r="F34" s="7">
        <f>IF(COUNTIF(I34:XFD34,"&gt;"&amp;0)=0,,HLOOKUP(COUNTIF(I34:XFD34,"&gt;"&amp;0)-MIN($F$1+1,COUNTIF(I34:XFD34,"&gt;"&amp;0)),I$1:XFD34,A34+1,FALSE))</f>
        <v>274</v>
      </c>
      <c r="G34" s="8">
        <f t="shared" si="15"/>
        <v>1.0988610797025398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  <c r="Q34" s="9">
        <v>382</v>
      </c>
      <c r="R34" s="9">
        <v>412</v>
      </c>
      <c r="S34" s="9">
        <v>439</v>
      </c>
    </row>
    <row r="35" spans="1:20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Iceland</v>
      </c>
      <c r="D35" s="6">
        <f t="shared" si="14"/>
        <v>551</v>
      </c>
      <c r="E35" s="6">
        <f>IF(COUNTIF(I35:XFD35,"&gt;"&amp;0)=0,,HLOOKUP(COUNTIF(I35:XFD35,"&gt;"&amp;0)-1,I$1:XFD35,A35+1,FALSE))</f>
        <v>551</v>
      </c>
      <c r="F35" s="7">
        <f>IF(COUNTIF(I35:XFD35,"&gt;"&amp;0)=0,,HLOOKUP(COUNTIF(I35:XFD35,"&gt;"&amp;0)-MIN($F$1+1,COUNTIF(I35:XFD35,"&gt;"&amp;0)),I$1:XFD35,A35+1,FALSE))</f>
        <v>244</v>
      </c>
      <c r="G35" s="8">
        <f t="shared" si="15"/>
        <v>1.1769346647706513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  <c r="R35" s="9">
        <v>450</v>
      </c>
      <c r="S35" s="9">
        <v>531</v>
      </c>
      <c r="T35" s="9">
        <v>551</v>
      </c>
    </row>
    <row r="36" spans="1:20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Portugal</v>
      </c>
      <c r="D36" s="6">
        <f t="shared" si="14"/>
        <v>2032</v>
      </c>
      <c r="E36" s="6">
        <f>IF(COUNTIF(I36:XFD36,"&gt;"&amp;0)=0,,HLOOKUP(COUNTIF(I36:XFD36,"&gt;"&amp;0)-1,I$1:XFD36,A36+1,FALSE))</f>
        <v>2032</v>
      </c>
      <c r="F36" s="7">
        <f>IF(COUNTIF(I36:XFD36,"&gt;"&amp;0)=0,,HLOOKUP(COUNTIF(I36:XFD36,"&gt;"&amp;0)-MIN($F$1+1,COUNTIF(I36:XFD36,"&gt;"&amp;0)),I$1:XFD36,A36+1,FALSE))</f>
        <v>443</v>
      </c>
      <c r="G36" s="8">
        <f t="shared" si="15"/>
        <v>1.3561383437527448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  <c r="Q36" s="9">
        <v>1263</v>
      </c>
      <c r="R36" s="9">
        <v>1581</v>
      </c>
      <c r="S36" s="9">
        <v>2032</v>
      </c>
    </row>
    <row r="37" spans="1:20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Iraq</v>
      </c>
      <c r="D37" s="6">
        <f t="shared" si="14"/>
        <v>186</v>
      </c>
      <c r="E37" s="6">
        <f>IF(COUNTIF(I37:XFD37,"&gt;"&amp;0)=0,,HLOOKUP(COUNTIF(I37:XFD37,"&gt;"&amp;0)-1,I$1:XFD37,A37+1,FALSE))</f>
        <v>186</v>
      </c>
      <c r="F37" s="7">
        <f>IF(COUNTIF(I37:XFD37,"&gt;"&amp;0)=0,,HLOOKUP(COUNTIF(I37:XFD37,"&gt;"&amp;0)-MIN($F$1+1,COUNTIF(I37:XFD37,"&gt;"&amp;0)),I$1:XFD37,A37+1,FALSE))</f>
        <v>109</v>
      </c>
      <c r="G37" s="8">
        <f t="shared" si="15"/>
        <v>1.1128004414141468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  <c r="Q37" s="9">
        <v>146</v>
      </c>
      <c r="R37" s="9">
        <v>156</v>
      </c>
      <c r="S37" s="9">
        <v>186</v>
      </c>
    </row>
    <row r="38" spans="1:20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Ireland</v>
      </c>
      <c r="D38" s="6">
        <f t="shared" si="14"/>
        <v>1114</v>
      </c>
      <c r="E38" s="6">
        <f>IF(COUNTIF(I38:XFD38,"&gt;"&amp;0)=0,,HLOOKUP(COUNTIF(I38:XFD38,"&gt;"&amp;0)-1,I$1:XFD38,A38+1,FALSE))</f>
        <v>1114</v>
      </c>
      <c r="F38" s="7">
        <f>IF(COUNTIF(I38:XFD38,"&gt;"&amp;0)=0,,HLOOKUP(COUNTIF(I38:XFD38,"&gt;"&amp;0)-MIN($F$1+1,COUNTIF(I38:XFD38,"&gt;"&amp;0)),I$1:XFD38,A38+1,FALSE))</f>
        <v>285</v>
      </c>
      <c r="G38" s="8">
        <f t="shared" si="15"/>
        <v>1.3134334307489381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  <c r="P38" s="9">
        <v>777</v>
      </c>
      <c r="Q38" s="9">
        <v>897</v>
      </c>
      <c r="R38" s="9">
        <v>1114</v>
      </c>
    </row>
    <row r="39" spans="1:20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Romania</v>
      </c>
      <c r="D39" s="6">
        <f t="shared" si="14"/>
        <v>505</v>
      </c>
      <c r="E39" s="6">
        <f>IF(COUNTIF(I39:XFD39,"&gt;"&amp;0)=0,,HLOOKUP(COUNTIF(I39:XFD39,"&gt;"&amp;0)-1,I$1:XFD39,A39+1,FALSE))</f>
        <v>505</v>
      </c>
      <c r="F39" s="7">
        <f>IF(COUNTIF(I39:XFD39,"&gt;"&amp;0)=0,,HLOOKUP(COUNTIF(I39:XFD39,"&gt;"&amp;0)-MIN($F$1+1,COUNTIF(I39:XFD39,"&gt;"&amp;0)),I$1:XFD39,A39+1,FALSE))</f>
        <v>241</v>
      </c>
      <c r="G39" s="8">
        <f t="shared" si="15"/>
        <v>1.1594575879394193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  <c r="P39" s="9">
        <v>315</v>
      </c>
      <c r="Q39" s="9">
        <v>366</v>
      </c>
      <c r="R39" s="9">
        <v>505</v>
      </c>
    </row>
    <row r="40" spans="1:20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Saudi Arabia</v>
      </c>
      <c r="D40" s="6">
        <f t="shared" si="14"/>
        <v>546</v>
      </c>
      <c r="E40" s="6">
        <f>IF(COUNTIF(I40:XFD40,"&gt;"&amp;0)=0,,HLOOKUP(COUNTIF(I40:XFD40,"&gt;"&amp;0)-1,I$1:XFD40,A40+1,FALSE))</f>
        <v>546</v>
      </c>
      <c r="F40" s="7">
        <f>IF(COUNTIF(I40:XFD40,"&gt;"&amp;0)=0,,HLOOKUP(COUNTIF(I40:XFD40,"&gt;"&amp;0)-MIN($F$1+1,COUNTIF(I40:XFD40,"&gt;"&amp;0)),I$1:XFD40,A40+1,FALSE))</f>
        <v>165</v>
      </c>
      <c r="G40" s="8">
        <f t="shared" si="15"/>
        <v>1.2704036700106702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  <c r="P40" s="9">
        <v>376</v>
      </c>
      <c r="Q40" s="9">
        <v>495</v>
      </c>
      <c r="R40" s="9">
        <v>546</v>
      </c>
    </row>
    <row r="41" spans="1:20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United Arab Emirates</v>
      </c>
      <c r="D41" s="6">
        <f t="shared" si="14"/>
        <v>158</v>
      </c>
      <c r="E41" s="6">
        <f>IF(COUNTIF(I41:XFD41,"&gt;"&amp;0)=0,,HLOOKUP(COUNTIF(I41:XFD41,"&gt;"&amp;0)-1,I$1:XFD41,A41+1,FALSE))</f>
        <v>158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5"/>
        <v>1.1267500003220883</v>
      </c>
      <c r="H41" s="13" t="s">
        <v>55</v>
      </c>
      <c r="I41" s="9">
        <v>87</v>
      </c>
      <c r="J41" s="9">
        <v>109</v>
      </c>
      <c r="K41" s="9">
        <v>107</v>
      </c>
      <c r="L41" s="9">
        <v>113</v>
      </c>
      <c r="M41" s="9">
        <v>113</v>
      </c>
      <c r="N41" s="9">
        <v>158</v>
      </c>
    </row>
    <row r="42" spans="1:20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India</v>
      </c>
      <c r="D42" s="6">
        <f t="shared" si="14"/>
        <v>462</v>
      </c>
      <c r="E42" s="6">
        <f>IF(COUNTIF(I42:XFD42,"&gt;"&amp;0)=0,,HLOOKUP(COUNTIF(I42:XFD42,"&gt;"&amp;0)-1,I$1:XFD42,A42+1,FALSE))</f>
        <v>462</v>
      </c>
      <c r="F42" s="7">
        <f>IF(COUNTIF(I42:XFD42,"&gt;"&amp;0)=0,,HLOOKUP(COUNTIF(I42:XFD42,"&gt;"&amp;0)-MIN($F$1+1,COUNTIF(I42:XFD42,"&gt;"&amp;0)),I$1:XFD42,A42+1,FALSE))</f>
        <v>139</v>
      </c>
      <c r="G42" s="8">
        <f t="shared" si="15"/>
        <v>1.2715265564578082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  <c r="P42" s="9">
        <v>303</v>
      </c>
      <c r="Q42" s="9">
        <v>362</v>
      </c>
      <c r="R42" s="9">
        <v>462</v>
      </c>
    </row>
    <row r="43" spans="1:20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Egypt</v>
      </c>
      <c r="D43" s="6">
        <f t="shared" si="14"/>
        <v>291</v>
      </c>
      <c r="E43" s="6">
        <f>IF(COUNTIF(I43:XFD43,"&gt;"&amp;0)=0,,HLOOKUP(COUNTIF(I43:XFD43,"&gt;"&amp;0)-1,I$1:XFD43,A43+1,FALSE))</f>
        <v>291</v>
      </c>
      <c r="F43" s="7">
        <f>IF(COUNTIF(I43:XFD43,"&gt;"&amp;0)=0,,HLOOKUP(COUNTIF(I43:XFD43,"&gt;"&amp;0)-MIN($F$1+1,COUNTIF(I43:XFD43,"&gt;"&amp;0)),I$1:XFD43,A43+1,FALSE))</f>
        <v>158</v>
      </c>
      <c r="G43" s="8">
        <f t="shared" si="15"/>
        <v>1.1299186588660035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  <c r="P43" s="9">
        <v>243</v>
      </c>
      <c r="Q43" s="9">
        <v>257</v>
      </c>
      <c r="R43" s="9">
        <v>291</v>
      </c>
    </row>
    <row r="44" spans="1:20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Kuwait</v>
      </c>
      <c r="D44" s="6">
        <f t="shared" si="14"/>
        <v>162</v>
      </c>
      <c r="E44" s="6">
        <f>IF(COUNTIF(I44:XFD44,"&gt;"&amp;0)=0,,HLOOKUP(COUNTIF(I44:XFD44,"&gt;"&amp;0)-1,I$1:XFD44,A44+1,FALSE))</f>
        <v>162</v>
      </c>
      <c r="F44" s="7">
        <f>IF(COUNTIF(I44:XFD44,"&gt;"&amp;0)=0,,HLOOKUP(COUNTIF(I44:XFD44,"&gt;"&amp;0)-MIN($F$1+1,COUNTIF(I44:XFD44,"&gt;"&amp;0)),I$1:XFD44,A44+1,FALSE))</f>
        <v>127</v>
      </c>
      <c r="G44" s="8">
        <f t="shared" si="15"/>
        <v>1.0498862760236771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  <c r="P44" s="9">
        <v>149</v>
      </c>
      <c r="Q44" s="9">
        <v>161</v>
      </c>
      <c r="R44" s="9">
        <v>162</v>
      </c>
    </row>
    <row r="45" spans="1:20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San Marino</v>
      </c>
      <c r="D45" s="6">
        <f t="shared" si="14"/>
        <v>163</v>
      </c>
      <c r="E45" s="6">
        <f>IF(COUNTIF(I45:XFD45,"&gt;"&amp;0)=0,,HLOOKUP(COUNTIF(I45:XFD45,"&gt;"&amp;0)-1,I$1:XFD45,A45+1,FALSE))</f>
        <v>163</v>
      </c>
      <c r="F45" s="7">
        <f>IF(COUNTIF(I45:XFD45,"&gt;"&amp;0)=0,,HLOOKUP(COUNTIF(I45:XFD45,"&gt;"&amp;0)-MIN($F$1+1,COUNTIF(I45:XFD45,"&gt;"&amp;0)),I$1:XFD45,A45+1,FALSE))</f>
        <v>104</v>
      </c>
      <c r="G45" s="8">
        <f t="shared" si="15"/>
        <v>1.0940340855596054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  <c r="O45" s="9">
        <v>120</v>
      </c>
      <c r="P45" s="9">
        <v>151</v>
      </c>
      <c r="Q45" s="9">
        <v>163</v>
      </c>
    </row>
    <row r="46" spans="1:20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Estonia</v>
      </c>
      <c r="D46" s="6">
        <f t="shared" si="14"/>
        <v>350</v>
      </c>
      <c r="E46" s="6">
        <f>IF(COUNTIF(I46:XFD46,"&gt;"&amp;0)=0,,HLOOKUP(COUNTIF(I46:XFD46,"&gt;"&amp;0)-1,I$1:XFD46,A46+1,FALSE))</f>
        <v>350</v>
      </c>
      <c r="F46" s="7">
        <f>IF(COUNTIF(I46:XFD46,"&gt;"&amp;0)=0,,HLOOKUP(COUNTIF(I46:XFD46,"&gt;"&amp;0)-MIN($F$1+1,COUNTIF(I46:XFD46,"&gt;"&amp;0)),I$1:XFD46,A46+1,FALSE))</f>
        <v>257</v>
      </c>
      <c r="G46" s="8">
        <f t="shared" si="15"/>
        <v>1.0637191655386302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  <c r="P46" s="9">
        <v>305</v>
      </c>
      <c r="Q46" s="9">
        <v>324</v>
      </c>
      <c r="R46" s="9">
        <v>350</v>
      </c>
    </row>
    <row r="47" spans="1:20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Lebanon</v>
      </c>
      <c r="D47" s="6">
        <f t="shared" si="14"/>
        <v>255</v>
      </c>
      <c r="E47" s="6">
        <f>IF(COUNTIF(I47:XFD47,"&gt;"&amp;0)=0,,HLOOKUP(COUNTIF(I47:XFD47,"&gt;"&amp;0)-1,I$1:XFD47,A47+1,FALSE))</f>
        <v>255</v>
      </c>
      <c r="F47" s="7">
        <f>IF(COUNTIF(I47:XFD47,"&gt;"&amp;0)=0,,HLOOKUP(COUNTIF(I47:XFD47,"&gt;"&amp;0)-MIN($F$1+1,COUNTIF(I47:XFD47,"&gt;"&amp;0)),I$1:XFD47,A47+1,FALSE))</f>
        <v>127</v>
      </c>
      <c r="G47" s="8">
        <f t="shared" si="15"/>
        <v>1.1496014208573773</v>
      </c>
      <c r="H47" s="13" t="s">
        <v>67</v>
      </c>
      <c r="I47" s="9">
        <v>106</v>
      </c>
      <c r="J47" s="9">
        <v>106</v>
      </c>
      <c r="K47" s="9">
        <v>114</v>
      </c>
      <c r="L47" s="9">
        <v>127</v>
      </c>
      <c r="M47" s="9">
        <v>149</v>
      </c>
      <c r="N47" s="9">
        <v>155</v>
      </c>
      <c r="O47" s="9">
        <v>179</v>
      </c>
      <c r="P47" s="9">
        <v>236</v>
      </c>
      <c r="Q47" s="9">
        <v>255</v>
      </c>
    </row>
    <row r="48" spans="1:20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Thailand</v>
      </c>
      <c r="D48" s="6">
        <f t="shared" si="14"/>
        <v>676</v>
      </c>
      <c r="E48" s="6">
        <f>IF(COUNTIF(I48:XFD48,"&gt;"&amp;0)=0,,HLOOKUP(COUNTIF(I48:XFD48,"&gt;"&amp;0)-1,I$1:XFD48,A48+1,FALSE))</f>
        <v>676</v>
      </c>
      <c r="F48" s="7">
        <f>IF(COUNTIF(I48:XFD48,"&gt;"&amp;0)=0,,HLOOKUP(COUNTIF(I48:XFD48,"&gt;"&amp;0)-MIN($F$1+1,COUNTIF(I48:XFD48,"&gt;"&amp;0)),I$1:XFD48,A48+1,FALSE))</f>
        <v>169</v>
      </c>
      <c r="G48" s="8">
        <f t="shared" si="15"/>
        <v>1.3195079107728942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  <c r="O48" s="9">
        <v>368</v>
      </c>
      <c r="P48" s="9">
        <v>554</v>
      </c>
      <c r="Q48" s="9">
        <v>676</v>
      </c>
    </row>
    <row r="49" spans="1:18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Indonesia</v>
      </c>
      <c r="D49" s="6">
        <f t="shared" si="14"/>
        <v>501</v>
      </c>
      <c r="E49" s="6">
        <f>IF(COUNTIF(I49:XFD49,"&gt;"&amp;0)=0,,HLOOKUP(COUNTIF(I49:XFD49,"&gt;"&amp;0)-1,I$1:XFD49,A49+1,FALSE))</f>
        <v>501</v>
      </c>
      <c r="F49" s="7">
        <f>IF(COUNTIF(I49:XFD49,"&gt;"&amp;0)=0,,HLOOKUP(COUNTIF(I49:XFD49,"&gt;"&amp;0)-MIN($F$1+1,COUNTIF(I49:XFD49,"&gt;"&amp;0)),I$1:XFD49,A49+1,FALSE))</f>
        <v>197</v>
      </c>
      <c r="G49" s="8">
        <f t="shared" si="15"/>
        <v>1.205242117890581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  <c r="O49" s="9">
        <v>397</v>
      </c>
      <c r="P49" s="9">
        <v>437</v>
      </c>
      <c r="Q49" s="9">
        <v>501</v>
      </c>
    </row>
    <row r="50" spans="1:18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Poland</v>
      </c>
      <c r="D50" s="6">
        <f t="shared" si="14"/>
        <v>740</v>
      </c>
      <c r="E50" s="6">
        <f>IF(COUNTIF(I50:XFD50,"&gt;"&amp;0)=0,,HLOOKUP(COUNTIF(I50:XFD50,"&gt;"&amp;0)-1,I$1:XFD50,A50+1,FALSE))</f>
        <v>740</v>
      </c>
      <c r="F50" s="7">
        <f>IF(COUNTIF(I50:XFD50,"&gt;"&amp;0)=0,,HLOOKUP(COUNTIF(I50:XFD50,"&gt;"&amp;0)-MIN($F$1+1,COUNTIF(I50:XFD50,"&gt;"&amp;0)),I$1:XFD50,A50+1,FALSE))</f>
        <v>233</v>
      </c>
      <c r="G50" s="8">
        <f t="shared" si="15"/>
        <v>1.2600133882806555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  <c r="P50" s="9">
        <v>530</v>
      </c>
      <c r="Q50" s="9">
        <v>626</v>
      </c>
      <c r="R50" s="9">
        <v>740</v>
      </c>
    </row>
    <row r="51" spans="1:18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Philippines</v>
      </c>
      <c r="D51" s="6">
        <f t="shared" si="14"/>
        <v>412</v>
      </c>
      <c r="E51" s="6">
        <f>IF(COUNTIF(I51:XFD51,"&gt;"&amp;0)=0,,HLOOKUP(COUNTIF(I51:XFD51,"&gt;"&amp;0)-1,I$1:XFD51,A51+1,FALSE))</f>
        <v>412</v>
      </c>
      <c r="F51" s="7">
        <f>IF(COUNTIF(I51:XFD51,"&gt;"&amp;0)=0,,HLOOKUP(COUNTIF(I51:XFD51,"&gt;"&amp;0)-MIN($F$1+1,COUNTIF(I51:XFD51,"&gt;"&amp;0)),I$1:XFD51,A51+1,FALSE))</f>
        <v>178</v>
      </c>
      <c r="G51" s="8">
        <f t="shared" si="15"/>
        <v>1.1827567704143485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  <c r="P51" s="9">
        <v>275</v>
      </c>
      <c r="Q51" s="9">
        <v>338</v>
      </c>
      <c r="R51" s="9">
        <v>412</v>
      </c>
    </row>
    <row r="52" spans="1:18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Taiwan*</v>
      </c>
      <c r="D52" s="6">
        <f t="shared" si="14"/>
        <v>165</v>
      </c>
      <c r="E52" s="6">
        <f>IF(COUNTIF(I52:XFD52,"&gt;"&amp;0)=0,,HLOOKUP(COUNTIF(I52:XFD52,"&gt;"&amp;0)-1,I$1:XFD52,A52+1,FALSE))</f>
        <v>165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5"/>
        <v>1.1646586157796568</v>
      </c>
      <c r="H52" s="13" t="s">
        <v>342</v>
      </c>
      <c r="I52" s="9">
        <v>77</v>
      </c>
      <c r="J52" s="9">
        <v>81</v>
      </c>
      <c r="K52" s="9">
        <v>107</v>
      </c>
      <c r="L52" s="9">
        <v>123</v>
      </c>
      <c r="M52" s="9">
        <v>139</v>
      </c>
      <c r="N52" s="9">
        <v>165</v>
      </c>
    </row>
    <row r="53" spans="1:18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Vietnam</v>
      </c>
      <c r="D53" s="6">
        <f t="shared" si="14"/>
        <v>106</v>
      </c>
      <c r="E53" s="6">
        <f>IF(COUNTIF(I53:XFD53,"&gt;"&amp;0)=0,,HLOOKUP(COUNTIF(I53:XFD53,"&gt;"&amp;0)-1,I$1:XFD53,A53+1,FALSE))</f>
        <v>106</v>
      </c>
      <c r="F53" s="7">
        <f>IF(COUNTIF(I53:XFD53,"&gt;"&amp;0)=0,,HLOOKUP(COUNTIF(I53:XFD53,"&gt;"&amp;0)-MIN($F$1+1,COUNTIF(I53:XFD53,"&gt;"&amp;0)),I$1:XFD53,A53+1,FALSE))</f>
        <v>96</v>
      </c>
      <c r="G53" s="8">
        <f t="shared" si="15"/>
        <v>1.1041666666666667</v>
      </c>
      <c r="H53" s="13" t="s">
        <v>343</v>
      </c>
      <c r="I53" s="9">
        <v>96</v>
      </c>
      <c r="J53" s="9">
        <v>106</v>
      </c>
    </row>
    <row r="54" spans="1:18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Russia</v>
      </c>
      <c r="D54" s="6">
        <f t="shared" si="14"/>
        <v>421</v>
      </c>
      <c r="E54" s="6">
        <f>IF(COUNTIF(I54:XFD54,"&gt;"&amp;0)=0,,HLOOKUP(COUNTIF(I54:XFD54,"&gt;"&amp;0)-1,I$1:XFD54,A54+1,FALSE))</f>
        <v>421</v>
      </c>
      <c r="F54" s="7">
        <f>IF(COUNTIF(I54:XFD54,"&gt;"&amp;0)=0,,HLOOKUP(COUNTIF(I54:XFD54,"&gt;"&amp;0)-MIN($F$1+1,COUNTIF(I54:XFD54,"&gt;"&amp;0)),I$1:XFD54,A54+1,FALSE))</f>
        <v>139</v>
      </c>
      <c r="G54" s="8">
        <f t="shared" si="15"/>
        <v>1.2481117136832318</v>
      </c>
      <c r="H54" s="13" t="s">
        <v>344</v>
      </c>
      <c r="I54" s="9">
        <v>106</v>
      </c>
      <c r="J54" s="9">
        <v>139</v>
      </c>
      <c r="K54" s="9">
        <v>189</v>
      </c>
      <c r="L54" s="9">
        <v>243</v>
      </c>
      <c r="M54" s="9">
        <v>293</v>
      </c>
      <c r="N54" s="9">
        <v>350</v>
      </c>
      <c r="O54" s="9">
        <v>421</v>
      </c>
    </row>
    <row r="55" spans="1:18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Chile</v>
      </c>
      <c r="D55" s="6">
        <f t="shared" si="14"/>
        <v>736</v>
      </c>
      <c r="E55" s="6">
        <f>IF(COUNTIF(I55:XFD55,"&gt;"&amp;0)=0,,HLOOKUP(COUNTIF(I55:XFD55,"&gt;"&amp;0)-1,I$1:XFD55,A55+1,FALSE))</f>
        <v>736</v>
      </c>
      <c r="F55" s="7">
        <f>IF(COUNTIF(I55:XFD55,"&gt;"&amp;0)=0,,HLOOKUP(COUNTIF(I55:XFD55,"&gt;"&amp;0)-MIN($F$1+1,COUNTIF(I55:XFD55,"&gt;"&amp;0)),I$1:XFD55,A55+1,FALSE))</f>
        <v>238</v>
      </c>
      <c r="G55" s="8">
        <f t="shared" si="15"/>
        <v>1.2533148095517148</v>
      </c>
      <c r="H55" s="13" t="s">
        <v>124</v>
      </c>
      <c r="I55" s="9">
        <v>155</v>
      </c>
      <c r="J55" s="9">
        <v>201</v>
      </c>
      <c r="K55" s="9">
        <v>238</v>
      </c>
      <c r="L55" s="9">
        <v>238</v>
      </c>
      <c r="M55" s="9">
        <v>428</v>
      </c>
      <c r="N55" s="9">
        <v>531</v>
      </c>
      <c r="O55" s="9">
        <v>623</v>
      </c>
      <c r="P55" s="9">
        <v>736</v>
      </c>
    </row>
    <row r="56" spans="1:18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Serbia</v>
      </c>
      <c r="D56" s="6">
        <f t="shared" si="14"/>
        <v>245</v>
      </c>
      <c r="E56" s="6">
        <f>IF(COUNTIF(I56:XFD56,"&gt;"&amp;0)=0,,HLOOKUP(COUNTIF(I56:XFD56,"&gt;"&amp;0)-1,I$1:XFD56,A56+1,FALSE))</f>
        <v>245</v>
      </c>
      <c r="F56" s="7">
        <f>IF(COUNTIF(I56:XFD56,"&gt;"&amp;0)=0,,HLOOKUP(COUNTIF(I56:XFD56,"&gt;"&amp;0)-MIN($F$1+1,COUNTIF(I56:XFD56,"&gt;"&amp;0)),I$1:XFD56,A56+1,FALSE))</f>
        <v>102</v>
      </c>
      <c r="G56" s="8">
        <f t="shared" si="15"/>
        <v>1.2449200977151773</v>
      </c>
      <c r="H56" s="13" t="s">
        <v>161</v>
      </c>
      <c r="I56" s="9">
        <v>102</v>
      </c>
      <c r="J56" s="9">
        <v>133</v>
      </c>
      <c r="K56" s="9">
        <v>169</v>
      </c>
      <c r="L56" s="9">
        <v>219</v>
      </c>
      <c r="M56" s="9">
        <v>245</v>
      </c>
    </row>
    <row r="57" spans="1:18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Luxembourg</v>
      </c>
      <c r="D57" s="6">
        <f t="shared" si="14"/>
        <v>861</v>
      </c>
      <c r="E57" s="6">
        <f>IF(COUNTIF(I57:XFD57,"&gt;"&amp;0)=0,,HLOOKUP(COUNTIF(I57:XFD57,"&gt;"&amp;0)-1,I$1:XFD57,A57+1,FALSE))</f>
        <v>861</v>
      </c>
      <c r="F57" s="7">
        <f>IF(COUNTIF(I57:XFD57,"&gt;"&amp;0)=0,,HLOOKUP(COUNTIF(I57:XFD57,"&gt;"&amp;0)-MIN($F$1+1,COUNTIF(I57:XFD57,"&gt;"&amp;0)),I$1:XFD57,A57+1,FALSE))</f>
        <v>201</v>
      </c>
      <c r="G57" s="8">
        <f t="shared" si="15"/>
        <v>1.3377082910291975</v>
      </c>
      <c r="H57" s="13" t="s">
        <v>99</v>
      </c>
      <c r="I57" s="9">
        <v>139</v>
      </c>
      <c r="J57" s="9">
        <v>201</v>
      </c>
      <c r="K57" s="9">
        <v>331</v>
      </c>
      <c r="L57" s="9">
        <v>480</v>
      </c>
      <c r="M57" s="9">
        <v>662</v>
      </c>
      <c r="N57" s="9">
        <v>784</v>
      </c>
      <c r="O57" s="9">
        <v>861</v>
      </c>
    </row>
    <row r="58" spans="1:18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Albania</v>
      </c>
      <c r="D58" s="6">
        <f t="shared" si="14"/>
        <v>98</v>
      </c>
      <c r="E58" s="6">
        <f>IF(COUNTIF(I58:XFD58,"&gt;"&amp;0)=0,,HLOOKUP(COUNTIF(I58:XFD58,"&gt;"&amp;0)-1,I$1:XFD58,A58+1,FALSE))</f>
        <v>98</v>
      </c>
      <c r="F58" s="7">
        <f>IF(COUNTIF(I58:XFD58,"&gt;"&amp;0)=0,,HLOOKUP(COUNTIF(I58:XFD58,"&gt;"&amp;0)-MIN($F$1+1,COUNTIF(I58:XFD58,"&gt;"&amp;0)),I$1:XFD58,A58+1,FALSE))</f>
        <v>98</v>
      </c>
      <c r="G58" s="8" t="e">
        <f t="shared" si="15"/>
        <v>#DIV/0!</v>
      </c>
      <c r="H58" s="13" t="s">
        <v>230</v>
      </c>
      <c r="I58" s="9">
        <v>98</v>
      </c>
    </row>
    <row r="59" spans="1:18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Croatia</v>
      </c>
      <c r="D59" s="6">
        <f t="shared" si="14"/>
        <v>309</v>
      </c>
      <c r="E59" s="6">
        <f>IF(COUNTIF(I59:XFD59,"&gt;"&amp;0)=0,,HLOOKUP(COUNTIF(I59:XFD59,"&gt;"&amp;0)-1,I$1:XFD59,A59+1,FALSE))</f>
        <v>309</v>
      </c>
      <c r="F59" s="7">
        <f>IF(COUNTIF(I59:XFD59,"&gt;"&amp;0)=0,,HLOOKUP(COUNTIF(I59:XFD59,"&gt;"&amp;0)-MIN($F$1+1,COUNTIF(I59:XFD59,"&gt;"&amp;0)),I$1:XFD59,A59+1,FALSE))</f>
        <v>99</v>
      </c>
      <c r="G59" s="8">
        <f t="shared" si="15"/>
        <v>1.3291708897654233</v>
      </c>
      <c r="H59" s="13" t="s">
        <v>76</v>
      </c>
      <c r="I59" s="9">
        <v>99</v>
      </c>
      <c r="J59" s="9">
        <v>122</v>
      </c>
      <c r="K59" s="9">
        <v>200</v>
      </c>
      <c r="L59" s="9">
        <v>248</v>
      </c>
      <c r="M59" s="9">
        <v>309</v>
      </c>
    </row>
    <row r="60" spans="1:18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Slovakia</v>
      </c>
      <c r="D60" s="6">
        <f t="shared" si="14"/>
        <v>179</v>
      </c>
      <c r="E60" s="6">
        <f>IF(COUNTIF(I60:XFD60,"&gt;"&amp;0)=0,,HLOOKUP(COUNTIF(I60:XFD60,"&gt;"&amp;0)-1,I$1:XFD60,A60+1,FALSE))</f>
        <v>179</v>
      </c>
      <c r="F60" s="7">
        <f>IF(COUNTIF(I60:XFD60,"&gt;"&amp;0)=0,,HLOOKUP(COUNTIF(I60:XFD60,"&gt;"&amp;0)-MIN($F$1+1,COUNTIF(I60:XFD60,"&gt;"&amp;0)),I$1:XFD60,A60+1,FALSE))</f>
        <v>104</v>
      </c>
      <c r="G60" s="8">
        <f t="shared" si="15"/>
        <v>1.1147152390858639</v>
      </c>
      <c r="H60" s="13" t="s">
        <v>162</v>
      </c>
      <c r="I60" s="9">
        <v>104</v>
      </c>
      <c r="J60" s="9">
        <v>122</v>
      </c>
      <c r="K60" s="9">
        <v>136</v>
      </c>
      <c r="L60" s="9">
        <v>177</v>
      </c>
      <c r="M60" s="9">
        <v>178</v>
      </c>
      <c r="N60" s="9">
        <v>179</v>
      </c>
    </row>
    <row r="61" spans="1:18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Argentina</v>
      </c>
      <c r="D61" s="6">
        <f t="shared" si="14"/>
        <v>294</v>
      </c>
      <c r="E61" s="6">
        <f>IF(COUNTIF(I61:XFD61,"&gt;"&amp;0)=0,,HLOOKUP(COUNTIF(I61:XFD61,"&gt;"&amp;0)-1,I$1:XFD61,A61+1,FALSE))</f>
        <v>294</v>
      </c>
      <c r="F61" s="7">
        <f>IF(COUNTIF(I61:XFD61,"&gt;"&amp;0)=0,,HLOOKUP(COUNTIF(I61:XFD61,"&gt;"&amp;0)-MIN($F$1+1,COUNTIF(I61:XFD61,"&gt;"&amp;0)),I$1:XFD61,A61+1,FALSE))</f>
        <v>122</v>
      </c>
      <c r="G61" s="8">
        <f t="shared" si="15"/>
        <v>1.3406924589096278</v>
      </c>
      <c r="H61" s="13" t="s">
        <v>123</v>
      </c>
      <c r="I61" s="9">
        <v>122</v>
      </c>
      <c r="J61" s="9">
        <v>151</v>
      </c>
      <c r="K61" s="9">
        <v>259</v>
      </c>
      <c r="L61" s="9">
        <v>294</v>
      </c>
    </row>
    <row r="62" spans="1:18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Pakistan</v>
      </c>
      <c r="D62" s="6">
        <f t="shared" si="14"/>
        <v>864</v>
      </c>
      <c r="E62" s="6">
        <f>IF(COUNTIF(I62:XFD62,"&gt;"&amp;0)=0,,HLOOKUP(COUNTIF(I62:XFD62,"&gt;"&amp;0)-1,I$1:XFD62,A62+1,FALSE))</f>
        <v>864</v>
      </c>
      <c r="F62" s="7">
        <f>IF(COUNTIF(I62:XFD62,"&gt;"&amp;0)=0,,HLOOKUP(COUNTIF(I62:XFD62,"&gt;"&amp;0)-MIN($F$1+1,COUNTIF(I62:XFD62,"&gt;"&amp;0)),I$1:XFD62,A62+1,FALSE))</f>
        <v>297</v>
      </c>
      <c r="G62" s="8">
        <f t="shared" si="15"/>
        <v>1.2380878413676912</v>
      </c>
      <c r="H62" s="13" t="s">
        <v>80</v>
      </c>
      <c r="I62" s="9">
        <v>134</v>
      </c>
      <c r="J62" s="9">
        <v>234</v>
      </c>
      <c r="K62" s="9">
        <v>297</v>
      </c>
      <c r="L62" s="9">
        <v>439</v>
      </c>
      <c r="M62" s="9">
        <v>485</v>
      </c>
      <c r="N62" s="9">
        <v>714</v>
      </c>
      <c r="O62" s="9">
        <v>766</v>
      </c>
      <c r="P62" s="9">
        <v>864</v>
      </c>
    </row>
    <row r="63" spans="1:18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Peru</v>
      </c>
      <c r="D63" s="6">
        <f t="shared" si="14"/>
        <v>389</v>
      </c>
      <c r="E63" s="6">
        <f>IF(COUNTIF(I63:XFD63,"&gt;"&amp;0)=0,,HLOOKUP(COUNTIF(I63:XFD63,"&gt;"&amp;0)-1,I$1:XFD63,A63+1,FALSE))</f>
        <v>389</v>
      </c>
      <c r="F63" s="7">
        <f>IF(COUNTIF(I63:XFD63,"&gt;"&amp;0)=0,,HLOOKUP(COUNTIF(I63:XFD63,"&gt;"&amp;0)-MIN($F$1+1,COUNTIF(I63:XFD63,"&gt;"&amp;0)),I$1:XFD63,A63+1,FALSE))</f>
        <v>144</v>
      </c>
      <c r="G63" s="8">
        <f t="shared" si="15"/>
        <v>1.2198808728937272</v>
      </c>
      <c r="H63" s="13" t="s">
        <v>160</v>
      </c>
      <c r="I63" s="9">
        <v>116</v>
      </c>
      <c r="J63" s="9">
        <v>144</v>
      </c>
      <c r="K63" s="9">
        <v>233</v>
      </c>
      <c r="L63" s="9">
        <v>230</v>
      </c>
      <c r="M63" s="9">
        <v>312</v>
      </c>
      <c r="N63" s="9">
        <v>357</v>
      </c>
      <c r="O63" s="9">
        <v>389</v>
      </c>
    </row>
    <row r="64" spans="1:18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Panama</v>
      </c>
      <c r="D64" s="6">
        <f t="shared" si="14"/>
        <v>339</v>
      </c>
      <c r="E64" s="6">
        <f>IF(COUNTIF(I64:XFD64,"&gt;"&amp;0)=0,,HLOOKUP(COUNTIF(I64:XFD64,"&gt;"&amp;0)-1,I$1:XFD64,A64+1,FALSE))</f>
        <v>339</v>
      </c>
      <c r="F64" s="7">
        <f>IF(COUNTIF(I64:XFD64,"&gt;"&amp;0)=0,,HLOOKUP(COUNTIF(I64:XFD64,"&gt;"&amp;0)-MIN($F$1+1,COUNTIF(I64:XFD64,"&gt;"&amp;0)),I$1:XFD64,A64+1,FALSE))</f>
        <v>108</v>
      </c>
      <c r="G64" s="8">
        <f t="shared" si="15"/>
        <v>1.3310488228420128</v>
      </c>
      <c r="H64" s="13" t="s">
        <v>283</v>
      </c>
      <c r="I64" s="9">
        <v>108</v>
      </c>
      <c r="J64" s="9">
        <v>136</v>
      </c>
      <c r="K64" s="9">
        <v>199</v>
      </c>
      <c r="L64" s="9">
        <v>310</v>
      </c>
      <c r="M64" s="9">
        <v>339</v>
      </c>
    </row>
    <row r="65" spans="1:14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Algeria</v>
      </c>
      <c r="D65" s="6">
        <f t="shared" si="14"/>
        <v>148</v>
      </c>
      <c r="E65" s="6">
        <f>IF(COUNTIF(I65:XFD65,"&gt;"&amp;0)=0,,HLOOKUP(COUNTIF(I65:XFD65,"&gt;"&amp;0)-1,I$1:XFD65,A65+1,FALSE))</f>
        <v>148</v>
      </c>
      <c r="F65" s="7">
        <f>IF(COUNTIF(I65:XFD65,"&gt;"&amp;0)=0,,HLOOKUP(COUNTIF(I65:XFD65,"&gt;"&amp;0)-MIN($F$1+1,COUNTIF(I65:XFD65,"&gt;"&amp;0)),I$1:XFD65,A65+1,FALSE))</f>
        <v>92</v>
      </c>
      <c r="G65" s="8">
        <f t="shared" si="15"/>
        <v>1.2683436648534627</v>
      </c>
      <c r="H65" s="13" t="s">
        <v>75</v>
      </c>
      <c r="I65" s="9">
        <v>92</v>
      </c>
      <c r="J65" s="9">
        <v>119</v>
      </c>
      <c r="K65" s="9">
        <v>148</v>
      </c>
    </row>
    <row r="66" spans="1:14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South Africa</v>
      </c>
      <c r="D66" s="6">
        <f t="shared" si="14"/>
        <v>402</v>
      </c>
      <c r="E66" s="6">
        <f>IF(COUNTIF(I66:XFD66,"&gt;"&amp;0)=0,,HLOOKUP(COUNTIF(I66:XFD66,"&gt;"&amp;0)-1,I$1:XFD66,A66+1,FALSE))</f>
        <v>402</v>
      </c>
      <c r="F66" s="7">
        <f>IF(COUNTIF(I66:XFD66,"&gt;"&amp;0)=0,,HLOOKUP(COUNTIF(I66:XFD66,"&gt;"&amp;0)-MIN($F$1+1,COUNTIF(I66:XFD66,"&gt;"&amp;0)),I$1:XFD66,A66+1,FALSE))</f>
        <v>116</v>
      </c>
      <c r="G66" s="8">
        <f t="shared" si="15"/>
        <v>1.2821936235474392</v>
      </c>
      <c r="H66" s="13" t="s">
        <v>145</v>
      </c>
      <c r="I66" s="9">
        <v>116</v>
      </c>
      <c r="J66" s="9">
        <v>150</v>
      </c>
      <c r="K66" s="9">
        <v>202</v>
      </c>
      <c r="L66" s="9">
        <v>240</v>
      </c>
      <c r="M66" s="9">
        <v>274</v>
      </c>
      <c r="N66" s="9">
        <v>402</v>
      </c>
    </row>
    <row r="67" spans="1:14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Bulgaria</v>
      </c>
      <c r="D67" s="6">
        <f t="shared" si="14"/>
        <v>195</v>
      </c>
      <c r="E67" s="6">
        <f>IF(COUNTIF(I67:XFD67,"&gt;"&amp;0)=0,,HLOOKUP(COUNTIF(I67:XFD67,"&gt;"&amp;0)-1,I$1:XFD67,A67+1,FALSE))</f>
        <v>195</v>
      </c>
      <c r="F67" s="7">
        <f>IF(COUNTIF(I67:XFD67,"&gt;"&amp;0)=0,,HLOOKUP(COUNTIF(I67:XFD67,"&gt;"&amp;0)-MIN($F$1+1,COUNTIF(I67:XFD67,"&gt;"&amp;0)),I$1:XFD67,A67+1,FALSE))</f>
        <v>124</v>
      </c>
      <c r="G67" s="8">
        <f t="shared" si="15"/>
        <v>1.1628873388045098</v>
      </c>
      <c r="H67" s="13" t="s">
        <v>199</v>
      </c>
      <c r="I67" s="9">
        <v>124</v>
      </c>
      <c r="J67" s="9">
        <v>157</v>
      </c>
      <c r="K67" s="9">
        <v>181</v>
      </c>
      <c r="L67" s="9">
        <v>195</v>
      </c>
    </row>
    <row r="68" spans="1:14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Costa Rica</v>
      </c>
      <c r="D68" s="6">
        <f t="shared" si="14"/>
        <v>154</v>
      </c>
      <c r="E68" s="6">
        <f>IF(COUNTIF(I68:XFD68,"&gt;"&amp;0)=0,,HLOOKUP(COUNTIF(I68:XFD68,"&gt;"&amp;0)-1,I$1:XFD68,A68+1,FALSE))</f>
        <v>154</v>
      </c>
      <c r="F68" s="7">
        <f>IF(COUNTIF(I68:XFD68,"&gt;"&amp;0)=0,,HLOOKUP(COUNTIF(I68:XFD68,"&gt;"&amp;0)-MIN($F$1+1,COUNTIF(I68:XFD68,"&gt;"&amp;0)),I$1:XFD68,A68+1,FALSE))</f>
        <v>113</v>
      </c>
      <c r="G68" s="8">
        <f t="shared" si="15"/>
        <v>1.167403896861356</v>
      </c>
      <c r="H68" s="13" t="s">
        <v>159</v>
      </c>
      <c r="I68" s="9">
        <v>113</v>
      </c>
      <c r="J68" s="9">
        <v>130</v>
      </c>
      <c r="K68" s="9">
        <v>154</v>
      </c>
    </row>
    <row r="69" spans="1:14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Hungary</v>
      </c>
      <c r="D69" s="6">
        <f t="shared" si="14"/>
        <v>144</v>
      </c>
      <c r="E69" s="6">
        <f>IF(COUNTIF(I69:XFD69,"&gt;"&amp;0)=0,,HLOOKUP(COUNTIF(I69:XFD69,"&gt;"&amp;0)-1,I$1:XFD69,A69+1,FALSE))</f>
        <v>144</v>
      </c>
      <c r="F69" s="7">
        <f>IF(COUNTIF(I69:XFD69,"&gt;"&amp;0)=0,,HLOOKUP(COUNTIF(I69:XFD69,"&gt;"&amp;0)-MIN($F$1+1,COUNTIF(I69:XFD69,"&gt;"&amp;0)),I$1:XFD69,A69+1,FALSE))</f>
        <v>92</v>
      </c>
      <c r="G69" s="8">
        <f t="shared" si="15"/>
        <v>1.2510864843424485</v>
      </c>
      <c r="H69" s="13" t="s">
        <v>132</v>
      </c>
      <c r="I69" s="9">
        <v>92</v>
      </c>
      <c r="J69" s="9">
        <v>109</v>
      </c>
      <c r="K69" s="9">
        <v>144</v>
      </c>
    </row>
    <row r="70" spans="1:14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Ecuador</v>
      </c>
      <c r="D70" s="6">
        <f t="shared" ref="D70:D133" si="17">MAX(I70:CL70)</f>
        <v>960</v>
      </c>
      <c r="E70" s="6">
        <f>IF(COUNTIF(I70:XFD70,"&gt;"&amp;0)=0,,HLOOKUP(COUNTIF(I70:XFD70,"&gt;"&amp;0)-1,I$1:XFD70,A70+1,FALSE))</f>
        <v>960</v>
      </c>
      <c r="F70" s="7">
        <f>IF(COUNTIF(I70:XFD70,"&gt;"&amp;0)=0,,HLOOKUP(COUNTIF(I70:XFD70,"&gt;"&amp;0)-MIN($F$1+1,COUNTIF(I70:XFD70,"&gt;"&amp;0)),I$1:XFD70,A70+1,FALSE))</f>
        <v>109</v>
      </c>
      <c r="G70" s="8">
        <f t="shared" ref="G70:G133" si="18">IF(COUNTIF(I70:XFD70,"&gt;"&amp;0)=0,,(E70/F70)^(1/MIN(COUNTIF(I70:XFD70,"&gt;"&amp;0)-1,$F$1)))</f>
        <v>1.5451439545056396</v>
      </c>
      <c r="H70" s="13" t="s">
        <v>103</v>
      </c>
      <c r="I70" s="9">
        <v>109</v>
      </c>
      <c r="J70" s="9">
        <v>196</v>
      </c>
      <c r="K70" s="9">
        <v>362</v>
      </c>
      <c r="L70" s="9">
        <v>496</v>
      </c>
      <c r="M70" s="9">
        <v>772</v>
      </c>
      <c r="N70" s="9">
        <v>960</v>
      </c>
    </row>
    <row r="71" spans="1:14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Latvia</v>
      </c>
      <c r="D71" s="6">
        <f t="shared" si="17"/>
        <v>179</v>
      </c>
      <c r="E71" s="6">
        <f>IF(COUNTIF(I71:XFD71,"&gt;"&amp;0)=0,,HLOOKUP(COUNTIF(I71:XFD71,"&gt;"&amp;0)-1,I$1:XFD71,A71+1,FALSE))</f>
        <v>179</v>
      </c>
      <c r="F71" s="7">
        <f>IF(COUNTIF(I71:XFD71,"&gt;"&amp;0)=0,,HLOOKUP(COUNTIF(I71:XFD71,"&gt;"&amp;0)-MIN($F$1+1,COUNTIF(I71:XFD71,"&gt;"&amp;0)),I$1:XFD71,A71+1,FALSE))</f>
        <v>110</v>
      </c>
      <c r="G71" s="8">
        <f t="shared" si="18"/>
        <v>1.1762151851996194</v>
      </c>
      <c r="H71" s="13" t="s">
        <v>111</v>
      </c>
      <c r="I71" s="9">
        <v>110</v>
      </c>
      <c r="J71" s="9">
        <v>123</v>
      </c>
      <c r="K71" s="9">
        <v>138</v>
      </c>
      <c r="L71" s="9">
        <v>179</v>
      </c>
    </row>
    <row r="72" spans="1:14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Cyprus</v>
      </c>
      <c r="D72" s="6">
        <f t="shared" si="17"/>
        <v>112</v>
      </c>
      <c r="E72" s="6">
        <f>IF(COUNTIF(I72:XFD72,"&gt;"&amp;0)=0,,HLOOKUP(COUNTIF(I72:XFD72,"&gt;"&amp;0)-1,I$1:XFD72,A72+1,FALSE))</f>
        <v>112</v>
      </c>
      <c r="F72" s="7">
        <f>IF(COUNTIF(I72:XFD72,"&gt;"&amp;0)=0,,HLOOKUP(COUNTIF(I72:XFD72,"&gt;"&amp;0)-MIN($F$1+1,COUNTIF(I72:XFD72,"&gt;"&amp;0)),I$1:XFD72,A72+1,FALSE))</f>
        <v>112</v>
      </c>
      <c r="G72" s="8" t="e">
        <f t="shared" si="18"/>
        <v>#DIV/0!</v>
      </c>
      <c r="H72" s="13" t="s">
        <v>231</v>
      </c>
      <c r="I72" s="9">
        <v>112</v>
      </c>
    </row>
    <row r="73" spans="1:14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North Macedonia</v>
      </c>
      <c r="D73" s="6">
        <f t="shared" si="17"/>
        <v>133</v>
      </c>
      <c r="E73" s="6">
        <f>IF(COUNTIF(I73:XFD73,"&gt;"&amp;0)=0,,HLOOKUP(COUNTIF(I73:XFD73,"&gt;"&amp;0)-1,I$1:XFD73,A73+1,FALSE))</f>
        <v>133</v>
      </c>
      <c r="F73" s="7">
        <f>IF(COUNTIF(I73:XFD73,"&gt;"&amp;0)=0,,HLOOKUP(COUNTIF(I73:XFD73,"&gt;"&amp;0)-MIN($F$1+1,COUNTIF(I73:XFD73,"&gt;"&amp;0)),I$1:XFD73,A73+1,FALSE))</f>
        <v>113</v>
      </c>
      <c r="G73" s="8">
        <f t="shared" si="18"/>
        <v>1.1769911504424779</v>
      </c>
      <c r="H73" s="13" t="s">
        <v>84</v>
      </c>
      <c r="I73" s="9">
        <v>113</v>
      </c>
      <c r="J73" s="9">
        <v>133</v>
      </c>
    </row>
    <row r="74" spans="1:14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Bosnia and Herzegovina</v>
      </c>
      <c r="D74" s="6">
        <f t="shared" si="17"/>
        <v>133</v>
      </c>
      <c r="E74" s="6">
        <f>IF(COUNTIF(I74:XFD74,"&gt;"&amp;0)=0,,HLOOKUP(COUNTIF(I74:XFD74,"&gt;"&amp;0)-1,I$1:XFD74,A74+1,FALSE))</f>
        <v>133</v>
      </c>
      <c r="F74" s="7">
        <f>IF(COUNTIF(I74:XFD74,"&gt;"&amp;0)=0,,HLOOKUP(COUNTIF(I74:XFD74,"&gt;"&amp;0)-MIN($F$1+1,COUNTIF(I74:XFD74,"&gt;"&amp;0)),I$1:XFD74,A74+1,FALSE))</f>
        <v>123</v>
      </c>
      <c r="G74" s="8">
        <f t="shared" si="18"/>
        <v>1.0813008130081301</v>
      </c>
      <c r="H74" s="13" t="s">
        <v>140</v>
      </c>
      <c r="I74" s="9">
        <v>123</v>
      </c>
      <c r="J74" s="9">
        <v>133</v>
      </c>
    </row>
    <row r="75" spans="1:14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>Colombia</v>
      </c>
      <c r="D75" s="6">
        <f t="shared" si="17"/>
        <v>271</v>
      </c>
      <c r="E75" s="6">
        <f>IF(COUNTIF(I75:XFD75,"&gt;"&amp;0)=0,,HLOOKUP(COUNTIF(I75:XFD75,"&gt;"&amp;0)-1,I$1:XFD75,A75+1,FALSE))</f>
        <v>271</v>
      </c>
      <c r="F75" s="7">
        <f>IF(COUNTIF(I75:XFD75,"&gt;"&amp;0)=0,,HLOOKUP(COUNTIF(I75:XFD75,"&gt;"&amp;0)-MIN($F$1+1,COUNTIF(I75:XFD75,"&gt;"&amp;0)),I$1:XFD75,A75+1,FALSE))</f>
        <v>101</v>
      </c>
      <c r="G75" s="8">
        <f t="shared" si="18"/>
        <v>1.2798585653544923</v>
      </c>
      <c r="H75" s="13" t="s">
        <v>158</v>
      </c>
      <c r="I75" s="9">
        <v>101</v>
      </c>
      <c r="J75" s="9">
        <v>127</v>
      </c>
      <c r="K75" s="9">
        <v>195</v>
      </c>
      <c r="L75" s="9">
        <v>226</v>
      </c>
      <c r="M75" s="9">
        <v>271</v>
      </c>
    </row>
    <row r="76" spans="1:14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>Malta</v>
      </c>
      <c r="D76" s="6">
        <f t="shared" si="17"/>
        <v>105</v>
      </c>
      <c r="E76" s="6">
        <f>IF(COUNTIF(I76:XFD76,"&gt;"&amp;0)=0,,HLOOKUP(COUNTIF(I76:XFD76,"&gt;"&amp;0)-1,I$1:XFD76,A76+1,FALSE))</f>
        <v>105</v>
      </c>
      <c r="F76" s="7">
        <f>IF(COUNTIF(I76:XFD76,"&gt;"&amp;0)=0,,HLOOKUP(COUNTIF(I76:XFD76,"&gt;"&amp;0)-MIN($F$1+1,COUNTIF(I76:XFD76,"&gt;"&amp;0)),I$1:XFD76,A76+1,FALSE))</f>
        <v>105</v>
      </c>
      <c r="G76" s="8" t="e">
        <f t="shared" si="18"/>
        <v>#DIV/0!</v>
      </c>
      <c r="H76" s="13" t="s">
        <v>177</v>
      </c>
      <c r="I76" s="9">
        <v>105</v>
      </c>
    </row>
    <row r="77" spans="1:14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>Mexico</v>
      </c>
      <c r="D77" s="6">
        <f t="shared" si="17"/>
        <v>309</v>
      </c>
      <c r="E77" s="6">
        <f>IF(COUNTIF(I77:XFD77,"&gt;"&amp;0)=0,,HLOOKUP(COUNTIF(I77:XFD77,"&gt;"&amp;0)-1,I$1:XFD77,A77+1,FALSE))</f>
        <v>309</v>
      </c>
      <c r="F77" s="7">
        <f>IF(COUNTIF(I77:XFD77,"&gt;"&amp;0)=0,,HLOOKUP(COUNTIF(I77:XFD77,"&gt;"&amp;0)-MIN($F$1+1,COUNTIF(I77:XFD77,"&gt;"&amp;0)),I$1:XFD77,A77+1,FALSE))</f>
        <v>113</v>
      </c>
      <c r="G77" s="8">
        <f t="shared" si="18"/>
        <v>1.285937937505587</v>
      </c>
      <c r="H77" s="13" t="s">
        <v>94</v>
      </c>
      <c r="I77" s="9">
        <v>113</v>
      </c>
      <c r="J77" s="9">
        <v>159</v>
      </c>
      <c r="K77" s="9">
        <v>197</v>
      </c>
      <c r="L77" s="9">
        <v>245</v>
      </c>
      <c r="M77" s="9">
        <v>309</v>
      </c>
    </row>
    <row r="78" spans="1:14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>Armenia</v>
      </c>
      <c r="D78" s="6">
        <f t="shared" si="17"/>
        <v>233</v>
      </c>
      <c r="E78" s="6">
        <f>IF(COUNTIF(I78:XFD78,"&gt;"&amp;0)=0,,HLOOKUP(COUNTIF(I78:XFD78,"&gt;"&amp;0)-1,I$1:XFD78,A78+1,FALSE))</f>
        <v>233</v>
      </c>
      <c r="F78" s="7">
        <f>IF(COUNTIF(I78:XFD78,"&gt;"&amp;0)=0,,HLOOKUP(COUNTIF(I78:XFD78,"&gt;"&amp;0)-MIN($F$1+1,COUNTIF(I78:XFD78,"&gt;"&amp;0)),I$1:XFD78,A78+1,FALSE))</f>
        <v>114</v>
      </c>
      <c r="G78" s="8">
        <f t="shared" si="18"/>
        <v>1.1956739499856548</v>
      </c>
      <c r="H78" s="13" t="s">
        <v>105</v>
      </c>
      <c r="I78" s="9">
        <v>114</v>
      </c>
      <c r="J78" s="9">
        <v>135</v>
      </c>
      <c r="K78" s="9">
        <v>159</v>
      </c>
      <c r="L78" s="9">
        <v>192</v>
      </c>
      <c r="M78" s="9">
        <v>233</v>
      </c>
    </row>
    <row r="79" spans="1:14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>Morocco</v>
      </c>
      <c r="D79" s="6">
        <f t="shared" si="17"/>
        <v>136</v>
      </c>
      <c r="E79" s="6">
        <f>IF(COUNTIF(I79:XFD79,"&gt;"&amp;0)=0,,HLOOKUP(COUNTIF(I79:XFD79,"&gt;"&amp;0)-1,I$1:XFD79,A79+1,FALSE))</f>
        <v>136</v>
      </c>
      <c r="F79" s="7">
        <f>IF(COUNTIF(I79:XFD79,"&gt;"&amp;0)=0,,HLOOKUP(COUNTIF(I79:XFD79,"&gt;"&amp;0)-MIN($F$1+1,COUNTIF(I79:XFD79,"&gt;"&amp;0)),I$1:XFD79,A79+1,FALSE))</f>
        <v>108</v>
      </c>
      <c r="G79" s="8">
        <f t="shared" si="18"/>
        <v>1.2592592592592593</v>
      </c>
      <c r="H79" s="13" t="s">
        <v>112</v>
      </c>
      <c r="I79" s="9">
        <v>108</v>
      </c>
      <c r="J79" s="9">
        <v>136</v>
      </c>
    </row>
    <row r="80" spans="1:14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>Lithuania</v>
      </c>
      <c r="D80" s="6">
        <f t="shared" si="17"/>
        <v>177</v>
      </c>
      <c r="E80" s="6">
        <f>IF(COUNTIF(I80:XFD80,"&gt;"&amp;0)=0,,HLOOKUP(COUNTIF(I80:XFD80,"&gt;"&amp;0)-1,I$1:XFD80,A80+1,FALSE))</f>
        <v>177</v>
      </c>
      <c r="F80" s="7">
        <f>IF(COUNTIF(I80:XFD80,"&gt;"&amp;0)=0,,HLOOKUP(COUNTIF(I80:XFD80,"&gt;"&amp;0)-MIN($F$1+1,COUNTIF(I80:XFD80,"&gt;"&amp;0)),I$1:XFD80,A80+1,FALSE))</f>
        <v>141</v>
      </c>
      <c r="G80" s="8">
        <f t="shared" si="18"/>
        <v>1.2553191489361701</v>
      </c>
      <c r="H80" s="13" t="s">
        <v>93</v>
      </c>
      <c r="I80" s="9">
        <v>141</v>
      </c>
      <c r="J80" s="9">
        <v>177</v>
      </c>
    </row>
    <row r="81" spans="1:13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>Moldova</v>
      </c>
      <c r="D81" s="6">
        <f t="shared" si="17"/>
        <v>107</v>
      </c>
      <c r="E81" s="6">
        <f>IF(COUNTIF(I81:XFD81,"&gt;"&amp;0)=0,,HLOOKUP(COUNTIF(I81:XFD81,"&gt;"&amp;0)-1,I$1:XFD81,A81+1,FALSE))</f>
        <v>107</v>
      </c>
      <c r="F81" s="7">
        <f>IF(COUNTIF(I81:XFD81,"&gt;"&amp;0)=0,,HLOOKUP(COUNTIF(I81:XFD81,"&gt;"&amp;0)-MIN($F$1+1,COUNTIF(I81:XFD81,"&gt;"&amp;0)),I$1:XFD81,A81+1,FALSE))</f>
        <v>107</v>
      </c>
      <c r="G81" s="8" t="e">
        <f t="shared" si="18"/>
        <v>#DIV/0!</v>
      </c>
      <c r="H81" s="13" t="s">
        <v>345</v>
      </c>
      <c r="I81" s="9">
        <v>107</v>
      </c>
    </row>
    <row r="82" spans="1:13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>Dominican Republic</v>
      </c>
      <c r="D82" s="6">
        <f t="shared" si="17"/>
        <v>242</v>
      </c>
      <c r="E82" s="6">
        <f>IF(COUNTIF(I82:XFD82,"&gt;"&amp;0)=0,,HLOOKUP(COUNTIF(I82:XFD82,"&gt;"&amp;0)-1,I$1:XFD82,A82+1,FALSE))</f>
        <v>242</v>
      </c>
      <c r="F82" s="7">
        <f>IF(COUNTIF(I82:XFD82,"&gt;"&amp;0)=0,,HLOOKUP(COUNTIF(I82:XFD82,"&gt;"&amp;0)-MIN($F$1+1,COUNTIF(I82:XFD82,"&gt;"&amp;0)),I$1:XFD82,A82+1,FALSE))</f>
        <v>110</v>
      </c>
      <c r="G82" s="8">
        <f t="shared" si="18"/>
        <v>1.4832396974191326</v>
      </c>
      <c r="H82" s="13" t="s">
        <v>106</v>
      </c>
      <c r="I82" s="9">
        <v>110</v>
      </c>
      <c r="J82" s="9">
        <v>199</v>
      </c>
      <c r="K82" s="9">
        <v>242</v>
      </c>
    </row>
    <row r="83" spans="1:13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>New Zealand</v>
      </c>
      <c r="D83" s="6">
        <f t="shared" si="17"/>
        <v>102</v>
      </c>
      <c r="E83" s="6">
        <f>IF(COUNTIF(I83:XFD83,"&gt;"&amp;0)=0,,HLOOKUP(COUNTIF(I83:XFD83,"&gt;"&amp;0)-1,I$1:XFD83,A83+1,FALSE))</f>
        <v>102</v>
      </c>
      <c r="F83" s="7">
        <f>IF(COUNTIF(I83:XFD83,"&gt;"&amp;0)=0,,HLOOKUP(COUNTIF(I83:XFD83,"&gt;"&amp;0)-MIN($F$1+1,COUNTIF(I83:XFD83,"&gt;"&amp;0)),I$1:XFD83,A83+1,FALSE))</f>
        <v>102</v>
      </c>
      <c r="G83" s="8">
        <f t="shared" si="18"/>
        <v>1</v>
      </c>
      <c r="H83" s="13" t="s">
        <v>95</v>
      </c>
      <c r="I83" s="9">
        <v>102</v>
      </c>
      <c r="J83" s="9">
        <v>102</v>
      </c>
    </row>
    <row r="84" spans="1:13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>Turkey</v>
      </c>
      <c r="D84" s="6">
        <f t="shared" si="17"/>
        <v>1492</v>
      </c>
      <c r="E84" s="6">
        <f>IF(COUNTIF(I84:XFD84,"&gt;"&amp;0)=0,,HLOOKUP(COUNTIF(I84:XFD84,"&gt;"&amp;0)-1,I$1:XFD84,A84+1,FALSE))</f>
        <v>1492</v>
      </c>
      <c r="F84" s="7">
        <f>IF(COUNTIF(I84:XFD84,"&gt;"&amp;0)=0,,HLOOKUP(COUNTIF(I84:XFD84,"&gt;"&amp;0)-MIN($F$1+1,COUNTIF(I84:XFD84,"&gt;"&amp;0)),I$1:XFD84,A84+1,FALSE))</f>
        <v>189</v>
      </c>
      <c r="G84" s="8">
        <f t="shared" si="18"/>
        <v>1.6762035447365466</v>
      </c>
      <c r="H84" s="13" t="s">
        <v>355</v>
      </c>
      <c r="I84" s="9">
        <v>189</v>
      </c>
      <c r="J84" s="9">
        <v>355</v>
      </c>
      <c r="K84" s="9">
        <v>661</v>
      </c>
      <c r="L84" s="9">
        <v>1206</v>
      </c>
      <c r="M84" s="9">
        <v>1492</v>
      </c>
    </row>
    <row r="85" spans="1:13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>Andorra</v>
      </c>
      <c r="D85" s="6">
        <f t="shared" si="17"/>
        <v>131</v>
      </c>
      <c r="E85" s="6">
        <f>IF(COUNTIF(I85:XFD85,"&gt;"&amp;0)=0,,HLOOKUP(COUNTIF(I85:XFD85,"&gt;"&amp;0)-1,I$1:XFD85,A85+1,FALSE))</f>
        <v>131</v>
      </c>
      <c r="F85" s="7">
        <f>IF(COUNTIF(I85:XFD85,"&gt;"&amp;0)=0,,HLOOKUP(COUNTIF(I85:XFD85,"&gt;"&amp;0)-MIN($F$1+1,COUNTIF(I85:XFD85,"&gt;"&amp;0)),I$1:XFD85,A85+1,FALSE))</f>
        <v>111</v>
      </c>
      <c r="G85" s="8">
        <f t="shared" si="18"/>
        <v>1.1801801801801801</v>
      </c>
      <c r="H85" s="13" t="s">
        <v>109</v>
      </c>
      <c r="I85" s="9">
        <v>111</v>
      </c>
      <c r="J85" s="9">
        <v>131</v>
      </c>
    </row>
    <row r="86" spans="1:13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>Jordan</v>
      </c>
      <c r="D86" s="6">
        <f t="shared" si="17"/>
        <v>126</v>
      </c>
      <c r="E86" s="6">
        <f>IF(COUNTIF(I86:XFD86,"&gt;"&amp;0)=0,,HLOOKUP(COUNTIF(I86:XFD86,"&gt;"&amp;0)-1,I$1:XFD86,A86+1,FALSE))</f>
        <v>126</v>
      </c>
      <c r="F86" s="7">
        <f>IF(COUNTIF(I86:XFD86,"&gt;"&amp;0)=0,,HLOOKUP(COUNTIF(I86:XFD86,"&gt;"&amp;0)-MIN($F$1+1,COUNTIF(I86:XFD86,"&gt;"&amp;0)),I$1:XFD86,A86+1,FALSE))</f>
        <v>111</v>
      </c>
      <c r="G86" s="8">
        <f t="shared" si="18"/>
        <v>1.1351351351351351</v>
      </c>
      <c r="H86" s="13" t="s">
        <v>125</v>
      </c>
      <c r="I86" s="9">
        <v>111</v>
      </c>
      <c r="J86" s="9">
        <v>126</v>
      </c>
    </row>
    <row r="87" spans="1:13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/>
      </c>
      <c r="D87" s="6">
        <f t="shared" si="17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8"/>
        <v>0</v>
      </c>
    </row>
    <row r="88" spans="1:13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/>
      </c>
      <c r="D88" s="6">
        <f t="shared" si="17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8"/>
        <v>0</v>
      </c>
    </row>
    <row r="89" spans="1:13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/>
      </c>
      <c r="D89" s="6">
        <f t="shared" si="17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8"/>
        <v>0</v>
      </c>
    </row>
    <row r="90" spans="1:13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13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13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13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13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13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13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FFED7EB9-254A-4D6B-A3D3-64228B3B2A6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/>
  <dimension ref="A1:KU200"/>
  <sheetViews>
    <sheetView workbookViewId="0">
      <selection activeCell="Z8" sqref="Z8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6077</v>
      </c>
      <c r="E5" s="6">
        <f>IF(COUNTIF(I5:XFD5,"&gt;"&amp;0)=0,,HLOOKUP(COUNTIF(I5:XFD5,"&gt;"&amp;0)-1,I$1:XFD5,A5+1,FALSE))</f>
        <v>6077</v>
      </c>
      <c r="F5" s="7">
        <f>IF(COUNTIF(I5:XFD5,"&gt;"&amp;0)=0,,HLOOKUP(COUNTIF(I5:XFD5,"&gt;"&amp;0)-MIN($F$1+1,COUNTIF(I5:XFD5,"&gt;"&amp;0)),I$1:XFD5,A5+1,FALSE))</f>
        <v>2978</v>
      </c>
      <c r="G5" s="8">
        <f>IF(COUNTIF(I5:XFD5,"&gt;"&amp;0)=0,,(E5/F5)^(1/MIN(COUNTIF(I5:XFD5,"&gt;"&amp;0)-1,$F$1)))</f>
        <v>1.1533281933726465</v>
      </c>
      <c r="H5" s="15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827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</row>
    <row r="6" spans="1:307" x14ac:dyDescent="0.25">
      <c r="A6" s="9">
        <f t="shared" ref="A6:A69" si="5">A5+1</f>
        <v>5</v>
      </c>
      <c r="B6" s="9">
        <f t="array" ref="B6">IF(C6="",0,IF(OR(C6=Country_Comparison!$S$10:$S$29),1,0))</f>
        <v>1</v>
      </c>
      <c r="C6" s="9" t="str">
        <f t="shared" ref="C6:C69" si="6">IF(H6="","",H6)</f>
        <v>China</v>
      </c>
      <c r="D6" s="6">
        <f t="shared" ref="D6:D69" si="7">MAX(I6:BD6)</f>
        <v>3123</v>
      </c>
      <c r="E6" s="6">
        <f>IF(COUNTIF(I6:XFD6,"&gt;"&amp;0)=0,,HLOOKUP(COUNTIF(I6:XFD6,"&gt;"&amp;0)-1,I$1:XFD6,A6+1,FALSE))</f>
        <v>3274</v>
      </c>
      <c r="F6" s="7">
        <f>IF(COUNTIF(I6:XFD6,"&gt;"&amp;0)=0,,HLOOKUP(COUNTIF(I6:XFD6,"&gt;"&amp;0)-MIN($F$1+1,COUNTIF(I6:XFD6,"&gt;"&amp;0)),I$1:XFD6,A6+1,FALSE))</f>
        <v>3241</v>
      </c>
      <c r="G6" s="8">
        <f t="shared" ref="G6:G69" si="8">IF(COUNTIF(I6:XFD6,"&gt;"&amp;0)=0,,(E6/F6)^(1/MIN(COUNTIF(I6:XFD6,"&gt;"&amp;0)-1,$F$1)))</f>
        <v>1.0020281649076559</v>
      </c>
      <c r="H6" s="15" t="s">
        <v>337</v>
      </c>
      <c r="I6" s="9">
        <v>17</v>
      </c>
      <c r="J6" s="9">
        <v>18</v>
      </c>
      <c r="K6" s="9">
        <v>26</v>
      </c>
      <c r="L6" s="9">
        <v>42</v>
      </c>
      <c r="M6" s="9">
        <v>56</v>
      </c>
      <c r="N6" s="9">
        <v>82</v>
      </c>
      <c r="O6" s="9">
        <v>131</v>
      </c>
      <c r="P6" s="9">
        <v>133</v>
      </c>
      <c r="Q6" s="9">
        <v>171</v>
      </c>
      <c r="R6" s="9">
        <v>213</v>
      </c>
      <c r="S6" s="9">
        <v>259</v>
      </c>
      <c r="T6" s="9">
        <v>361</v>
      </c>
      <c r="U6" s="9">
        <v>425</v>
      </c>
      <c r="V6" s="9">
        <v>491</v>
      </c>
      <c r="W6" s="9">
        <v>563</v>
      </c>
      <c r="X6" s="9">
        <v>633</v>
      </c>
      <c r="Y6" s="9">
        <v>718</v>
      </c>
      <c r="Z6" s="9">
        <v>805</v>
      </c>
      <c r="AA6" s="9">
        <v>905</v>
      </c>
      <c r="AB6" s="9">
        <v>1012</v>
      </c>
      <c r="AC6" s="9">
        <v>1112</v>
      </c>
      <c r="AD6" s="9">
        <v>1117</v>
      </c>
      <c r="AE6" s="9">
        <v>1369</v>
      </c>
      <c r="AF6" s="9">
        <v>1521</v>
      </c>
      <c r="AG6" s="9">
        <v>1663</v>
      </c>
      <c r="AH6" s="9">
        <v>1766</v>
      </c>
      <c r="AI6" s="9">
        <v>1864</v>
      </c>
      <c r="AJ6" s="9">
        <v>2003</v>
      </c>
      <c r="AK6" s="9">
        <v>2116</v>
      </c>
      <c r="AL6" s="9">
        <v>2238</v>
      </c>
      <c r="AM6" s="9">
        <v>2238</v>
      </c>
      <c r="AN6" s="9">
        <v>2443</v>
      </c>
      <c r="AO6" s="9">
        <v>2445</v>
      </c>
      <c r="AP6" s="9">
        <v>2595</v>
      </c>
      <c r="AQ6" s="9">
        <v>2665</v>
      </c>
      <c r="AR6" s="9">
        <v>2717</v>
      </c>
      <c r="AS6" s="9">
        <v>2746</v>
      </c>
      <c r="AT6" s="9">
        <v>2790</v>
      </c>
      <c r="AU6" s="9">
        <v>2837</v>
      </c>
      <c r="AV6" s="9">
        <v>2872</v>
      </c>
      <c r="AW6" s="9">
        <v>2914</v>
      </c>
      <c r="AX6" s="9">
        <v>2947</v>
      </c>
      <c r="AY6" s="9">
        <v>2983</v>
      </c>
      <c r="AZ6" s="9">
        <v>3015</v>
      </c>
      <c r="BA6" s="9">
        <v>3044</v>
      </c>
      <c r="BB6" s="9">
        <v>3072</v>
      </c>
      <c r="BC6" s="9">
        <v>3100</v>
      </c>
      <c r="BD6" s="9">
        <v>3123</v>
      </c>
      <c r="BE6" s="9">
        <v>3139</v>
      </c>
      <c r="BF6" s="9">
        <v>3161</v>
      </c>
      <c r="BG6" s="9">
        <v>3172</v>
      </c>
      <c r="BH6" s="9">
        <v>3180</v>
      </c>
      <c r="BI6" s="9">
        <v>3193</v>
      </c>
      <c r="BJ6" s="9">
        <v>3203</v>
      </c>
      <c r="BK6" s="9">
        <v>3217</v>
      </c>
      <c r="BL6" s="9">
        <v>3230</v>
      </c>
      <c r="BM6" s="9">
        <v>3241</v>
      </c>
      <c r="BN6" s="9">
        <v>3249</v>
      </c>
      <c r="BO6" s="9">
        <v>3253</v>
      </c>
      <c r="BP6" s="9">
        <v>3259</v>
      </c>
      <c r="BQ6" s="9">
        <v>3274</v>
      </c>
      <c r="BR6" s="9">
        <v>3274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Spain</v>
      </c>
      <c r="D7" s="6">
        <f t="shared" si="7"/>
        <v>2311</v>
      </c>
      <c r="E7" s="6">
        <f>IF(COUNTIF(I7:XFD7,"&gt;"&amp;0)=0,,HLOOKUP(COUNTIF(I7:XFD7,"&gt;"&amp;0)-1,I$1:XFD7,A7+1,FALSE))</f>
        <v>2311</v>
      </c>
      <c r="F7" s="7">
        <f>IF(COUNTIF(I7:XFD7,"&gt;"&amp;0)=0,,HLOOKUP(COUNTIF(I7:XFD7,"&gt;"&amp;0)-MIN($F$1+1,COUNTIF(I7:XFD7,"&gt;"&amp;0)),I$1:XFD7,A7+1,FALSE))</f>
        <v>623</v>
      </c>
      <c r="G7" s="8">
        <f t="shared" si="8"/>
        <v>1.2997576425728719</v>
      </c>
      <c r="H7" s="13" t="s">
        <v>60</v>
      </c>
      <c r="I7" s="9">
        <v>10</v>
      </c>
      <c r="J7" s="9">
        <v>17</v>
      </c>
      <c r="K7" s="9">
        <v>28</v>
      </c>
      <c r="L7" s="9">
        <v>35</v>
      </c>
      <c r="M7" s="9">
        <v>54</v>
      </c>
      <c r="N7" s="9">
        <v>55</v>
      </c>
      <c r="O7" s="9">
        <v>133</v>
      </c>
      <c r="P7" s="9">
        <v>195</v>
      </c>
      <c r="Q7" s="9">
        <v>289</v>
      </c>
      <c r="R7" s="9">
        <v>342</v>
      </c>
      <c r="S7" s="9">
        <v>533</v>
      </c>
      <c r="T7" s="9">
        <v>623</v>
      </c>
      <c r="U7" s="9">
        <v>830</v>
      </c>
      <c r="V7" s="9">
        <v>1043</v>
      </c>
      <c r="W7" s="9">
        <v>1375</v>
      </c>
      <c r="X7" s="9">
        <v>1772</v>
      </c>
      <c r="Y7" s="9">
        <v>2311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France</v>
      </c>
      <c r="D8" s="6">
        <f t="shared" si="7"/>
        <v>862</v>
      </c>
      <c r="E8" s="6">
        <f>IF(COUNTIF(I8:XFD8,"&gt;"&amp;0)=0,,HLOOKUP(COUNTIF(I8:XFD8,"&gt;"&amp;0)-1,I$1:XFD8,A8+1,FALSE))</f>
        <v>862</v>
      </c>
      <c r="F8" s="7">
        <f>IF(COUNTIF(I8:XFD8,"&gt;"&amp;0)=0,,HLOOKUP(COUNTIF(I8:XFD8,"&gt;"&amp;0)-MIN($F$1+1,COUNTIF(I8:XFD8,"&gt;"&amp;0)),I$1:XFD8,A8+1,FALSE))</f>
        <v>264</v>
      </c>
      <c r="G8" s="8">
        <f t="shared" si="8"/>
        <v>1.267011823907559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48</v>
      </c>
      <c r="P8" s="9">
        <v>79</v>
      </c>
      <c r="Q8" s="9">
        <v>91</v>
      </c>
      <c r="R8" s="9">
        <v>91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US</v>
      </c>
      <c r="D9" s="6">
        <f t="shared" si="7"/>
        <v>557</v>
      </c>
      <c r="E9" s="6">
        <f>IF(COUNTIF(I9:XFD9,"&gt;"&amp;0)=0,,HLOOKUP(COUNTIF(I9:XFD9,"&gt;"&amp;0)-1,I$1:XFD9,A9+1,FALSE))</f>
        <v>557</v>
      </c>
      <c r="F9" s="7">
        <f>IF(COUNTIF(I9:XFD9,"&gt;"&amp;0)=0,,HLOOKUP(COUNTIF(I9:XFD9,"&gt;"&amp;0)-MIN($F$1+1,COUNTIF(I9:XFD9,"&gt;"&amp;0)),I$1:XFD9,A9+1,FALSE))</f>
        <v>118</v>
      </c>
      <c r="G9" s="8">
        <f t="shared" si="8"/>
        <v>1.3639380262552574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United Kingdom</v>
      </c>
      <c r="D10" s="6">
        <f t="shared" si="7"/>
        <v>336</v>
      </c>
      <c r="E10" s="6">
        <f>IF(COUNTIF(I10:XFD10,"&gt;"&amp;0)=0,,HLOOKUP(COUNTIF(I10:XFD10,"&gt;"&amp;0)-1,I$1:XFD10,A10+1,FALSE))</f>
        <v>336</v>
      </c>
      <c r="F10" s="7">
        <f>IF(COUNTIF(I10:XFD10,"&gt;"&amp;0)=0,,HLOOKUP(COUNTIF(I10:XFD10,"&gt;"&amp;0)-MIN($F$1+1,COUNTIF(I10:XFD10,"&gt;"&amp;0)),I$1:XFD10,A10+1,FALSE))</f>
        <v>104</v>
      </c>
      <c r="G10" s="8">
        <f t="shared" si="8"/>
        <v>1.2643321677774819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Germany</v>
      </c>
      <c r="D11" s="6">
        <f t="shared" si="7"/>
        <v>123</v>
      </c>
      <c r="E11" s="6">
        <f>IF(COUNTIF(I11:XFD11,"&gt;"&amp;0)=0,,HLOOKUP(COUNTIF(I11:XFD11,"&gt;"&amp;0)-1,I$1:XFD11,A11+1,FALSE))</f>
        <v>123</v>
      </c>
      <c r="F11" s="7">
        <f>IF(COUNTIF(I11:XFD11,"&gt;"&amp;0)=0,,HLOOKUP(COUNTIF(I11:XFD11,"&gt;"&amp;0)-MIN($F$1+1,COUNTIF(I11:XFD11,"&gt;"&amp;0)),I$1:XFD11,A11+1,FALSE))</f>
        <v>28</v>
      </c>
      <c r="G11" s="8">
        <f t="shared" si="8"/>
        <v>1.3444647373368031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Iran</v>
      </c>
      <c r="D12" s="6">
        <f t="shared" si="7"/>
        <v>1812</v>
      </c>
      <c r="E12" s="6">
        <f>IF(COUNTIF(I12:XFD12,"&gt;"&amp;0)=0,,HLOOKUP(COUNTIF(I12:XFD12,"&gt;"&amp;0)-1,I$1:XFD12,A12+1,FALSE))</f>
        <v>1812</v>
      </c>
      <c r="F12" s="7">
        <f>IF(COUNTIF(I12:XFD12,"&gt;"&amp;0)=0,,HLOOKUP(COUNTIF(I12:XFD12,"&gt;"&amp;0)-MIN($F$1+1,COUNTIF(I12:XFD12,"&gt;"&amp;0)),I$1:XFD12,A12+1,FALSE))</f>
        <v>1135</v>
      </c>
      <c r="G12" s="8">
        <f t="shared" si="8"/>
        <v>1.0980761689804837</v>
      </c>
      <c r="H12" s="13" t="s">
        <v>338</v>
      </c>
      <c r="I12" s="9">
        <v>8</v>
      </c>
      <c r="J12" s="9">
        <v>12</v>
      </c>
      <c r="K12" s="9">
        <v>16</v>
      </c>
      <c r="L12" s="9">
        <v>19</v>
      </c>
      <c r="M12" s="9">
        <v>26</v>
      </c>
      <c r="N12" s="9">
        <v>34</v>
      </c>
      <c r="O12" s="9">
        <v>43</v>
      </c>
      <c r="P12" s="9">
        <v>54</v>
      </c>
      <c r="Q12" s="9">
        <v>66</v>
      </c>
      <c r="R12" s="9">
        <v>77</v>
      </c>
      <c r="S12" s="9">
        <v>92</v>
      </c>
      <c r="T12" s="9">
        <v>107</v>
      </c>
      <c r="U12" s="9">
        <v>124</v>
      </c>
      <c r="V12" s="9">
        <v>145</v>
      </c>
      <c r="W12" s="9">
        <v>194</v>
      </c>
      <c r="X12" s="9">
        <v>237</v>
      </c>
      <c r="Y12" s="9">
        <v>291</v>
      </c>
      <c r="Z12" s="9">
        <v>354</v>
      </c>
      <c r="AA12" s="9">
        <v>429</v>
      </c>
      <c r="AB12" s="9">
        <v>514</v>
      </c>
      <c r="AC12" s="9">
        <v>611</v>
      </c>
      <c r="AD12" s="9">
        <v>724</v>
      </c>
      <c r="AE12" s="9">
        <v>853</v>
      </c>
      <c r="AF12" s="9">
        <v>988</v>
      </c>
      <c r="AG12" s="9">
        <v>1135</v>
      </c>
      <c r="AH12" s="9">
        <v>1284</v>
      </c>
      <c r="AI12" s="9">
        <v>1433</v>
      </c>
      <c r="AJ12" s="9">
        <v>1556</v>
      </c>
      <c r="AK12" s="9">
        <v>1685</v>
      </c>
      <c r="AL12" s="9">
        <v>1812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Netherlands</v>
      </c>
      <c r="D13" s="6">
        <f t="shared" si="7"/>
        <v>214</v>
      </c>
      <c r="E13" s="6">
        <f>IF(COUNTIF(I13:XFD13,"&gt;"&amp;0)=0,,HLOOKUP(COUNTIF(I13:XFD13,"&gt;"&amp;0)-1,I$1:XFD13,A13+1,FALSE))</f>
        <v>214</v>
      </c>
      <c r="F13" s="7">
        <f>IF(COUNTIF(I13:XFD13,"&gt;"&amp;0)=0,,HLOOKUP(COUNTIF(I13:XFD13,"&gt;"&amp;0)-MIN($F$1+1,COUNTIF(I13:XFD13,"&gt;"&amp;0)),I$1:XFD13,A13+1,FALSE))</f>
        <v>58</v>
      </c>
      <c r="G13" s="8">
        <f t="shared" si="8"/>
        <v>1.2983660650414812</v>
      </c>
      <c r="H13" s="13" t="s">
        <v>89</v>
      </c>
      <c r="I13" s="9">
        <v>10</v>
      </c>
      <c r="J13" s="9">
        <v>12</v>
      </c>
      <c r="K13" s="9">
        <v>20</v>
      </c>
      <c r="L13" s="9">
        <v>24</v>
      </c>
      <c r="M13" s="9">
        <v>43</v>
      </c>
      <c r="N13" s="9">
        <v>58</v>
      </c>
      <c r="O13" s="9">
        <v>77</v>
      </c>
      <c r="P13" s="9">
        <v>107</v>
      </c>
      <c r="Q13" s="9">
        <v>137</v>
      </c>
      <c r="R13" s="9">
        <v>180</v>
      </c>
      <c r="S13" s="9">
        <v>214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Switzerland</v>
      </c>
      <c r="D14" s="6">
        <f t="shared" si="7"/>
        <v>120</v>
      </c>
      <c r="E14" s="6">
        <f>IF(COUNTIF(I14:XFD14,"&gt;"&amp;0)=0,,HLOOKUP(COUNTIF(I14:XFD14,"&gt;"&amp;0)-1,I$1:XFD14,A14+1,FALSE))</f>
        <v>120</v>
      </c>
      <c r="F14" s="7">
        <f>IF(COUNTIF(I14:XFD14,"&gt;"&amp;0)=0,,HLOOKUP(COUNTIF(I14:XFD14,"&gt;"&amp;0)-MIN($F$1+1,COUNTIF(I14:XFD14,"&gt;"&amp;0)),I$1:XFD14,A14+1,FALSE))</f>
        <v>28</v>
      </c>
      <c r="G14" s="8">
        <f t="shared" si="8"/>
        <v>1.3378414360792155</v>
      </c>
      <c r="H14" s="13" t="s">
        <v>77</v>
      </c>
      <c r="I14" s="9">
        <v>11</v>
      </c>
      <c r="J14" s="9">
        <v>13</v>
      </c>
      <c r="K14" s="9">
        <v>14</v>
      </c>
      <c r="L14" s="9">
        <v>14</v>
      </c>
      <c r="M14" s="9">
        <v>27</v>
      </c>
      <c r="N14" s="9">
        <v>28</v>
      </c>
      <c r="O14" s="9">
        <v>41</v>
      </c>
      <c r="P14" s="9">
        <v>54</v>
      </c>
      <c r="Q14" s="9">
        <v>75</v>
      </c>
      <c r="R14" s="9">
        <v>98</v>
      </c>
      <c r="S14" s="9">
        <v>120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Korea, South</v>
      </c>
      <c r="D15" s="6">
        <f t="shared" si="7"/>
        <v>111</v>
      </c>
      <c r="E15" s="6">
        <f>IF(COUNTIF(I15:XFD15,"&gt;"&amp;0)=0,,HLOOKUP(COUNTIF(I15:XFD15,"&gt;"&amp;0)-1,I$1:XFD15,A15+1,FALSE))</f>
        <v>111</v>
      </c>
      <c r="F15" s="7">
        <f>IF(COUNTIF(I15:XFD15,"&gt;"&amp;0)=0,,HLOOKUP(COUNTIF(I15:XFD15,"&gt;"&amp;0)-MIN($F$1+1,COUNTIF(I15:XFD15,"&gt;"&amp;0)),I$1:XFD15,A15+1,FALSE))</f>
        <v>84</v>
      </c>
      <c r="G15" s="8">
        <f t="shared" si="8"/>
        <v>1.0573255782334066</v>
      </c>
      <c r="H15" s="13" t="s">
        <v>339</v>
      </c>
      <c r="I15" s="9">
        <v>8</v>
      </c>
      <c r="J15" s="9">
        <v>10</v>
      </c>
      <c r="K15" s="9">
        <v>12</v>
      </c>
      <c r="L15" s="9">
        <v>13</v>
      </c>
      <c r="M15" s="9">
        <v>13</v>
      </c>
      <c r="N15" s="9">
        <v>16</v>
      </c>
      <c r="O15" s="9">
        <v>17</v>
      </c>
      <c r="P15" s="9">
        <v>28</v>
      </c>
      <c r="Q15" s="9">
        <v>28</v>
      </c>
      <c r="R15" s="9">
        <v>35</v>
      </c>
      <c r="S15" s="9">
        <v>35</v>
      </c>
      <c r="T15" s="9">
        <v>42</v>
      </c>
      <c r="U15" s="9">
        <v>44</v>
      </c>
      <c r="V15" s="9">
        <v>50</v>
      </c>
      <c r="W15" s="9">
        <v>53</v>
      </c>
      <c r="X15" s="9">
        <v>54</v>
      </c>
      <c r="Y15" s="9">
        <v>60</v>
      </c>
      <c r="Z15" s="9">
        <v>66</v>
      </c>
      <c r="AA15" s="9">
        <v>66</v>
      </c>
      <c r="AB15" s="9">
        <v>72</v>
      </c>
      <c r="AC15" s="9">
        <v>75</v>
      </c>
      <c r="AD15" s="9">
        <v>75</v>
      </c>
      <c r="AE15" s="9">
        <v>81</v>
      </c>
      <c r="AF15" s="9">
        <v>84</v>
      </c>
      <c r="AG15" s="9">
        <v>91</v>
      </c>
      <c r="AH15" s="9">
        <v>94</v>
      </c>
      <c r="AI15" s="9">
        <v>102</v>
      </c>
      <c r="AJ15" s="9">
        <v>111</v>
      </c>
      <c r="AK15" s="9">
        <v>111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Belgium</v>
      </c>
      <c r="D16" s="6">
        <f t="shared" si="7"/>
        <v>88</v>
      </c>
      <c r="E16" s="6">
        <f>IF(COUNTIF(I16:XFD16,"&gt;"&amp;0)=0,,HLOOKUP(COUNTIF(I16:XFD16,"&gt;"&amp;0)-1,I$1:XFD16,A16+1,FALSE))</f>
        <v>88</v>
      </c>
      <c r="F16" s="7">
        <f>IF(COUNTIF(I16:XFD16,"&gt;"&amp;0)=0,,HLOOKUP(COUNTIF(I16:XFD16,"&gt;"&amp;0)-MIN($F$1+1,COUNTIF(I16:XFD16,"&gt;"&amp;0)),I$1:XFD16,A16+1,FALSE))</f>
        <v>14</v>
      </c>
      <c r="G16" s="8">
        <f t="shared" si="8"/>
        <v>1.4443449499839565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</row>
    <row r="17" spans="1:23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Indonesia</v>
      </c>
      <c r="D17" s="6">
        <f t="shared" si="7"/>
        <v>49</v>
      </c>
      <c r="E17" s="6">
        <f>IF(COUNTIF(I17:XFD17,"&gt;"&amp;0)=0,,HLOOKUP(COUNTIF(I17:XFD17,"&gt;"&amp;0)-1,I$1:XFD17,A17+1,FALSE))</f>
        <v>49</v>
      </c>
      <c r="F17" s="7">
        <f>IF(COUNTIF(I17:XFD17,"&gt;"&amp;0)=0,,HLOOKUP(COUNTIF(I17:XFD17,"&gt;"&amp;0)-MIN($F$1+1,COUNTIF(I17:XFD17,"&gt;"&amp;0)),I$1:XFD17,A17+1,FALSE))</f>
        <v>19</v>
      </c>
      <c r="G17" s="8">
        <f t="shared" si="8"/>
        <v>1.2086164356740265</v>
      </c>
      <c r="H17" s="13" t="s">
        <v>107</v>
      </c>
      <c r="I17" s="9">
        <v>19</v>
      </c>
      <c r="J17" s="9">
        <v>25</v>
      </c>
      <c r="K17" s="9">
        <v>32</v>
      </c>
      <c r="L17" s="9">
        <v>38</v>
      </c>
      <c r="M17" s="9">
        <v>48</v>
      </c>
      <c r="N17" s="9">
        <v>49</v>
      </c>
    </row>
    <row r="18" spans="1:23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Japan</v>
      </c>
      <c r="D18" s="6">
        <f t="shared" si="7"/>
        <v>42</v>
      </c>
      <c r="E18" s="6">
        <f>IF(COUNTIF(I18:XFD18,"&gt;"&amp;0)=0,,HLOOKUP(COUNTIF(I18:XFD18,"&gt;"&amp;0)-1,I$1:XFD18,A18+1,FALSE))</f>
        <v>42</v>
      </c>
      <c r="F18" s="7">
        <f>IF(COUNTIF(I18:XFD18,"&gt;"&amp;0)=0,,HLOOKUP(COUNTIF(I18:XFD18,"&gt;"&amp;0)-MIN($F$1+1,COUNTIF(I18:XFD18,"&gt;"&amp;0)),I$1:XFD18,A18+1,FALSE))</f>
        <v>29</v>
      </c>
      <c r="G18" s="8">
        <f t="shared" si="8"/>
        <v>1.0768873080616561</v>
      </c>
      <c r="H18" s="13" t="s">
        <v>36</v>
      </c>
      <c r="I18" s="9">
        <v>10</v>
      </c>
      <c r="J18" s="9">
        <v>10</v>
      </c>
      <c r="K18" s="9">
        <v>15</v>
      </c>
      <c r="L18" s="9">
        <v>16</v>
      </c>
      <c r="M18" s="9">
        <v>19</v>
      </c>
      <c r="N18" s="9">
        <v>22</v>
      </c>
      <c r="O18" s="9">
        <v>22</v>
      </c>
      <c r="P18" s="9">
        <v>27</v>
      </c>
      <c r="Q18" s="9">
        <v>29</v>
      </c>
      <c r="R18" s="9">
        <v>29</v>
      </c>
      <c r="S18" s="9">
        <v>29</v>
      </c>
      <c r="T18" s="9">
        <v>33</v>
      </c>
      <c r="U18" s="9">
        <v>35</v>
      </c>
      <c r="V18" s="9">
        <v>41</v>
      </c>
      <c r="W18" s="9">
        <v>42</v>
      </c>
    </row>
    <row r="19" spans="1:23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Turkey</v>
      </c>
      <c r="D19" s="6">
        <f t="shared" si="7"/>
        <v>37</v>
      </c>
      <c r="E19" s="6">
        <f>IF(COUNTIF(I19:XFD19,"&gt;"&amp;0)=0,,HLOOKUP(COUNTIF(I19:XFD19,"&gt;"&amp;0)-1,I$1:XFD19,A19+1,FALSE))</f>
        <v>37</v>
      </c>
      <c r="F19" s="7">
        <f>IF(COUNTIF(I19:XFD19,"&gt;"&amp;0)=0,,HLOOKUP(COUNTIF(I19:XFD19,"&gt;"&amp;0)-MIN($F$1+1,COUNTIF(I19:XFD19,"&gt;"&amp;0)),I$1:XFD19,A19+1,FALSE))</f>
        <v>9</v>
      </c>
      <c r="G19" s="8">
        <f t="shared" si="8"/>
        <v>2.0275875100994063</v>
      </c>
      <c r="H19" s="13" t="s">
        <v>355</v>
      </c>
      <c r="I19" s="9">
        <v>9</v>
      </c>
      <c r="J19" s="9">
        <v>30</v>
      </c>
      <c r="K19" s="9">
        <v>37</v>
      </c>
    </row>
    <row r="20" spans="1:23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Brazil</v>
      </c>
      <c r="D20" s="6">
        <f t="shared" si="7"/>
        <v>34</v>
      </c>
      <c r="E20" s="6">
        <f>IF(COUNTIF(I20:XFD20,"&gt;"&amp;0)=0,,HLOOKUP(COUNTIF(I20:XFD20,"&gt;"&amp;0)-1,I$1:XFD20,A20+1,FALSE))</f>
        <v>34</v>
      </c>
      <c r="F20" s="7">
        <f>IF(COUNTIF(I20:XFD20,"&gt;"&amp;0)=0,,HLOOKUP(COUNTIF(I20:XFD20,"&gt;"&amp;0)-MIN($F$1+1,COUNTIF(I20:XFD20,"&gt;"&amp;0)),I$1:XFD20,A20+1,FALSE))</f>
        <v>11</v>
      </c>
      <c r="G20" s="8">
        <f t="shared" si="8"/>
        <v>1.4566730228453515</v>
      </c>
      <c r="H20" s="13" t="s">
        <v>81</v>
      </c>
      <c r="I20" s="9">
        <v>11</v>
      </c>
      <c r="J20" s="9">
        <v>15</v>
      </c>
      <c r="K20" s="9">
        <v>25</v>
      </c>
      <c r="L20" s="9">
        <v>34</v>
      </c>
    </row>
    <row r="21" spans="1:23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Philippines</v>
      </c>
      <c r="D21" s="6">
        <f t="shared" si="7"/>
        <v>33</v>
      </c>
      <c r="E21" s="6">
        <f>IF(COUNTIF(I21:XFD21,"&gt;"&amp;0)=0,,HLOOKUP(COUNTIF(I21:XFD21,"&gt;"&amp;0)-1,I$1:XFD21,A21+1,FALSE))</f>
        <v>33</v>
      </c>
      <c r="F21" s="7">
        <f>IF(COUNTIF(I21:XFD21,"&gt;"&amp;0)=0,,HLOOKUP(COUNTIF(I21:XFD21,"&gt;"&amp;0)-MIN($F$1+1,COUNTIF(I21:XFD21,"&gt;"&amp;0)),I$1:XFD21,A21+1,FALSE))</f>
        <v>19</v>
      </c>
      <c r="G21" s="8">
        <f t="shared" si="8"/>
        <v>1.1167399886155498</v>
      </c>
      <c r="H21" s="13" t="s">
        <v>56</v>
      </c>
      <c r="I21" s="9">
        <v>8</v>
      </c>
      <c r="J21" s="9">
        <v>11</v>
      </c>
      <c r="K21" s="9">
        <v>12</v>
      </c>
      <c r="L21" s="9">
        <v>12</v>
      </c>
      <c r="M21" s="9">
        <v>19</v>
      </c>
      <c r="N21" s="9">
        <v>17</v>
      </c>
      <c r="O21" s="9">
        <v>18</v>
      </c>
      <c r="P21" s="9">
        <v>19</v>
      </c>
      <c r="Q21" s="9">
        <v>25</v>
      </c>
      <c r="R21" s="9">
        <v>33</v>
      </c>
    </row>
    <row r="22" spans="1:23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Sweden</v>
      </c>
      <c r="D22" s="6">
        <f t="shared" si="7"/>
        <v>25</v>
      </c>
      <c r="E22" s="6">
        <f>IF(COUNTIF(I22:XFD22,"&gt;"&amp;0)=0,,HLOOKUP(COUNTIF(I22:XFD22,"&gt;"&amp;0)-1,I$1:XFD22,A22+1,FALSE))</f>
        <v>25</v>
      </c>
      <c r="F22" s="7">
        <f>IF(COUNTIF(I22:XFD22,"&gt;"&amp;0)=0,,HLOOKUP(COUNTIF(I22:XFD22,"&gt;"&amp;0)-MIN($F$1+1,COUNTIF(I22:XFD22,"&gt;"&amp;0)),I$1:XFD22,A22+1,FALSE))</f>
        <v>10</v>
      </c>
      <c r="G22" s="8">
        <f t="shared" si="8"/>
        <v>1.2011244339814313</v>
      </c>
      <c r="H22" s="13" t="s">
        <v>59</v>
      </c>
      <c r="I22" s="9">
        <v>10</v>
      </c>
      <c r="J22" s="9">
        <v>11</v>
      </c>
      <c r="K22" s="9">
        <v>16</v>
      </c>
      <c r="L22" s="9">
        <v>20</v>
      </c>
      <c r="M22" s="9">
        <v>21</v>
      </c>
      <c r="N22" s="9">
        <v>25</v>
      </c>
    </row>
    <row r="23" spans="1:23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Canada</v>
      </c>
      <c r="D23" s="6">
        <f t="shared" si="7"/>
        <v>25</v>
      </c>
      <c r="E23" s="6">
        <f>IF(COUNTIF(I23:XFD23,"&gt;"&amp;0)=0,,HLOOKUP(COUNTIF(I23:XFD23,"&gt;"&amp;0)-1,I$1:XFD23,A23+1,FALSE))</f>
        <v>25</v>
      </c>
      <c r="F23" s="7">
        <f>IF(COUNTIF(I23:XFD23,"&gt;"&amp;0)=0,,HLOOKUP(COUNTIF(I23:XFD23,"&gt;"&amp;0)-MIN($F$1+1,COUNTIF(I23:XFD23,"&gt;"&amp;0)),I$1:XFD23,A23+1,FALSE))</f>
        <v>8</v>
      </c>
      <c r="G23" s="8">
        <f t="shared" si="8"/>
        <v>1.2559432157547901</v>
      </c>
      <c r="H23" s="13" t="s">
        <v>45</v>
      </c>
      <c r="I23" s="9">
        <v>8</v>
      </c>
      <c r="J23" s="9">
        <v>9</v>
      </c>
      <c r="K23" s="9">
        <v>12</v>
      </c>
      <c r="L23" s="9">
        <v>19</v>
      </c>
      <c r="M23" s="9">
        <v>21</v>
      </c>
      <c r="N23" s="9">
        <v>25</v>
      </c>
    </row>
    <row r="24" spans="1:23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Denmark</v>
      </c>
      <c r="D24" s="6">
        <f t="shared" si="7"/>
        <v>24</v>
      </c>
      <c r="E24" s="6">
        <f>IF(COUNTIF(I24:XFD24,"&gt;"&amp;0)=0,,HLOOKUP(COUNTIF(I24:XFD24,"&gt;"&amp;0)-1,I$1:XFD24,A24+1,FALSE))</f>
        <v>24</v>
      </c>
      <c r="F24" s="7">
        <f>IF(COUNTIF(I24:XFD24,"&gt;"&amp;0)=0,,HLOOKUP(COUNTIF(I24:XFD24,"&gt;"&amp;0)-MIN($F$1+1,COUNTIF(I24:XFD24,"&gt;"&amp;0)),I$1:XFD24,A24+1,FALSE))</f>
        <v>9</v>
      </c>
      <c r="G24" s="8">
        <f t="shared" si="8"/>
        <v>1.3867225487012693</v>
      </c>
      <c r="H24" s="13" t="s">
        <v>87</v>
      </c>
      <c r="I24" s="9">
        <v>9</v>
      </c>
      <c r="J24" s="9">
        <v>13</v>
      </c>
      <c r="K24" s="9">
        <v>13</v>
      </c>
      <c r="L24" s="9">
        <v>24</v>
      </c>
    </row>
    <row r="25" spans="1:23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Portugal</v>
      </c>
      <c r="D25" s="6">
        <f t="shared" si="7"/>
        <v>23</v>
      </c>
      <c r="E25" s="6">
        <f>IF(COUNTIF(I25:XFD25,"&gt;"&amp;0)=0,,HLOOKUP(COUNTIF(I25:XFD25,"&gt;"&amp;0)-1,I$1:XFD25,A25+1,FALSE))</f>
        <v>23</v>
      </c>
      <c r="F25" s="7">
        <f>IF(COUNTIF(I25:XFD25,"&gt;"&amp;0)=0,,HLOOKUP(COUNTIF(I25:XFD25,"&gt;"&amp;0)-MIN($F$1+1,COUNTIF(I25:XFD25,"&gt;"&amp;0)),I$1:XFD25,A25+1,FALSE))</f>
        <v>12</v>
      </c>
      <c r="G25" s="8">
        <f t="shared" si="8"/>
        <v>1.3844373104863459</v>
      </c>
      <c r="H25" s="13" t="s">
        <v>108</v>
      </c>
      <c r="I25" s="9">
        <v>12</v>
      </c>
      <c r="J25" s="9">
        <v>14</v>
      </c>
      <c r="K25" s="9">
        <v>23</v>
      </c>
    </row>
    <row r="26" spans="1:23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Iraq</v>
      </c>
      <c r="D26" s="6">
        <f t="shared" si="7"/>
        <v>23</v>
      </c>
      <c r="E26" s="6">
        <f>IF(COUNTIF(I26:XFD26,"&gt;"&amp;0)=0,,HLOOKUP(COUNTIF(I26:XFD26,"&gt;"&amp;0)-1,I$1:XFD26,A26+1,FALSE))</f>
        <v>23</v>
      </c>
      <c r="F26" s="7">
        <f>IF(COUNTIF(I26:XFD26,"&gt;"&amp;0)=0,,HLOOKUP(COUNTIF(I26:XFD26,"&gt;"&amp;0)-MIN($F$1+1,COUNTIF(I26:XFD26,"&gt;"&amp;0)),I$1:XFD26,A26+1,FALSE))</f>
        <v>12</v>
      </c>
      <c r="G26" s="8">
        <f t="shared" si="8"/>
        <v>1.1389622185878991</v>
      </c>
      <c r="H26" s="13" t="s">
        <v>70</v>
      </c>
      <c r="I26" s="9">
        <v>8</v>
      </c>
      <c r="J26" s="9">
        <v>9</v>
      </c>
      <c r="K26" s="9">
        <v>10</v>
      </c>
      <c r="L26" s="9">
        <v>10</v>
      </c>
      <c r="M26" s="9">
        <v>10</v>
      </c>
      <c r="N26" s="9">
        <v>11</v>
      </c>
      <c r="O26" s="9">
        <v>12</v>
      </c>
      <c r="P26" s="9">
        <v>13</v>
      </c>
      <c r="Q26" s="9">
        <v>17</v>
      </c>
      <c r="R26" s="9">
        <v>17</v>
      </c>
      <c r="S26" s="9">
        <v>20</v>
      </c>
      <c r="T26" s="9">
        <v>23</v>
      </c>
    </row>
    <row r="27" spans="1:23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Austria</v>
      </c>
      <c r="D27" s="6">
        <f t="shared" si="7"/>
        <v>21</v>
      </c>
      <c r="E27" s="6">
        <f>IF(COUNTIF(I27:XFD27,"&gt;"&amp;0)=0,,HLOOKUP(COUNTIF(I27:XFD27,"&gt;"&amp;0)-1,I$1:XFD27,A27+1,FALSE))</f>
        <v>21</v>
      </c>
      <c r="F27" s="7">
        <f>IF(COUNTIF(I27:XFD27,"&gt;"&amp;0)=0,,HLOOKUP(COUNTIF(I27:XFD27,"&gt;"&amp;0)-MIN($F$1+1,COUNTIF(I27:XFD27,"&gt;"&amp;0)),I$1:XFD27,A27+1,FALSE))</f>
        <v>8</v>
      </c>
      <c r="G27" s="8">
        <f t="shared" si="8"/>
        <v>1.6201851746019651</v>
      </c>
      <c r="H27" s="13" t="s">
        <v>78</v>
      </c>
      <c r="I27" s="9">
        <v>8</v>
      </c>
      <c r="J27" s="9">
        <v>16</v>
      </c>
      <c r="K27" s="9">
        <v>21</v>
      </c>
    </row>
    <row r="28" spans="1:23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San Marino</v>
      </c>
      <c r="D28" s="6">
        <f t="shared" si="7"/>
        <v>20</v>
      </c>
      <c r="E28" s="6">
        <f>IF(COUNTIF(I28:XFD28,"&gt;"&amp;0)=0,,HLOOKUP(COUNTIF(I28:XFD28,"&gt;"&amp;0)-1,I$1:XFD28,A28+1,FALSE))</f>
        <v>20</v>
      </c>
      <c r="F28" s="7">
        <f>IF(COUNTIF(I28:XFD28,"&gt;"&amp;0)=0,,HLOOKUP(COUNTIF(I28:XFD28,"&gt;"&amp;0)-MIN($F$1+1,COUNTIF(I28:XFD28,"&gt;"&amp;0)),I$1:XFD28,A28+1,FALSE))</f>
        <v>11</v>
      </c>
      <c r="G28" s="8">
        <f t="shared" si="8"/>
        <v>1.1270092020979254</v>
      </c>
      <c r="H28" s="13" t="s">
        <v>90</v>
      </c>
      <c r="I28" s="9">
        <v>11</v>
      </c>
      <c r="J28" s="9">
        <v>11</v>
      </c>
      <c r="K28" s="9">
        <v>14</v>
      </c>
      <c r="L28" s="9">
        <v>20</v>
      </c>
      <c r="M28" s="9">
        <v>20</v>
      </c>
      <c r="N28" s="9">
        <v>20</v>
      </c>
    </row>
    <row r="29" spans="1:23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Egypt</v>
      </c>
      <c r="D29" s="6">
        <f t="shared" si="7"/>
        <v>19</v>
      </c>
      <c r="E29" s="6">
        <f>IF(COUNTIF(I29:XFD29,"&gt;"&amp;0)=0,,HLOOKUP(COUNTIF(I29:XFD29,"&gt;"&amp;0)-1,I$1:XFD29,A29+1,FALSE))</f>
        <v>19</v>
      </c>
      <c r="F29" s="7">
        <f>IF(COUNTIF(I29:XFD29,"&gt;"&amp;0)=0,,HLOOKUP(COUNTIF(I29:XFD29,"&gt;"&amp;0)-MIN($F$1+1,COUNTIF(I29:XFD29,"&gt;"&amp;0)),I$1:XFD29,A29+1,FALSE))</f>
        <v>8</v>
      </c>
      <c r="G29" s="8">
        <f t="shared" si="8"/>
        <v>1.3342008243609724</v>
      </c>
      <c r="H29" s="13" t="s">
        <v>65</v>
      </c>
      <c r="I29" s="9">
        <v>8</v>
      </c>
      <c r="J29" s="9">
        <v>10</v>
      </c>
      <c r="K29" s="9">
        <v>14</v>
      </c>
      <c r="L29" s="9">
        <v>19</v>
      </c>
    </row>
    <row r="30" spans="1:23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Ecuador</v>
      </c>
      <c r="D30" s="6">
        <f t="shared" si="7"/>
        <v>18</v>
      </c>
      <c r="E30" s="6">
        <f>IF(COUNTIF(I30:XFD30,"&gt;"&amp;0)=0,,HLOOKUP(COUNTIF(I30:XFD30,"&gt;"&amp;0)-1,I$1:XFD30,A30+1,FALSE))</f>
        <v>18</v>
      </c>
      <c r="F30" s="7">
        <f>IF(COUNTIF(I30:XFD30,"&gt;"&amp;0)=0,,HLOOKUP(COUNTIF(I30:XFD30,"&gt;"&amp;0)-MIN($F$1+1,COUNTIF(I30:XFD30,"&gt;"&amp;0)),I$1:XFD30,A30+1,FALSE))</f>
        <v>14</v>
      </c>
      <c r="G30" s="8">
        <f t="shared" si="8"/>
        <v>1.2857142857142858</v>
      </c>
      <c r="H30" s="13" t="s">
        <v>103</v>
      </c>
      <c r="I30" s="9">
        <v>14</v>
      </c>
      <c r="J30" s="9">
        <v>18</v>
      </c>
    </row>
    <row r="31" spans="1:23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Greece</v>
      </c>
      <c r="D31" s="6">
        <f t="shared" si="7"/>
        <v>17</v>
      </c>
      <c r="E31" s="6">
        <f>IF(COUNTIF(I31:XFD31,"&gt;"&amp;0)=0,,HLOOKUP(COUNTIF(I31:XFD31,"&gt;"&amp;0)-1,I$1:XFD31,A31+1,FALSE))</f>
        <v>17</v>
      </c>
      <c r="F31" s="7">
        <f>IF(COUNTIF(I31:XFD31,"&gt;"&amp;0)=0,,HLOOKUP(COUNTIF(I31:XFD31,"&gt;"&amp;0)-MIN($F$1+1,COUNTIF(I31:XFD31,"&gt;"&amp;0)),I$1:XFD31,A31+1,FALSE))</f>
        <v>13</v>
      </c>
      <c r="G31" s="8">
        <f t="shared" si="8"/>
        <v>1.1435437497937313</v>
      </c>
      <c r="H31" s="13" t="s">
        <v>83</v>
      </c>
      <c r="I31" s="9">
        <v>13</v>
      </c>
      <c r="J31" s="9">
        <v>15</v>
      </c>
      <c r="K31" s="9">
        <v>17</v>
      </c>
    </row>
    <row r="32" spans="1:23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Algeria</v>
      </c>
      <c r="D32" s="6">
        <f t="shared" si="7"/>
        <v>17</v>
      </c>
      <c r="E32" s="6">
        <f>IF(COUNTIF(I32:XFD32,"&gt;"&amp;0)=0,,HLOOKUP(COUNTIF(I32:XFD32,"&gt;"&amp;0)-1,I$1:XFD32,A32+1,FALSE))</f>
        <v>17</v>
      </c>
      <c r="F32" s="7">
        <f>IF(COUNTIF(I32:XFD32,"&gt;"&amp;0)=0,,HLOOKUP(COUNTIF(I32:XFD32,"&gt;"&amp;0)-MIN($F$1+1,COUNTIF(I32:XFD32,"&gt;"&amp;0)),I$1:XFD32,A32+1,FALSE))</f>
        <v>9</v>
      </c>
      <c r="G32" s="8">
        <f t="shared" si="8"/>
        <v>1.1723346543852371</v>
      </c>
      <c r="H32" s="13" t="s">
        <v>75</v>
      </c>
      <c r="I32" s="9">
        <v>9</v>
      </c>
      <c r="J32" s="9">
        <v>11</v>
      </c>
      <c r="K32" s="9">
        <v>15</v>
      </c>
      <c r="L32" s="9">
        <v>17</v>
      </c>
      <c r="M32" s="9">
        <v>17</v>
      </c>
    </row>
    <row r="33" spans="1:11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Malaysia</v>
      </c>
      <c r="D33" s="6">
        <f t="shared" si="7"/>
        <v>14</v>
      </c>
      <c r="E33" s="6">
        <f>IF(COUNTIF(I33:XFD33,"&gt;"&amp;0)=0,,HLOOKUP(COUNTIF(I33:XFD33,"&gt;"&amp;0)-1,I$1:XFD33,A33+1,FALSE))</f>
        <v>14</v>
      </c>
      <c r="F33" s="7">
        <f>IF(COUNTIF(I33:XFD33,"&gt;"&amp;0)=0,,HLOOKUP(COUNTIF(I33:XFD33,"&gt;"&amp;0)-MIN($F$1+1,COUNTIF(I33:XFD33,"&gt;"&amp;0)),I$1:XFD33,A33+1,FALSE))</f>
        <v>10</v>
      </c>
      <c r="G33" s="8">
        <f t="shared" si="8"/>
        <v>1.4</v>
      </c>
      <c r="H33" s="13" t="s">
        <v>43</v>
      </c>
      <c r="I33" s="9">
        <v>10</v>
      </c>
      <c r="J33" s="9">
        <v>14</v>
      </c>
    </row>
    <row r="34" spans="1:11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Norway</v>
      </c>
      <c r="D34" s="6">
        <f t="shared" si="7"/>
        <v>10</v>
      </c>
      <c r="E34" s="6">
        <f>IF(COUNTIF(I34:XFD34,"&gt;"&amp;0)=0,,HLOOKUP(COUNTIF(I34:XFD34,"&gt;"&amp;0)-1,I$1:XFD34,A34+1,FALSE))</f>
        <v>10</v>
      </c>
      <c r="F34" s="7">
        <f>IF(COUNTIF(I34:XFD34,"&gt;"&amp;0)=0,,HLOOKUP(COUNTIF(I34:XFD34,"&gt;"&amp;0)-MIN($F$1+1,COUNTIF(I34:XFD34,"&gt;"&amp;0)),I$1:XFD34,A34+1,FALSE))</f>
        <v>10</v>
      </c>
      <c r="G34" s="8" t="e">
        <f t="shared" si="8"/>
        <v>#DIV/0!</v>
      </c>
      <c r="H34" s="13" t="s">
        <v>85</v>
      </c>
      <c r="I34" s="9">
        <v>10</v>
      </c>
    </row>
    <row r="35" spans="1:11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India</v>
      </c>
      <c r="D35" s="6">
        <f t="shared" si="7"/>
        <v>10</v>
      </c>
      <c r="E35" s="6">
        <f>IF(COUNTIF(I35:XFD35,"&gt;"&amp;0)=0,,HLOOKUP(COUNTIF(I35:XFD35,"&gt;"&amp;0)-1,I$1:XFD35,A35+1,FALSE))</f>
        <v>10</v>
      </c>
      <c r="F35" s="7">
        <f>IF(COUNTIF(I35:XFD35,"&gt;"&amp;0)=0,,HLOOKUP(COUNTIF(I35:XFD35,"&gt;"&amp;0)-MIN($F$1+1,COUNTIF(I35:XFD35,"&gt;"&amp;0)),I$1:XFD35,A35+1,FALSE))</f>
        <v>10</v>
      </c>
      <c r="G35" s="8" t="e">
        <f t="shared" si="8"/>
        <v>#DIV/0!</v>
      </c>
      <c r="H35" s="13" t="s">
        <v>57</v>
      </c>
      <c r="I35" s="9">
        <v>10</v>
      </c>
    </row>
    <row r="36" spans="1:11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Cruise Ship</v>
      </c>
      <c r="D36" s="6">
        <f t="shared" si="7"/>
        <v>8</v>
      </c>
      <c r="E36" s="6">
        <f>IF(COUNTIF(I36:XFD36,"&gt;"&amp;0)=0,,HLOOKUP(COUNTIF(I36:XFD36,"&gt;"&amp;0)-1,I$1:XFD36,A36+1,FALSE))</f>
        <v>8</v>
      </c>
      <c r="F36" s="7">
        <f>IF(COUNTIF(I36:XFD36,"&gt;"&amp;0)=0,,HLOOKUP(COUNTIF(I36:XFD36,"&gt;"&amp;0)-MIN($F$1+1,COUNTIF(I36:XFD36,"&gt;"&amp;0)),I$1:XFD36,A36+1,FALSE))</f>
        <v>8</v>
      </c>
      <c r="G36" s="8">
        <f t="shared" si="8"/>
        <v>1</v>
      </c>
      <c r="H36" s="13" t="s">
        <v>340</v>
      </c>
      <c r="I36" s="9">
        <v>8</v>
      </c>
      <c r="J36" s="9">
        <v>8</v>
      </c>
      <c r="K36" s="9">
        <v>8</v>
      </c>
    </row>
    <row r="37" spans="1:11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Poland</v>
      </c>
      <c r="D37" s="6">
        <f t="shared" si="7"/>
        <v>8</v>
      </c>
      <c r="E37" s="6">
        <f>IF(COUNTIF(I37:XFD37,"&gt;"&amp;0)=0,,HLOOKUP(COUNTIF(I37:XFD37,"&gt;"&amp;0)-1,I$1:XFD37,A37+1,FALSE))</f>
        <v>8</v>
      </c>
      <c r="F37" s="7">
        <f>IF(COUNTIF(I37:XFD37,"&gt;"&amp;0)=0,,HLOOKUP(COUNTIF(I37:XFD37,"&gt;"&amp;0)-MIN($F$1+1,COUNTIF(I37:XFD37,"&gt;"&amp;0)),I$1:XFD37,A37+1,FALSE))</f>
        <v>8</v>
      </c>
      <c r="G37" s="8" t="e">
        <f t="shared" si="8"/>
        <v>#DIV/0!</v>
      </c>
      <c r="H37" s="13" t="s">
        <v>137</v>
      </c>
      <c r="I37" s="9">
        <v>8</v>
      </c>
    </row>
    <row r="38" spans="1:11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Luxembourg</v>
      </c>
      <c r="D38" s="6">
        <f t="shared" si="7"/>
        <v>8</v>
      </c>
      <c r="E38" s="6">
        <f>IF(COUNTIF(I38:XFD38,"&gt;"&amp;0)=0,,HLOOKUP(COUNTIF(I38:XFD38,"&gt;"&amp;0)-1,I$1:XFD38,A38+1,FALSE))</f>
        <v>8</v>
      </c>
      <c r="F38" s="7">
        <f>IF(COUNTIF(I38:XFD38,"&gt;"&amp;0)=0,,HLOOKUP(COUNTIF(I38:XFD38,"&gt;"&amp;0)-MIN($F$1+1,COUNTIF(I38:XFD38,"&gt;"&amp;0)),I$1:XFD38,A38+1,FALSE))</f>
        <v>8</v>
      </c>
      <c r="G38" s="8">
        <f t="shared" si="8"/>
        <v>1</v>
      </c>
      <c r="H38" s="13" t="s">
        <v>99</v>
      </c>
      <c r="I38" s="9">
        <v>8</v>
      </c>
      <c r="J38" s="9">
        <v>8</v>
      </c>
      <c r="K38" s="9">
        <v>8</v>
      </c>
    </row>
    <row r="39" spans="1:11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/>
      </c>
      <c r="D39" s="6">
        <f t="shared" si="7"/>
        <v>0</v>
      </c>
      <c r="E39" s="6">
        <f>IF(COUNTIF(I39:XFD39,"&gt;"&amp;0)=0,,HLOOKUP(COUNTIF(I39:XFD39,"&gt;"&amp;0)-1,I$1:XFD39,A39+1,FALSE))</f>
        <v>0</v>
      </c>
      <c r="F39" s="7">
        <f>IF(COUNTIF(I39:XFD39,"&gt;"&amp;0)=0,,HLOOKUP(COUNTIF(I39:XFD39,"&gt;"&amp;0)-MIN($F$1+1,COUNTIF(I39:XFD39,"&gt;"&amp;0)),I$1:XFD39,A39+1,FALSE))</f>
        <v>0</v>
      </c>
      <c r="G39" s="8">
        <f t="shared" si="8"/>
        <v>0</v>
      </c>
    </row>
    <row r="40" spans="1:11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/>
      </c>
      <c r="D40" s="6">
        <f t="shared" si="7"/>
        <v>0</v>
      </c>
      <c r="E40" s="6">
        <f>IF(COUNTIF(I40:XFD40,"&gt;"&amp;0)=0,,HLOOKUP(COUNTIF(I40:XFD40,"&gt;"&amp;0)-1,I$1:XFD40,A40+1,FALSE))</f>
        <v>0</v>
      </c>
      <c r="F40" s="7">
        <f>IF(COUNTIF(I40:XFD40,"&gt;"&amp;0)=0,,HLOOKUP(COUNTIF(I40:XFD40,"&gt;"&amp;0)-MIN($F$1+1,COUNTIF(I40:XFD40,"&gt;"&amp;0)),I$1:XFD40,A40+1,FALSE))</f>
        <v>0</v>
      </c>
      <c r="G40" s="8">
        <f t="shared" si="8"/>
        <v>0</v>
      </c>
    </row>
    <row r="41" spans="1:11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/>
      </c>
      <c r="D41" s="6">
        <f t="shared" si="7"/>
        <v>0</v>
      </c>
      <c r="E41" s="6">
        <f>IF(COUNTIF(I41:XFD41,"&gt;"&amp;0)=0,,HLOOKUP(COUNTIF(I41:XFD41,"&gt;"&amp;0)-1,I$1:XFD41,A41+1,FALSE))</f>
        <v>0</v>
      </c>
      <c r="F41" s="7">
        <f>IF(COUNTIF(I41:XFD41,"&gt;"&amp;0)=0,,HLOOKUP(COUNTIF(I41:XFD41,"&gt;"&amp;0)-MIN($F$1+1,COUNTIF(I41:XFD41,"&gt;"&amp;0)),I$1:XFD41,A41+1,FALSE))</f>
        <v>0</v>
      </c>
      <c r="G41" s="8">
        <f t="shared" si="8"/>
        <v>0</v>
      </c>
    </row>
    <row r="42" spans="1:11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/>
      </c>
      <c r="D42" s="6">
        <f t="shared" si="7"/>
        <v>0</v>
      </c>
      <c r="E42" s="6">
        <f>IF(COUNTIF(I42:XFD42,"&gt;"&amp;0)=0,,HLOOKUP(COUNTIF(I42:XFD42,"&gt;"&amp;0)-1,I$1:XFD42,A42+1,FALSE))</f>
        <v>0</v>
      </c>
      <c r="F42" s="7">
        <f>IF(COUNTIF(I42:XFD42,"&gt;"&amp;0)=0,,HLOOKUP(COUNTIF(I42:XFD42,"&gt;"&amp;0)-MIN($F$1+1,COUNTIF(I42:XFD42,"&gt;"&amp;0)),I$1:XFD42,A42+1,FALSE))</f>
        <v>0</v>
      </c>
      <c r="G42" s="8">
        <f t="shared" si="8"/>
        <v>0</v>
      </c>
    </row>
    <row r="43" spans="1:11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/>
      </c>
      <c r="D43" s="6">
        <f t="shared" si="7"/>
        <v>0</v>
      </c>
      <c r="E43" s="6">
        <f>IF(COUNTIF(I43:XFD43,"&gt;"&amp;0)=0,,HLOOKUP(COUNTIF(I43:XFD43,"&gt;"&amp;0)-1,I$1:XFD43,A43+1,FALSE))</f>
        <v>0</v>
      </c>
      <c r="F43" s="7">
        <f>IF(COUNTIF(I43:XFD43,"&gt;"&amp;0)=0,,HLOOKUP(COUNTIF(I43:XFD43,"&gt;"&amp;0)-MIN($F$1+1,COUNTIF(I43:XFD43,"&gt;"&amp;0)),I$1:XFD43,A43+1,FALSE))</f>
        <v>0</v>
      </c>
      <c r="G43" s="8">
        <f t="shared" si="8"/>
        <v>0</v>
      </c>
    </row>
    <row r="44" spans="1:11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/>
      </c>
      <c r="D44" s="6">
        <f t="shared" si="7"/>
        <v>0</v>
      </c>
      <c r="E44" s="6">
        <f>IF(COUNTIF(I44:XFD44,"&gt;"&amp;0)=0,,HLOOKUP(COUNTIF(I44:XFD44,"&gt;"&amp;0)-1,I$1:XFD44,A44+1,FALSE))</f>
        <v>0</v>
      </c>
      <c r="F44" s="7">
        <f>IF(COUNTIF(I44:XFD44,"&gt;"&amp;0)=0,,HLOOKUP(COUNTIF(I44:XFD44,"&gt;"&amp;0)-MIN($F$1+1,COUNTIF(I44:XFD44,"&gt;"&amp;0)),I$1:XFD44,A44+1,FALSE))</f>
        <v>0</v>
      </c>
      <c r="G44" s="8">
        <f t="shared" si="8"/>
        <v>0</v>
      </c>
    </row>
    <row r="45" spans="1:11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/>
      </c>
      <c r="D45" s="6">
        <f t="shared" si="7"/>
        <v>0</v>
      </c>
      <c r="E45" s="6">
        <f>IF(COUNTIF(I45:XFD45,"&gt;"&amp;0)=0,,HLOOKUP(COUNTIF(I45:XFD45,"&gt;"&amp;0)-1,I$1:XFD45,A45+1,FALSE))</f>
        <v>0</v>
      </c>
      <c r="F45" s="7">
        <f>IF(COUNTIF(I45:XFD45,"&gt;"&amp;0)=0,,HLOOKUP(COUNTIF(I45:XFD45,"&gt;"&amp;0)-MIN($F$1+1,COUNTIF(I45:XFD45,"&gt;"&amp;0)),I$1:XFD45,A45+1,FALSE))</f>
        <v>0</v>
      </c>
      <c r="G45" s="8">
        <f t="shared" si="8"/>
        <v>0</v>
      </c>
    </row>
    <row r="46" spans="1:11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/>
      </c>
      <c r="D46" s="6">
        <f t="shared" si="7"/>
        <v>0</v>
      </c>
      <c r="E46" s="6">
        <f>IF(COUNTIF(I46:XFD46,"&gt;"&amp;0)=0,,HLOOKUP(COUNTIF(I46:XFD46,"&gt;"&amp;0)-1,I$1:XFD46,A46+1,FALSE))</f>
        <v>0</v>
      </c>
      <c r="F46" s="7">
        <f>IF(COUNTIF(I46:XFD46,"&gt;"&amp;0)=0,,HLOOKUP(COUNTIF(I46:XFD46,"&gt;"&amp;0)-MIN($F$1+1,COUNTIF(I46:XFD46,"&gt;"&amp;0)),I$1:XFD46,A46+1,FALSE))</f>
        <v>0</v>
      </c>
      <c r="G46" s="8">
        <f t="shared" si="8"/>
        <v>0</v>
      </c>
    </row>
    <row r="47" spans="1:11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/>
      </c>
      <c r="D47" s="6">
        <f t="shared" si="7"/>
        <v>0</v>
      </c>
      <c r="E47" s="6">
        <f>IF(COUNTIF(I47:XFD47,"&gt;"&amp;0)=0,,HLOOKUP(COUNTIF(I47:XFD47,"&gt;"&amp;0)-1,I$1:XFD47,A47+1,FALSE))</f>
        <v>0</v>
      </c>
      <c r="F47" s="7">
        <f>IF(COUNTIF(I47:XFD47,"&gt;"&amp;0)=0,,HLOOKUP(COUNTIF(I47:XFD47,"&gt;"&amp;0)-MIN($F$1+1,COUNTIF(I47:XFD47,"&gt;"&amp;0)),I$1:XFD47,A47+1,FALSE))</f>
        <v>0</v>
      </c>
      <c r="G47" s="8">
        <f t="shared" si="8"/>
        <v>0</v>
      </c>
    </row>
    <row r="48" spans="1:11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/>
      </c>
      <c r="D48" s="6">
        <f t="shared" si="7"/>
        <v>0</v>
      </c>
      <c r="E48" s="6">
        <f>IF(COUNTIF(I48:XFD48,"&gt;"&amp;0)=0,,HLOOKUP(COUNTIF(I48:XFD48,"&gt;"&amp;0)-1,I$1:XFD48,A48+1,FALSE))</f>
        <v>0</v>
      </c>
      <c r="F48" s="7">
        <f>IF(COUNTIF(I48:XFD48,"&gt;"&amp;0)=0,,HLOOKUP(COUNTIF(I48:XFD48,"&gt;"&amp;0)-MIN($F$1+1,COUNTIF(I48:XFD48,"&gt;"&amp;0)),I$1:XFD48,A48+1,FALSE))</f>
        <v>0</v>
      </c>
      <c r="G48" s="8">
        <f t="shared" si="8"/>
        <v>0</v>
      </c>
    </row>
    <row r="49" spans="1:7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/>
      </c>
      <c r="D49" s="6">
        <f t="shared" si="7"/>
        <v>0</v>
      </c>
      <c r="E49" s="6">
        <f>IF(COUNTIF(I49:XFD49,"&gt;"&amp;0)=0,,HLOOKUP(COUNTIF(I49:XFD49,"&gt;"&amp;0)-1,I$1:XFD49,A49+1,FALSE))</f>
        <v>0</v>
      </c>
      <c r="F49" s="7">
        <f>IF(COUNTIF(I49:XFD49,"&gt;"&amp;0)=0,,HLOOKUP(COUNTIF(I49:XFD49,"&gt;"&amp;0)-MIN($F$1+1,COUNTIF(I49:XFD49,"&gt;"&amp;0)),I$1:XFD49,A49+1,FALSE))</f>
        <v>0</v>
      </c>
      <c r="G49" s="8">
        <f t="shared" si="8"/>
        <v>0</v>
      </c>
    </row>
    <row r="50" spans="1:7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/>
      </c>
      <c r="D50" s="6">
        <f t="shared" si="7"/>
        <v>0</v>
      </c>
      <c r="E50" s="6">
        <f>IF(COUNTIF(I50:XFD50,"&gt;"&amp;0)=0,,HLOOKUP(COUNTIF(I50:XFD50,"&gt;"&amp;0)-1,I$1:XFD50,A50+1,FALSE))</f>
        <v>0</v>
      </c>
      <c r="F50" s="7">
        <f>IF(COUNTIF(I50:XFD50,"&gt;"&amp;0)=0,,HLOOKUP(COUNTIF(I50:XFD50,"&gt;"&amp;0)-MIN($F$1+1,COUNTIF(I50:XFD50,"&gt;"&amp;0)),I$1:XFD50,A50+1,FALSE))</f>
        <v>0</v>
      </c>
      <c r="G50" s="8">
        <f t="shared" si="8"/>
        <v>0</v>
      </c>
    </row>
    <row r="51" spans="1:7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/>
      </c>
      <c r="D51" s="6">
        <f t="shared" si="7"/>
        <v>0</v>
      </c>
      <c r="E51" s="6">
        <f>IF(COUNTIF(I51:XFD51,"&gt;"&amp;0)=0,,HLOOKUP(COUNTIF(I51:XFD51,"&gt;"&amp;0)-1,I$1:XFD51,A51+1,FALSE))</f>
        <v>0</v>
      </c>
      <c r="F51" s="7">
        <f>IF(COUNTIF(I51:XFD51,"&gt;"&amp;0)=0,,HLOOKUP(COUNTIF(I51:XFD51,"&gt;"&amp;0)-MIN($F$1+1,COUNTIF(I51:XFD51,"&gt;"&amp;0)),I$1:XFD51,A51+1,FALSE))</f>
        <v>0</v>
      </c>
      <c r="G51" s="8">
        <f t="shared" si="8"/>
        <v>0</v>
      </c>
    </row>
    <row r="52" spans="1:7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/>
      </c>
      <c r="D52" s="6">
        <f t="shared" si="7"/>
        <v>0</v>
      </c>
      <c r="E52" s="6">
        <f>IF(COUNTIF(I52:XFD52,"&gt;"&amp;0)=0,,HLOOKUP(COUNTIF(I52:XFD52,"&gt;"&amp;0)-1,I$1:XFD52,A52+1,FALSE))</f>
        <v>0</v>
      </c>
      <c r="F52" s="7">
        <f>IF(COUNTIF(I52:XFD52,"&gt;"&amp;0)=0,,HLOOKUP(COUNTIF(I52:XFD52,"&gt;"&amp;0)-MIN($F$1+1,COUNTIF(I52:XFD52,"&gt;"&amp;0)),I$1:XFD52,A52+1,FALSE))</f>
        <v>0</v>
      </c>
      <c r="G52" s="8">
        <f t="shared" si="8"/>
        <v>0</v>
      </c>
    </row>
    <row r="53" spans="1:7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/>
      </c>
      <c r="D53" s="6">
        <f t="shared" si="7"/>
        <v>0</v>
      </c>
      <c r="E53" s="6">
        <f>IF(COUNTIF(I53:XFD53,"&gt;"&amp;0)=0,,HLOOKUP(COUNTIF(I53:XFD53,"&gt;"&amp;0)-1,I$1:XFD53,A53+1,FALSE))</f>
        <v>0</v>
      </c>
      <c r="F53" s="7">
        <f>IF(COUNTIF(I53:XFD53,"&gt;"&amp;0)=0,,HLOOKUP(COUNTIF(I53:XFD53,"&gt;"&amp;0)-MIN($F$1+1,COUNTIF(I53:XFD53,"&gt;"&amp;0)),I$1:XFD53,A53+1,FALSE))</f>
        <v>0</v>
      </c>
      <c r="G53" s="8">
        <f t="shared" si="8"/>
        <v>0</v>
      </c>
    </row>
    <row r="54" spans="1:7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/>
      </c>
      <c r="D54" s="6">
        <f t="shared" si="7"/>
        <v>0</v>
      </c>
      <c r="E54" s="6">
        <f>IF(COUNTIF(I54:XFD54,"&gt;"&amp;0)=0,,HLOOKUP(COUNTIF(I54:XFD54,"&gt;"&amp;0)-1,I$1:XFD54,A54+1,FALSE))</f>
        <v>0</v>
      </c>
      <c r="F54" s="7">
        <f>IF(COUNTIF(I54:XFD54,"&gt;"&amp;0)=0,,HLOOKUP(COUNTIF(I54:XFD54,"&gt;"&amp;0)-MIN($F$1+1,COUNTIF(I54:XFD54,"&gt;"&amp;0)),I$1:XFD54,A54+1,FALSE))</f>
        <v>0</v>
      </c>
      <c r="G54" s="8">
        <f t="shared" si="8"/>
        <v>0</v>
      </c>
    </row>
    <row r="55" spans="1:7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/>
      </c>
      <c r="D55" s="6">
        <f t="shared" si="7"/>
        <v>0</v>
      </c>
      <c r="E55" s="6">
        <f>IF(COUNTIF(I55:XFD55,"&gt;"&amp;0)=0,,HLOOKUP(COUNTIF(I55:XFD55,"&gt;"&amp;0)-1,I$1:XFD55,A55+1,FALSE))</f>
        <v>0</v>
      </c>
      <c r="F55" s="7">
        <f>IF(COUNTIF(I55:XFD55,"&gt;"&amp;0)=0,,HLOOKUP(COUNTIF(I55:XFD55,"&gt;"&amp;0)-MIN($F$1+1,COUNTIF(I55:XFD55,"&gt;"&amp;0)),I$1:XFD55,A55+1,FALSE))</f>
        <v>0</v>
      </c>
      <c r="G55" s="8">
        <f t="shared" si="8"/>
        <v>0</v>
      </c>
    </row>
    <row r="56" spans="1:7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/>
      </c>
      <c r="D56" s="6">
        <f t="shared" si="7"/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 t="shared" si="8"/>
        <v>0</v>
      </c>
    </row>
    <row r="57" spans="1:7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/>
      </c>
      <c r="D57" s="6">
        <f t="shared" si="7"/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 t="shared" si="8"/>
        <v>0</v>
      </c>
    </row>
    <row r="58" spans="1:7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/>
      </c>
      <c r="D58" s="6">
        <f t="shared" si="7"/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 t="shared" si="8"/>
        <v>0</v>
      </c>
    </row>
    <row r="59" spans="1:7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/>
      </c>
      <c r="D59" s="6">
        <f t="shared" si="7"/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 t="shared" si="8"/>
        <v>0</v>
      </c>
    </row>
    <row r="60" spans="1:7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/>
      </c>
      <c r="D60" s="6">
        <f t="shared" si="7"/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 t="shared" si="8"/>
        <v>0</v>
      </c>
    </row>
    <row r="61" spans="1:7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/>
      </c>
      <c r="D61" s="6">
        <f t="shared" si="7"/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 t="shared" si="8"/>
        <v>0</v>
      </c>
    </row>
    <row r="62" spans="1:7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/>
      </c>
      <c r="D62" s="6">
        <f t="shared" si="7"/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 t="shared" si="8"/>
        <v>0</v>
      </c>
    </row>
    <row r="63" spans="1:7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/>
      </c>
      <c r="D63" s="6">
        <f t="shared" si="7"/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 t="shared" si="8"/>
        <v>0</v>
      </c>
    </row>
    <row r="64" spans="1:7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/>
      </c>
      <c r="D64" s="6">
        <f t="shared" si="7"/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 t="shared" si="8"/>
        <v>0</v>
      </c>
    </row>
    <row r="65" spans="1:7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/>
      </c>
      <c r="D65" s="6">
        <f t="shared" si="7"/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 t="shared" si="8"/>
        <v>0</v>
      </c>
    </row>
    <row r="66" spans="1:7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/>
      </c>
      <c r="D66" s="6">
        <f t="shared" si="7"/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 t="shared" si="8"/>
        <v>0</v>
      </c>
    </row>
    <row r="67" spans="1:7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/>
      </c>
      <c r="D67" s="6">
        <f t="shared" si="7"/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 t="shared" si="8"/>
        <v>0</v>
      </c>
    </row>
    <row r="68" spans="1:7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/>
      </c>
      <c r="D68" s="6">
        <f t="shared" si="7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8"/>
        <v>0</v>
      </c>
    </row>
    <row r="69" spans="1:7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/>
      </c>
      <c r="D69" s="6">
        <f t="shared" si="7"/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8"/>
        <v>0</v>
      </c>
    </row>
    <row r="70" spans="1:7" x14ac:dyDescent="0.25">
      <c r="A70" s="9">
        <f t="shared" ref="A70:A133" si="9">A69+1</f>
        <v>69</v>
      </c>
      <c r="B70" s="9">
        <f t="array" ref="B70">IF(C70="",0,IF(OR(C70=Country_Comparison!$S$10:$S$29),1,0))</f>
        <v>0</v>
      </c>
      <c r="C70" s="9" t="str">
        <f t="shared" ref="C70:C133" si="10">IF(H70="","",H70)</f>
        <v/>
      </c>
      <c r="D70" s="6">
        <f t="shared" ref="D70:D133" si="11"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ref="G70:G133" si="12">IF(COUNTIF(I70:XFD70,"&gt;"&amp;0)=0,,(E70/F70)^(1/MIN(COUNTIF(I70:XFD70,"&gt;"&amp;0)-1,$F$1)))</f>
        <v>0</v>
      </c>
    </row>
    <row r="71" spans="1:7" x14ac:dyDescent="0.25">
      <c r="A71" s="9">
        <f t="shared" si="9"/>
        <v>70</v>
      </c>
      <c r="B71" s="9">
        <f t="array" ref="B71">IF(C71="",0,IF(OR(C71=Country_Comparison!$S$10:$S$29),1,0))</f>
        <v>0</v>
      </c>
      <c r="C71" s="9" t="str">
        <f t="shared" si="10"/>
        <v/>
      </c>
      <c r="D71" s="6">
        <f t="shared" si="11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2"/>
        <v>0</v>
      </c>
    </row>
    <row r="72" spans="1:7" x14ac:dyDescent="0.25">
      <c r="A72" s="9">
        <f t="shared" si="9"/>
        <v>71</v>
      </c>
      <c r="B72" s="9">
        <f t="array" ref="B72">IF(C72="",0,IF(OR(C72=Country_Comparison!$S$10:$S$29),1,0))</f>
        <v>0</v>
      </c>
      <c r="C72" s="9" t="str">
        <f t="shared" si="10"/>
        <v/>
      </c>
      <c r="D72" s="6">
        <f t="shared" si="11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2"/>
        <v>0</v>
      </c>
    </row>
    <row r="73" spans="1:7" x14ac:dyDescent="0.25">
      <c r="A73" s="9">
        <f t="shared" si="9"/>
        <v>72</v>
      </c>
      <c r="B73" s="9">
        <f t="array" ref="B73">IF(C73="",0,IF(OR(C73=Country_Comparison!$S$10:$S$29),1,0))</f>
        <v>0</v>
      </c>
      <c r="C73" s="9" t="str">
        <f t="shared" si="10"/>
        <v/>
      </c>
      <c r="D73" s="6">
        <f t="shared" si="11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2"/>
        <v>0</v>
      </c>
    </row>
    <row r="74" spans="1:7" x14ac:dyDescent="0.25">
      <c r="A74" s="9">
        <f t="shared" si="9"/>
        <v>73</v>
      </c>
      <c r="B74" s="9">
        <f t="array" ref="B74">IF(C74="",0,IF(OR(C74=Country_Comparison!$S$10:$S$29),1,0))</f>
        <v>0</v>
      </c>
      <c r="C74" s="9" t="str">
        <f t="shared" si="10"/>
        <v/>
      </c>
      <c r="D74" s="6">
        <f t="shared" si="11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2"/>
        <v>0</v>
      </c>
    </row>
    <row r="75" spans="1:7" x14ac:dyDescent="0.25">
      <c r="A75" s="9">
        <f t="shared" si="9"/>
        <v>74</v>
      </c>
      <c r="B75" s="9">
        <f t="array" ref="B75">IF(C75="",0,IF(OR(C75=Country_Comparison!$S$10:$S$29),1,0))</f>
        <v>0</v>
      </c>
      <c r="C75" s="9" t="str">
        <f t="shared" si="10"/>
        <v/>
      </c>
      <c r="D75" s="6">
        <f t="shared" si="11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2"/>
        <v>0</v>
      </c>
    </row>
    <row r="76" spans="1:7" x14ac:dyDescent="0.25">
      <c r="A76" s="9">
        <f t="shared" si="9"/>
        <v>75</v>
      </c>
      <c r="B76" s="9">
        <f t="array" ref="B76">IF(C76="",0,IF(OR(C76=Country_Comparison!$S$10:$S$29),1,0))</f>
        <v>0</v>
      </c>
      <c r="C76" s="9" t="str">
        <f t="shared" si="10"/>
        <v/>
      </c>
      <c r="D76" s="6">
        <f t="shared" si="11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2"/>
        <v>0</v>
      </c>
    </row>
    <row r="77" spans="1:7" x14ac:dyDescent="0.25">
      <c r="A77" s="9">
        <f t="shared" si="9"/>
        <v>76</v>
      </c>
      <c r="B77" s="9">
        <f t="array" ref="B77">IF(C77="",0,IF(OR(C77=Country_Comparison!$S$10:$S$29),1,0))</f>
        <v>0</v>
      </c>
      <c r="C77" s="9" t="str">
        <f t="shared" si="10"/>
        <v/>
      </c>
      <c r="D77" s="6">
        <f t="shared" si="11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2"/>
        <v>0</v>
      </c>
    </row>
    <row r="78" spans="1:7" x14ac:dyDescent="0.25">
      <c r="A78" s="9">
        <f t="shared" si="9"/>
        <v>77</v>
      </c>
      <c r="B78" s="9">
        <f t="array" ref="B78">IF(C78="",0,IF(OR(C78=Country_Comparison!$S$10:$S$29),1,0))</f>
        <v>0</v>
      </c>
      <c r="C78" s="9" t="str">
        <f t="shared" si="10"/>
        <v/>
      </c>
      <c r="D78" s="6">
        <f t="shared" si="11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2"/>
        <v>0</v>
      </c>
    </row>
    <row r="79" spans="1:7" x14ac:dyDescent="0.25">
      <c r="A79" s="9">
        <f t="shared" si="9"/>
        <v>78</v>
      </c>
      <c r="B79" s="9">
        <f t="array" ref="B79">IF(C79="",0,IF(OR(C79=Country_Comparison!$S$10:$S$29),1,0))</f>
        <v>0</v>
      </c>
      <c r="C79" s="9" t="str">
        <f t="shared" si="10"/>
        <v/>
      </c>
      <c r="D79" s="6">
        <f t="shared" si="11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2"/>
        <v>0</v>
      </c>
    </row>
    <row r="80" spans="1:7" x14ac:dyDescent="0.25">
      <c r="A80" s="9">
        <f t="shared" si="9"/>
        <v>79</v>
      </c>
      <c r="B80" s="9">
        <f t="array" ref="B80">IF(C80="",0,IF(OR(C80=Country_Comparison!$S$10:$S$29),1,0))</f>
        <v>0</v>
      </c>
      <c r="C80" s="9" t="str">
        <f t="shared" si="10"/>
        <v/>
      </c>
      <c r="D80" s="6">
        <f t="shared" si="11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2"/>
        <v>0</v>
      </c>
    </row>
    <row r="81" spans="1:7" x14ac:dyDescent="0.25">
      <c r="A81" s="9">
        <f t="shared" si="9"/>
        <v>80</v>
      </c>
      <c r="B81" s="9">
        <f t="array" ref="B81">IF(C81="",0,IF(OR(C81=Country_Comparison!$S$10:$S$29),1,0))</f>
        <v>0</v>
      </c>
      <c r="C81" s="9" t="str">
        <f t="shared" si="10"/>
        <v/>
      </c>
      <c r="D81" s="6">
        <f t="shared" si="11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2"/>
        <v>0</v>
      </c>
    </row>
    <row r="82" spans="1:7" x14ac:dyDescent="0.25">
      <c r="A82" s="9">
        <f t="shared" si="9"/>
        <v>81</v>
      </c>
      <c r="B82" s="9">
        <f t="array" ref="B82">IF(C82="",0,IF(OR(C82=Country_Comparison!$S$10:$S$29),1,0))</f>
        <v>0</v>
      </c>
      <c r="C82" s="9" t="str">
        <f t="shared" si="10"/>
        <v/>
      </c>
      <c r="D82" s="6">
        <f t="shared" si="11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2"/>
        <v>0</v>
      </c>
    </row>
    <row r="83" spans="1:7" x14ac:dyDescent="0.25">
      <c r="A83" s="9">
        <f t="shared" si="9"/>
        <v>82</v>
      </c>
      <c r="B83" s="9">
        <f t="array" ref="B83">IF(C83="",0,IF(OR(C83=Country_Comparison!$S$10:$S$29),1,0))</f>
        <v>0</v>
      </c>
      <c r="C83" s="9" t="str">
        <f t="shared" si="10"/>
        <v/>
      </c>
      <c r="D83" s="6">
        <f t="shared" si="11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2"/>
        <v>0</v>
      </c>
    </row>
    <row r="84" spans="1:7" x14ac:dyDescent="0.25">
      <c r="A84" s="9">
        <f t="shared" si="9"/>
        <v>83</v>
      </c>
      <c r="B84" s="9">
        <f t="array" ref="B84">IF(C84="",0,IF(OR(C84=Country_Comparison!$S$10:$S$29),1,0))</f>
        <v>0</v>
      </c>
      <c r="C84" s="9" t="str">
        <f t="shared" si="10"/>
        <v/>
      </c>
      <c r="D84" s="6">
        <f t="shared" si="11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2"/>
        <v>0</v>
      </c>
    </row>
    <row r="85" spans="1:7" x14ac:dyDescent="0.25">
      <c r="A85" s="9">
        <f t="shared" si="9"/>
        <v>84</v>
      </c>
      <c r="B85" s="9">
        <f t="array" ref="B85">IF(C85="",0,IF(OR(C85=Country_Comparison!$S$10:$S$29),1,0))</f>
        <v>0</v>
      </c>
      <c r="C85" s="9" t="str">
        <f t="shared" si="10"/>
        <v/>
      </c>
      <c r="D85" s="6">
        <f t="shared" si="11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2"/>
        <v>0</v>
      </c>
    </row>
    <row r="86" spans="1:7" x14ac:dyDescent="0.25">
      <c r="A86" s="9">
        <f t="shared" si="9"/>
        <v>85</v>
      </c>
      <c r="B86" s="9">
        <f t="array" ref="B86">IF(C86="",0,IF(OR(C86=Country_Comparison!$S$10:$S$29),1,0))</f>
        <v>0</v>
      </c>
      <c r="C86" s="9" t="str">
        <f t="shared" si="10"/>
        <v/>
      </c>
      <c r="D86" s="6">
        <f t="shared" si="11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2"/>
        <v>0</v>
      </c>
    </row>
    <row r="87" spans="1:7" x14ac:dyDescent="0.25">
      <c r="A87" s="9">
        <f t="shared" si="9"/>
        <v>86</v>
      </c>
      <c r="B87" s="9">
        <f t="array" ref="B87">IF(C87="",0,IF(OR(C87=Country_Comparison!$S$10:$S$29),1,0))</f>
        <v>0</v>
      </c>
      <c r="C87" s="9" t="str">
        <f t="shared" si="10"/>
        <v/>
      </c>
      <c r="D87" s="6">
        <f t="shared" si="11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2"/>
        <v>0</v>
      </c>
    </row>
    <row r="88" spans="1:7" x14ac:dyDescent="0.25">
      <c r="A88" s="9">
        <f t="shared" si="9"/>
        <v>87</v>
      </c>
      <c r="B88" s="9">
        <f t="array" ref="B88">IF(C88="",0,IF(OR(C88=Country_Comparison!$S$10:$S$29),1,0))</f>
        <v>0</v>
      </c>
      <c r="C88" s="9" t="str">
        <f t="shared" si="10"/>
        <v/>
      </c>
      <c r="D88" s="6">
        <f t="shared" si="11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2"/>
        <v>0</v>
      </c>
    </row>
    <row r="89" spans="1:7" x14ac:dyDescent="0.25">
      <c r="A89" s="9">
        <f t="shared" si="9"/>
        <v>88</v>
      </c>
      <c r="B89" s="9">
        <f t="array" ref="B89">IF(C89="",0,IF(OR(C89=Country_Comparison!$S$10:$S$29),1,0))</f>
        <v>0</v>
      </c>
      <c r="C89" s="9" t="str">
        <f t="shared" si="10"/>
        <v/>
      </c>
      <c r="D89" s="6">
        <f t="shared" si="11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2"/>
        <v>0</v>
      </c>
    </row>
    <row r="90" spans="1:7" x14ac:dyDescent="0.25">
      <c r="A90" s="9">
        <f t="shared" si="9"/>
        <v>89</v>
      </c>
      <c r="B90" s="9">
        <f t="array" ref="B90">IF(C90="",0,IF(OR(C90=Country_Comparison!$S$10:$S$29),1,0))</f>
        <v>0</v>
      </c>
      <c r="C90" s="9" t="str">
        <f t="shared" si="10"/>
        <v/>
      </c>
      <c r="D90" s="6">
        <f t="shared" si="11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2"/>
        <v>0</v>
      </c>
    </row>
    <row r="91" spans="1:7" x14ac:dyDescent="0.25">
      <c r="A91" s="9">
        <f t="shared" si="9"/>
        <v>90</v>
      </c>
      <c r="B91" s="9">
        <f t="array" ref="B91">IF(C91="",0,IF(OR(C91=Country_Comparison!$S$10:$S$29),1,0))</f>
        <v>0</v>
      </c>
      <c r="C91" s="9" t="str">
        <f t="shared" si="10"/>
        <v/>
      </c>
      <c r="D91" s="6">
        <f t="shared" si="11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2"/>
        <v>0</v>
      </c>
    </row>
    <row r="92" spans="1:7" x14ac:dyDescent="0.25">
      <c r="A92" s="9">
        <f t="shared" si="9"/>
        <v>91</v>
      </c>
      <c r="B92" s="9">
        <f t="array" ref="B92">IF(C92="",0,IF(OR(C92=Country_Comparison!$S$10:$S$29),1,0))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7" x14ac:dyDescent="0.25">
      <c r="A93" s="9">
        <f t="shared" si="9"/>
        <v>92</v>
      </c>
      <c r="B93" s="9">
        <f t="array" ref="B93">IF(C93="",0,IF(OR(C93=Country_Comparison!$S$10:$S$29),1,0))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7" x14ac:dyDescent="0.25">
      <c r="A94" s="9">
        <f t="shared" si="9"/>
        <v>93</v>
      </c>
      <c r="B94" s="9">
        <f t="array" ref="B94">IF(C94="",0,IF(OR(C94=Country_Comparison!$S$10:$S$29),1,0))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7" x14ac:dyDescent="0.25">
      <c r="A95" s="9">
        <f t="shared" si="9"/>
        <v>94</v>
      </c>
      <c r="B95" s="9">
        <f t="array" ref="B95">IF(C95="",0,IF(OR(C95=Country_Comparison!$S$10:$S$29),1,0))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7" x14ac:dyDescent="0.25">
      <c r="A96" s="9">
        <f t="shared" si="9"/>
        <v>95</v>
      </c>
      <c r="B96" s="9">
        <f t="array" ref="B96">IF(C96="",0,IF(OR(C96=Country_Comparison!$S$10:$S$29),1,0))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IF(C97="",0,IF(OR(C97=Country_Comparison!$S$10:$S$29),1,0))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IF(C98="",0,IF(OR(C98=Country_Comparison!$S$10:$S$29),1,0))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IF(C99="",0,IF(OR(C99=Country_Comparison!$S$10:$S$29),1,0))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IF(C100="",0,IF(OR(C100=Country_Comparison!$S$10:$S$29),1,0))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IF(C101="",0,IF(OR(C101=Country_Comparison!$S$10:$S$29),1,0))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IF(C102="",0,IF(OR(C102=Country_Comparison!$S$10:$S$29),1,0))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IF(C103="",0,IF(OR(C103=Country_Comparison!$S$10:$S$29),1,0))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IF(C104="",0,IF(OR(C104=Country_Comparison!$S$10:$S$29),1,0))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IF(C105="",0,IF(OR(C105=Country_Comparison!$S$10:$S$29),1,0))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IF(C106="",0,IF(OR(C106=Country_Comparison!$S$10:$S$29),1,0))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IF(C107="",0,IF(OR(C107=Country_Comparison!$S$10:$S$29),1,0))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IF(C108="",0,IF(OR(C108=Country_Comparison!$S$10:$S$29),1,0))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IF(C109="",0,IF(OR(C109=Country_Comparison!$S$10:$S$29),1,0))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IF(C110="",0,IF(OR(C110=Country_Comparison!$S$10:$S$29),1,0))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IF(C111="",0,IF(OR(C111=Country_Comparison!$S$10:$S$29),1,0))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IF(C112="",0,IF(OR(C112=Country_Comparison!$S$10:$S$29),1,0))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IF(C113="",0,IF(OR(C113=Country_Comparison!$S$10:$S$29),1,0))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IF(C114="",0,IF(OR(C114=Country_Comparison!$S$10:$S$29),1,0))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IF(C115="",0,IF(OR(C115=Country_Comparison!$S$10:$S$29),1,0))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IF(C116="",0,IF(OR(C116=Country_Comparison!$S$10:$S$29),1,0))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IF(C117="",0,IF(OR(C117=Country_Comparison!$S$10:$S$29),1,0))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IF(C118="",0,IF(OR(C118=Country_Comparison!$S$10:$S$29),1,0))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IF(C119="",0,IF(OR(C119=Country_Comparison!$S$10:$S$29),1,0))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IF(C120="",0,IF(OR(C120=Country_Comparison!$S$10:$S$29),1,0))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IF(C121="",0,IF(OR(C121=Country_Comparison!$S$10:$S$29),1,0))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IF(C122="",0,IF(OR(C122=Country_Comparison!$S$10:$S$29),1,0))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IF(C123="",0,IF(OR(C123=Country_Comparison!$S$10:$S$29),1,0))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IF(C124="",0,IF(OR(C124=Country_Comparison!$S$10:$S$29),1,0))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IF(C125="",0,IF(OR(C125=Country_Comparison!$S$10:$S$29),1,0))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IF(C126="",0,IF(OR(C126=Country_Comparison!$S$10:$S$29),1,0))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IF(C127="",0,IF(OR(C127=Country_Comparison!$S$10:$S$29),1,0))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IF(C128="",0,IF(OR(C128=Country_Comparison!$S$10:$S$29),1,0))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IF(C129="",0,IF(OR(C129=Country_Comparison!$S$10:$S$29),1,0))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IF(C130="",0,IF(OR(C130=Country_Comparison!$S$10:$S$29),1,0))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IF(C131="",0,IF(OR(C131=Country_Comparison!$S$10:$S$29),1,0))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IF(C132="",0,IF(OR(C132=Country_Comparison!$S$10:$S$29),1,0))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si="9"/>
        <v>132</v>
      </c>
      <c r="B133" s="9">
        <f t="array" ref="B133">IF(C133="",0,IF(OR(C133=Country_Comparison!$S$10:$S$29),1,0))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ref="A134:A197" si="13">A133+1</f>
        <v>133</v>
      </c>
      <c r="B134" s="9">
        <f t="array" ref="B134">IF(C134="",0,IF(OR(C134=Country_Comparison!$S$10:$S$29),1,0))</f>
        <v>0</v>
      </c>
      <c r="C134" s="9" t="str">
        <f t="shared" ref="C134:C197" si="14">IF(H134="","",H134)</f>
        <v/>
      </c>
      <c r="D134" s="6">
        <f t="shared" ref="D134:D197" si="15"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IF(C135="",0,IF(OR(C135=Country_Comparison!$S$10:$S$29),1,0))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IF(C136="",0,IF(OR(C136=Country_Comparison!$S$10:$S$29),1,0))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IF(C137="",0,IF(OR(C137=Country_Comparison!$S$10:$S$29),1,0))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IF(C138="",0,IF(OR(C138=Country_Comparison!$S$10:$S$29),1,0))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IF(C139="",0,IF(OR(C139=Country_Comparison!$S$10:$S$29),1,0))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IF(C140="",0,IF(OR(C140=Country_Comparison!$S$10:$S$29),1,0))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IF(C141="",0,IF(OR(C141=Country_Comparison!$S$10:$S$29),1,0))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IF(C142="",0,IF(OR(C142=Country_Comparison!$S$10:$S$29),1,0))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IF(C143="",0,IF(OR(C143=Country_Comparison!$S$10:$S$29),1,0))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IF(C144="",0,IF(OR(C144=Country_Comparison!$S$10:$S$29),1,0))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IF(C145="",0,IF(OR(C145=Country_Comparison!$S$10:$S$29),1,0))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IF(C146="",0,IF(OR(C146=Country_Comparison!$S$10:$S$29),1,0))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IF(C147="",0,IF(OR(C147=Country_Comparison!$S$10:$S$29),1,0))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IF(C148="",0,IF(OR(C148=Country_Comparison!$S$10:$S$29),1,0))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IF(C149="",0,IF(OR(C149=Country_Comparison!$S$10:$S$29),1,0))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IF(C150="",0,IF(OR(C150=Country_Comparison!$S$10:$S$29),1,0))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IF(C151="",0,IF(OR(C151=Country_Comparison!$S$10:$S$29),1,0))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IF(C152="",0,IF(OR(C152=Country_Comparison!$S$10:$S$29),1,0))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IF(C153="",0,IF(OR(C153=Country_Comparison!$S$10:$S$29),1,0))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IF(C154="",0,IF(OR(C154=Country_Comparison!$S$10:$S$29),1,0))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IF(C155="",0,IF(OR(C155=Country_Comparison!$S$10:$S$29),1,0))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IF(C156="",0,IF(OR(C156=Country_Comparison!$S$10:$S$29),1,0))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IF(C157="",0,IF(OR(C157=Country_Comparison!$S$10:$S$29),1,0))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IF(C158="",0,IF(OR(C158=Country_Comparison!$S$10:$S$29),1,0))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IF(C159="",0,IF(OR(C159=Country_Comparison!$S$10:$S$29),1,0))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IF(C160="",0,IF(OR(C160=Country_Comparison!$S$10:$S$29),1,0))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IF(C161="",0,IF(OR(C161=Country_Comparison!$S$10:$S$29),1,0))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IF(C162="",0,IF(OR(C162=Country_Comparison!$S$10:$S$29),1,0))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IF(C163="",0,IF(OR(C163=Country_Comparison!$S$10:$S$29),1,0))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IF(C164="",0,IF(OR(C164=Country_Comparison!$S$10:$S$29),1,0))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IF(C165="",0,IF(OR(C165=Country_Comparison!$S$10:$S$29),1,0))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IF(C166="",0,IF(OR(C166=Country_Comparison!$S$10:$S$29),1,0))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IF(C167="",0,IF(OR(C167=Country_Comparison!$S$10:$S$29),1,0))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IF(C168="",0,IF(OR(C168=Country_Comparison!$S$10:$S$29),1,0))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IF(C169="",0,IF(OR(C169=Country_Comparison!$S$10:$S$29),1,0))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IF(C170="",0,IF(OR(C170=Country_Comparison!$S$10:$S$29),1,0))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IF(C171="",0,IF(OR(C171=Country_Comparison!$S$10:$S$29),1,0))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IF(C172="",0,IF(OR(C172=Country_Comparison!$S$10:$S$29),1,0))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IF(C173="",0,IF(OR(C173=Country_Comparison!$S$10:$S$29),1,0))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IF(C174="",0,IF(OR(C174=Country_Comparison!$S$10:$S$29),1,0))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IF(C175="",0,IF(OR(C175=Country_Comparison!$S$10:$S$29),1,0))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IF(C176="",0,IF(OR(C176=Country_Comparison!$S$10:$S$29),1,0))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IF(C177="",0,IF(OR(C177=Country_Comparison!$S$10:$S$29),1,0))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IF(C178="",0,IF(OR(C178=Country_Comparison!$S$10:$S$29),1,0))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IF(C179="",0,IF(OR(C179=Country_Comparison!$S$10:$S$29),1,0))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IF(C180="",0,IF(OR(C180=Country_Comparison!$S$10:$S$29),1,0))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IF(C181="",0,IF(OR(C181=Country_Comparison!$S$10:$S$29),1,0))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IF(C182="",0,IF(OR(C182=Country_Comparison!$S$10:$S$29),1,0))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IF(C183="",0,IF(OR(C183=Country_Comparison!$S$10:$S$29),1,0))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IF(C184="",0,IF(OR(C184=Country_Comparison!$S$10:$S$29),1,0))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IF(C185="",0,IF(OR(C185=Country_Comparison!$S$10:$S$29),1,0))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IF(C186="",0,IF(OR(C186=Country_Comparison!$S$10:$S$29),1,0))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IF(C187="",0,IF(OR(C187=Country_Comparison!$S$10:$S$29),1,0))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IF(C188="",0,IF(OR(C188=Country_Comparison!$S$10:$S$29),1,0))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IF(C189="",0,IF(OR(C189=Country_Comparison!$S$10:$S$29),1,0))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IF(C190="",0,IF(OR(C190=Country_Comparison!$S$10:$S$29),1,0))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IF(C191="",0,IF(OR(C191=Country_Comparison!$S$10:$S$29),1,0))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IF(C192="",0,IF(OR(C192=Country_Comparison!$S$10:$S$29),1,0))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IF(C193="",0,IF(OR(C193=Country_Comparison!$S$10:$S$29),1,0))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IF(C194="",0,IF(OR(C194=Country_Comparison!$S$10:$S$29),1,0))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IF(C195="",0,IF(OR(C195=Country_Comparison!$S$10:$S$29),1,0))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IF(C196="",0,IF(OR(C196=Country_Comparison!$S$10:$S$29),1,0))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si="13"/>
        <v>196</v>
      </c>
      <c r="B197" s="9">
        <f t="array" ref="B197">IF(C197="",0,IF(OR(C197=Country_Comparison!$S$10:$S$29),1,0))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ref="A198:A200" si="17">A197+1</f>
        <v>197</v>
      </c>
      <c r="B198" s="9">
        <f t="array" ref="B198">IF(C198="",0,IF(OR(C198=Country_Comparison!$S$10:$S$29),1,0))</f>
        <v>0</v>
      </c>
      <c r="C198" s="9" t="str">
        <f t="shared" ref="C198:C200" si="18">IF(H198="","",H198)</f>
        <v/>
      </c>
      <c r="D198" s="6">
        <f t="shared" ref="D198:D200" si="19"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IF(C199="",0,IF(OR(C199=Country_Comparison!$S$10:$S$29),1,0))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IF(C200="",0,IF(OR(C200=Country_Comparison!$S$10:$S$29),1,0))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09">
      <sortCondition descending="1" ref="B1:B100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P127"/>
  <sheetViews>
    <sheetView workbookViewId="0">
      <selection activeCell="P8" sqref="P8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6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510</v>
      </c>
      <c r="H1" s="52" t="s">
        <v>504</v>
      </c>
      <c r="I1" s="52" t="s">
        <v>501</v>
      </c>
      <c r="J1" s="41" t="s">
        <v>572</v>
      </c>
      <c r="K1" s="52" t="s">
        <v>514</v>
      </c>
      <c r="L1" s="52" t="s">
        <v>465</v>
      </c>
      <c r="M1" s="52" t="s">
        <v>518</v>
      </c>
      <c r="N1" s="52">
        <v>10</v>
      </c>
      <c r="O1" s="52" t="s">
        <v>573</v>
      </c>
      <c r="P1" s="52" t="s">
        <v>574</v>
      </c>
    </row>
    <row r="2" spans="1:16" x14ac:dyDescent="0.3">
      <c r="A2" s="52">
        <v>1</v>
      </c>
      <c r="B2" s="55" t="s">
        <v>337</v>
      </c>
      <c r="C2" s="55" t="s">
        <v>337</v>
      </c>
      <c r="D2" s="52">
        <v>503</v>
      </c>
      <c r="E2" s="56">
        <f ca="1">OFFSET(CumulativeActive!A2,-A2,MATCH(Country_Data!D2,CumulativeActive!B2:BT2,0))</f>
        <v>43852</v>
      </c>
      <c r="F2" s="41">
        <f>MAX(CumulativeConfirmed!2:2)</f>
        <v>81498</v>
      </c>
      <c r="G2" s="41">
        <f>MAX(CumulativeDead!2:2)</f>
        <v>3274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>G2/F2</f>
        <v>4.0172764975827627E-2</v>
      </c>
      <c r="N2" s="52">
        <v>17</v>
      </c>
      <c r="O2" s="56">
        <f ca="1">OFFSET(CumulativeDead!A2,-A2,MATCH(Country_Data!N2,CumulativeDead!B2:BT2,0))</f>
        <v>43852</v>
      </c>
      <c r="P2" s="52">
        <f ca="1">O2-E2</f>
        <v>0</v>
      </c>
    </row>
    <row r="3" spans="1:16" x14ac:dyDescent="0.3">
      <c r="A3" s="52">
        <v>2</v>
      </c>
      <c r="B3" s="55" t="s">
        <v>58</v>
      </c>
      <c r="C3" s="55" t="s">
        <v>58</v>
      </c>
      <c r="D3" s="52">
        <f>VLOOKUP(C3,Days_Since_100_active!H:I,2,FALSE)</f>
        <v>150</v>
      </c>
      <c r="E3" s="56">
        <f ca="1">OFFSET(CumulativeActive!A3,-A3,MATCH(Country_Data!D3,CumulativeActive!B3:BT3,0))</f>
        <v>43884</v>
      </c>
      <c r="F3" s="41">
        <f>MAX(CumulativeConfirmed!3:3)</f>
        <v>63927</v>
      </c>
      <c r="G3" s="41">
        <f>MAX(CumulativeDead!3:3)</f>
        <v>6077</v>
      </c>
      <c r="H3" s="56">
        <v>43886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>G3/F3</f>
        <v>9.5061554585699315E-2</v>
      </c>
      <c r="N3" s="52">
        <f>VLOOKUP(C3,Deaths_since_10!H:I,2,FALSE)</f>
        <v>10</v>
      </c>
      <c r="O3" s="56">
        <f ca="1">OFFSET(CumulativeDead!A3,-A3,MATCH(Country_Data!N3,CumulativeDead!B3:BT3,0))</f>
        <v>43886</v>
      </c>
      <c r="P3" s="52">
        <f ca="1">O3-E3</f>
        <v>2</v>
      </c>
    </row>
    <row r="4" spans="1:16" x14ac:dyDescent="0.3">
      <c r="A4" s="52">
        <v>3</v>
      </c>
      <c r="B4" s="55" t="s">
        <v>338</v>
      </c>
      <c r="C4" s="55" t="s">
        <v>338</v>
      </c>
      <c r="D4" s="52">
        <f>VLOOKUP(C4,Days_Since_100_active!H:I,2,FALSE)</f>
        <v>71</v>
      </c>
      <c r="E4" s="56">
        <f ca="1">OFFSET(CumulativeActive!A4,-A4,MATCH(Country_Data!D4,CumulativeActive!B4:BT4,0))</f>
        <v>43887</v>
      </c>
      <c r="F4" s="41">
        <f>MAX(CumulativeConfirmed!4:4)</f>
        <v>23049</v>
      </c>
      <c r="G4" s="41">
        <f>MAX(CumulativeDead!4:4)</f>
        <v>1812</v>
      </c>
      <c r="J4" s="41">
        <v>83992949</v>
      </c>
      <c r="K4" s="52">
        <v>0</v>
      </c>
      <c r="L4" s="41">
        <v>0</v>
      </c>
      <c r="M4" s="69">
        <f>G4/F4</f>
        <v>7.8615124300403488E-2</v>
      </c>
      <c r="N4" s="52">
        <f>VLOOKUP(C4,Deaths_since_10!H:I,2,FALSE)</f>
        <v>8</v>
      </c>
      <c r="O4" s="56">
        <f ca="1">OFFSET(CumulativeDead!A4,-A4,MATCH(Country_Data!N4,CumulativeDead!B4:BT4,0))</f>
        <v>43884</v>
      </c>
      <c r="P4" s="52">
        <f ca="1">O4-E4</f>
        <v>-3</v>
      </c>
    </row>
    <row r="5" spans="1:16" x14ac:dyDescent="0.3">
      <c r="A5" s="52">
        <v>4</v>
      </c>
      <c r="B5" s="55" t="s">
        <v>476</v>
      </c>
      <c r="C5" s="55" t="s">
        <v>339</v>
      </c>
      <c r="D5" s="52">
        <f>VLOOKUP(C5,Days_Since_100_active!H:I,2,FALSE)</f>
        <v>87</v>
      </c>
      <c r="E5" s="56">
        <f ca="1">OFFSET(CumulativeActive!A5,-A5,MATCH(Country_Data!D5,CumulativeActive!B5:BT5,0))</f>
        <v>43881</v>
      </c>
      <c r="F5" s="41">
        <f>MAX(CumulativeConfirmed!5:5)</f>
        <v>8961</v>
      </c>
      <c r="G5" s="41">
        <f>MAX(CumulativeDead!5:5)</f>
        <v>111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>G5/F5</f>
        <v>1.2387010378305993E-2</v>
      </c>
      <c r="N5" s="52">
        <f>VLOOKUP(C5,Deaths_since_10!H:I,2,FALSE)</f>
        <v>8</v>
      </c>
      <c r="O5" s="56">
        <f ca="1">OFFSET(CumulativeDead!A5,-A5,MATCH(Country_Data!N5,CumulativeDead!B5:BT5,0))</f>
        <v>43885</v>
      </c>
      <c r="P5" s="52">
        <f ca="1">O5-E5</f>
        <v>4</v>
      </c>
    </row>
    <row r="6" spans="1:16" x14ac:dyDescent="0.3">
      <c r="A6" s="52">
        <v>5</v>
      </c>
      <c r="B6" s="55" t="s">
        <v>60</v>
      </c>
      <c r="C6" s="55" t="s">
        <v>60</v>
      </c>
      <c r="D6" s="52">
        <f>VLOOKUP(C6,Days_Since_100_active!H:I,2,FALSE)</f>
        <v>118</v>
      </c>
      <c r="E6" s="56">
        <f ca="1">OFFSET(CumulativeActive!A6,-A6,MATCH(Country_Data!D6,CumulativeActive!B6:BT6,0))</f>
        <v>43892</v>
      </c>
      <c r="F6" s="41">
        <f>MAX(CumulativeConfirmed!6:6)</f>
        <v>35136</v>
      </c>
      <c r="G6" s="41">
        <f>MAX(CumulativeDead!6:6)</f>
        <v>2311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>G6/F6</f>
        <v>6.5772996357012753E-2</v>
      </c>
      <c r="N6" s="52">
        <f>VLOOKUP(C6,Deaths_since_10!H:I,2,FALSE)</f>
        <v>10</v>
      </c>
      <c r="O6" s="56">
        <f ca="1">OFFSET(CumulativeDead!A6,-A6,MATCH(Country_Data!N6,CumulativeDead!B6:BT6,0))</f>
        <v>43897</v>
      </c>
      <c r="P6" s="52">
        <f ca="1">O6-E6</f>
        <v>5</v>
      </c>
    </row>
    <row r="7" spans="1:16" x14ac:dyDescent="0.3">
      <c r="A7" s="52">
        <v>6</v>
      </c>
      <c r="B7" s="55" t="s">
        <v>53</v>
      </c>
      <c r="C7" s="55" t="s">
        <v>53</v>
      </c>
      <c r="D7" s="52">
        <f>VLOOKUP(C7,Days_Since_100_active!H:I,2,FALSE)</f>
        <v>114</v>
      </c>
      <c r="E7" s="56">
        <f ca="1">OFFSET(CumulativeActive!A7,-A7,MATCH(Country_Data!D7,CumulativeActive!B7:BT7,0))</f>
        <v>43891</v>
      </c>
      <c r="F7" s="41">
        <f>MAX(CumulativeConfirmed!7:7)</f>
        <v>29056</v>
      </c>
      <c r="G7" s="41">
        <f>MAX(CumulativeDead!7:7)</f>
        <v>123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>G7/F7</f>
        <v>4.2332048458149779E-3</v>
      </c>
      <c r="N7" s="52">
        <f>VLOOKUP(C7,Deaths_since_10!H:I,2,FALSE)</f>
        <v>9</v>
      </c>
      <c r="O7" s="56">
        <f ca="1">OFFSET(CumulativeDead!A7,-A7,MATCH(Country_Data!N7,CumulativeDead!B7:BT7,0))</f>
        <v>43904</v>
      </c>
      <c r="P7" s="52">
        <f ca="1">O7-E7</f>
        <v>13</v>
      </c>
    </row>
    <row r="8" spans="1:16" x14ac:dyDescent="0.3">
      <c r="A8" s="52">
        <v>7</v>
      </c>
      <c r="B8" s="55" t="s">
        <v>41</v>
      </c>
      <c r="C8" s="55" t="s">
        <v>41</v>
      </c>
      <c r="D8" s="52">
        <f>VLOOKUP(C8,Days_Since_100_active!H:I,2,FALSE)</f>
        <v>86</v>
      </c>
      <c r="E8" s="56">
        <f ca="1">OFFSET(CumulativeActive!A8,-A8,MATCH(Country_Data!D8,CumulativeActive!B8:BT8,0))</f>
        <v>43890</v>
      </c>
      <c r="F8" s="41">
        <f>MAX(CumulativeConfirmed!8:8)</f>
        <v>20123</v>
      </c>
      <c r="G8" s="41">
        <f>MAX(CumulativeDead!8:8)</f>
        <v>862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>G8/F8</f>
        <v>4.2836555185608506E-2</v>
      </c>
      <c r="N8" s="52">
        <f>VLOOKUP(C8,Deaths_since_10!H:I,2,FALSE)</f>
        <v>9</v>
      </c>
      <c r="O8" s="56">
        <f ca="1">OFFSET(CumulativeDead!A8,-A8,MATCH(Country_Data!N8,CumulativeDead!B8:BT8,0))</f>
        <v>43896</v>
      </c>
      <c r="P8" s="52">
        <f ca="1">O8-E8</f>
        <v>6</v>
      </c>
    </row>
    <row r="9" spans="1:16" x14ac:dyDescent="0.3">
      <c r="A9" s="52">
        <v>8</v>
      </c>
      <c r="B9" s="55" t="s">
        <v>38</v>
      </c>
      <c r="C9" s="55" t="s">
        <v>38</v>
      </c>
      <c r="D9" s="52">
        <f>VLOOKUP(C9,Days_Since_100_active!H:I,2,FALSE)</f>
        <v>104</v>
      </c>
      <c r="E9" s="56">
        <f ca="1">OFFSET(CumulativeActive!A9,-A9,MATCH(Country_Data!D9,CumulativeActive!B9:BT9,0))</f>
        <v>43893</v>
      </c>
      <c r="F9" s="41">
        <f>MAX(CumulativeConfirmed!9:9)</f>
        <v>43847</v>
      </c>
      <c r="G9" s="41">
        <f>MAX(CumulativeDead!9:9)</f>
        <v>557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>G9/F9</f>
        <v>1.2703263621228362E-2</v>
      </c>
      <c r="N9" s="52">
        <f>VLOOKUP(C9,Deaths_since_10!H:I,2,FALSE)</f>
        <v>11</v>
      </c>
      <c r="O9" s="56">
        <f ca="1">OFFSET(CumulativeDead!A9,-A9,MATCH(Country_Data!N9,CumulativeDead!B9:BT9,0))</f>
        <v>43894</v>
      </c>
      <c r="P9" s="52">
        <f ca="1">O9-E9</f>
        <v>1</v>
      </c>
    </row>
    <row r="10" spans="1:16" x14ac:dyDescent="0.3">
      <c r="A10" s="52">
        <v>9</v>
      </c>
      <c r="B10" s="55" t="s">
        <v>77</v>
      </c>
      <c r="C10" s="55" t="s">
        <v>77</v>
      </c>
      <c r="D10" s="52">
        <f>VLOOKUP(C10,Days_Since_100_active!H:I,2,FALSE)</f>
        <v>110</v>
      </c>
      <c r="E10" s="56">
        <f ca="1">OFFSET(CumulativeActive!A10,-A10,MATCH(Country_Data!D10,CumulativeActive!B10:BT10,0))</f>
        <v>43895</v>
      </c>
      <c r="F10" s="41">
        <f>MAX(CumulativeConfirmed!10:10)</f>
        <v>8795</v>
      </c>
      <c r="G10" s="41">
        <f>MAX(CumulativeDead!10:10)</f>
        <v>120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>G10/F10</f>
        <v>1.3644115974985787E-2</v>
      </c>
      <c r="N10" s="52">
        <f>VLOOKUP(C10,Deaths_since_10!H:I,2,FALSE)</f>
        <v>11</v>
      </c>
      <c r="O10" s="56">
        <f ca="1">OFFSET(CumulativeDead!A10,-A10,MATCH(Country_Data!N10,CumulativeDead!B10:BT10,0))</f>
        <v>43903</v>
      </c>
      <c r="P10" s="52">
        <f ca="1">O10-E10</f>
        <v>8</v>
      </c>
    </row>
    <row r="11" spans="1:16" x14ac:dyDescent="0.3">
      <c r="A11" s="52">
        <v>10</v>
      </c>
      <c r="B11" s="55" t="s">
        <v>85</v>
      </c>
      <c r="C11" s="55" t="s">
        <v>85</v>
      </c>
      <c r="D11" s="52">
        <f>VLOOKUP(C11,Days_Since_100_active!H:I,2,FALSE)</f>
        <v>108</v>
      </c>
      <c r="E11" s="56">
        <f ca="1">OFFSET(CumulativeActive!A11,-A11,MATCH(Country_Data!D11,CumulativeActive!B11:BT11,0))</f>
        <v>43896</v>
      </c>
      <c r="F11" s="41">
        <f>MAX(CumulativeConfirmed!11:11)</f>
        <v>2621</v>
      </c>
      <c r="G11" s="41">
        <f>MAX(CumulativeDead!11:11)</f>
        <v>10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>G11/F11</f>
        <v>3.8153376573826785E-3</v>
      </c>
      <c r="N11" s="52">
        <f>VLOOKUP(C11,Deaths_since_10!H:I,2,FALSE)</f>
        <v>10</v>
      </c>
      <c r="O11" s="56">
        <f ca="1">OFFSET(CumulativeDead!A11,-A11,MATCH(Country_Data!N11,CumulativeDead!B11:BT11,0))</f>
        <v>43913</v>
      </c>
      <c r="P11" s="52">
        <f ca="1">O11-E11</f>
        <v>17</v>
      </c>
    </row>
    <row r="12" spans="1:16" x14ac:dyDescent="0.3">
      <c r="A12" s="52">
        <v>11</v>
      </c>
      <c r="B12" s="55" t="s">
        <v>59</v>
      </c>
      <c r="C12" s="55" t="s">
        <v>59</v>
      </c>
      <c r="D12" s="52">
        <f>VLOOKUP(C12,Days_Since_100_active!H:I,2,FALSE)</f>
        <v>101</v>
      </c>
      <c r="E12" s="56">
        <f ca="1">OFFSET(CumulativeActive!A12,-A12,MATCH(Country_Data!D12,CumulativeActive!B12:BT12,0))</f>
        <v>43896</v>
      </c>
      <c r="F12" s="41">
        <f>MAX(CumulativeConfirmed!12:12)</f>
        <v>2046</v>
      </c>
      <c r="G12" s="41">
        <f>MAX(CumulativeDead!12:12)</f>
        <v>25</v>
      </c>
      <c r="J12" s="41">
        <v>10099265</v>
      </c>
      <c r="K12" s="52">
        <v>5.8</v>
      </c>
      <c r="L12" s="41">
        <v>585.75736999999992</v>
      </c>
      <c r="M12" s="69">
        <f>G12/F12</f>
        <v>1.2218963831867057E-2</v>
      </c>
      <c r="N12" s="52">
        <f>VLOOKUP(C12,Deaths_since_10!H:I,2,FALSE)</f>
        <v>10</v>
      </c>
      <c r="O12" s="56">
        <f ca="1">OFFSET(CumulativeDead!A12,-A12,MATCH(Country_Data!N12,CumulativeDead!B12:BT12,0))</f>
        <v>43908</v>
      </c>
      <c r="P12" s="52">
        <f ca="1">O12-E12</f>
        <v>12</v>
      </c>
    </row>
    <row r="13" spans="1:16" x14ac:dyDescent="0.3">
      <c r="A13" s="52">
        <v>12</v>
      </c>
      <c r="B13" s="55" t="s">
        <v>87</v>
      </c>
      <c r="C13" s="55" t="s">
        <v>87</v>
      </c>
      <c r="D13" s="52">
        <f>VLOOKUP(C13,Days_Since_100_active!H:I,2,FALSE)</f>
        <v>263</v>
      </c>
      <c r="E13" s="56">
        <f ca="1">OFFSET(CumulativeActive!A13,-A13,MATCH(Country_Data!D13,CumulativeActive!B13:BT13,0))</f>
        <v>43900</v>
      </c>
      <c r="F13" s="41">
        <f>MAX(CumulativeConfirmed!13:13)</f>
        <v>1572</v>
      </c>
      <c r="G13" s="41">
        <f>MAX(CumulativeDead!13:13)</f>
        <v>24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>G13/F13</f>
        <v>1.5267175572519083E-2</v>
      </c>
      <c r="N13" s="52">
        <f>VLOOKUP(C13,Deaths_since_10!H:I,2,FALSE)</f>
        <v>9</v>
      </c>
      <c r="O13" s="56">
        <f ca="1">OFFSET(CumulativeDead!A13,-A13,MATCH(Country_Data!N13,CumulativeDead!B13:BT13,0))</f>
        <v>43910</v>
      </c>
      <c r="P13" s="52">
        <f ca="1">O13-E13</f>
        <v>10</v>
      </c>
    </row>
    <row r="14" spans="1:16" x14ac:dyDescent="0.3">
      <c r="A14" s="52">
        <v>13</v>
      </c>
      <c r="B14" s="55" t="s">
        <v>89</v>
      </c>
      <c r="C14" s="55" t="s">
        <v>89</v>
      </c>
      <c r="D14" s="52">
        <f>VLOOKUP(C14,Days_Since_100_active!H:I,2,FALSE)</f>
        <v>127</v>
      </c>
      <c r="E14" s="56">
        <f ca="1">OFFSET(CumulativeActive!A14,-A14,MATCH(Country_Data!D14,CumulativeActive!B14:BT14,0))</f>
        <v>43896</v>
      </c>
      <c r="F14" s="41">
        <f>MAX(CumulativeConfirmed!14:14)</f>
        <v>4764</v>
      </c>
      <c r="G14" s="41">
        <f>MAX(CumulativeDead!14:14)</f>
        <v>214</v>
      </c>
      <c r="J14" s="41">
        <v>17134872</v>
      </c>
      <c r="K14" s="52">
        <v>0</v>
      </c>
      <c r="L14" s="41">
        <v>0</v>
      </c>
      <c r="M14" s="69">
        <f>G14/F14</f>
        <v>4.4920235096557515E-2</v>
      </c>
      <c r="N14" s="52">
        <f>VLOOKUP(C14,Deaths_since_10!H:I,2,FALSE)</f>
        <v>10</v>
      </c>
      <c r="O14" s="56">
        <f ca="1">OFFSET(CumulativeDead!A14,-A14,MATCH(Country_Data!N14,CumulativeDead!B14:BT14,0))</f>
        <v>43903</v>
      </c>
      <c r="P14" s="52">
        <f ca="1">O14-E14</f>
        <v>7</v>
      </c>
    </row>
    <row r="15" spans="1:16" x14ac:dyDescent="0.3">
      <c r="A15" s="52">
        <v>14</v>
      </c>
      <c r="B15" s="55" t="s">
        <v>349</v>
      </c>
      <c r="C15" s="55" t="s">
        <v>349</v>
      </c>
      <c r="D15" s="52">
        <f>VLOOKUP(C15,Days_Since_100_active!H:I,2,FALSE)</f>
        <v>107</v>
      </c>
      <c r="E15" s="56">
        <f ca="1">OFFSET(CumulativeActive!A15,-A15,MATCH(Country_Data!D15,CumulativeActive!B15:BT15,0))</f>
        <v>43895</v>
      </c>
      <c r="F15" s="41">
        <f>MAX(CumulativeConfirmed!15:15)</f>
        <v>6726</v>
      </c>
      <c r="G15" s="41">
        <f>MAX(CumulativeDead!15:15)</f>
        <v>336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>G15/F15</f>
        <v>4.9955396966993755E-2</v>
      </c>
      <c r="N15" s="52">
        <f>VLOOKUP(C15,Deaths_since_10!H:I,2,FALSE)</f>
        <v>8</v>
      </c>
      <c r="O15" s="56">
        <f ca="1">OFFSET(CumulativeDead!A15,-A15,MATCH(Country_Data!N15,CumulativeDead!B15:BT15,0))</f>
        <v>43901</v>
      </c>
      <c r="P15" s="52">
        <f ca="1">O15-E15</f>
        <v>6</v>
      </c>
    </row>
    <row r="16" spans="1:16" x14ac:dyDescent="0.3">
      <c r="A16" s="52">
        <v>15</v>
      </c>
      <c r="B16" s="55" t="s">
        <v>36</v>
      </c>
      <c r="C16" s="55" t="s">
        <v>36</v>
      </c>
      <c r="D16" s="52">
        <f>VLOOKUP(C16,Days_Since_100_active!H:I,2,FALSE)</f>
        <v>82</v>
      </c>
      <c r="E16" s="56">
        <f ca="1">OFFSET(CumulativeActive!A16,-A16,MATCH(Country_Data!D16,CumulativeActive!B16:BT16,0))</f>
        <v>43882</v>
      </c>
      <c r="F16" s="41">
        <f>MAX(CumulativeConfirmed!16:16)</f>
        <v>1128</v>
      </c>
      <c r="G16" s="41">
        <f>MAX(CumulativeDead!16:16)</f>
        <v>42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>G16/F16</f>
        <v>3.7234042553191488E-2</v>
      </c>
      <c r="N16" s="52">
        <f>VLOOKUP(C16,Deaths_since_10!H:I,2,FALSE)</f>
        <v>10</v>
      </c>
      <c r="O16" s="56">
        <f ca="1">OFFSET(CumulativeDead!A16,-A16,MATCH(Country_Data!N16,CumulativeDead!B16:BT16,0))</f>
        <v>43899</v>
      </c>
      <c r="P16" s="52">
        <f ca="1">O16-E16</f>
        <v>17</v>
      </c>
    </row>
    <row r="17" spans="1:16" x14ac:dyDescent="0.3">
      <c r="A17" s="52">
        <v>16</v>
      </c>
      <c r="B17" s="55" t="s">
        <v>340</v>
      </c>
      <c r="C17" s="55" t="s">
        <v>340</v>
      </c>
      <c r="D17" s="52">
        <f>VLOOKUP(C17,Days_Since_100_active!H:I,2,FALSE)</f>
        <v>135</v>
      </c>
      <c r="E17" s="56">
        <f ca="1">OFFSET(CumulativeActive!A17,-A17,MATCH(Country_Data!D17,CumulativeActive!B17:BT17,0))</f>
        <v>43871</v>
      </c>
      <c r="F17" s="41">
        <f>MAX(CumulativeConfirmed!17:17)</f>
        <v>712</v>
      </c>
      <c r="G17" s="41">
        <f>MAX(CumulativeDead!17:17)</f>
        <v>8</v>
      </c>
      <c r="J17" s="41" t="e">
        <v>#N/A</v>
      </c>
      <c r="K17" s="52">
        <v>0</v>
      </c>
      <c r="L17" s="41" t="e">
        <v>#N/A</v>
      </c>
      <c r="M17" s="69">
        <f>G17/F17</f>
        <v>1.1235955056179775E-2</v>
      </c>
      <c r="N17" s="52">
        <f>VLOOKUP(C17,Deaths_since_10!H:I,2,FALSE)</f>
        <v>8</v>
      </c>
      <c r="O17" s="56">
        <f ca="1">OFFSET(CumulativeDead!A17,-A17,MATCH(Country_Data!N17,CumulativeDead!B17:BT17,0))</f>
        <v>43911</v>
      </c>
      <c r="P17" s="52">
        <f ca="1">O17-E17</f>
        <v>40</v>
      </c>
    </row>
    <row r="18" spans="1:16" x14ac:dyDescent="0.3">
      <c r="A18" s="52">
        <v>17</v>
      </c>
      <c r="B18" s="55" t="s">
        <v>63</v>
      </c>
      <c r="C18" s="55" t="s">
        <v>63</v>
      </c>
      <c r="D18" s="52">
        <f>VLOOKUP(C18,Days_Since_100_active!H:I,2,FALSE)</f>
        <v>108</v>
      </c>
      <c r="E18" s="56">
        <f ca="1">OFFSET(CumulativeActive!A18,-A18,MATCH(Country_Data!D18,CumulativeActive!B18:BT18,0))</f>
        <v>43896</v>
      </c>
      <c r="F18" s="41">
        <f>MAX(CumulativeConfirmed!18:18)</f>
        <v>3743</v>
      </c>
      <c r="G18" s="41">
        <f>MAX(CumulativeDead!18:18)</f>
        <v>88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>G18/F18</f>
        <v>2.3510553032327009E-2</v>
      </c>
      <c r="N18" s="52">
        <f>VLOOKUP(C18,Deaths_since_10!H:I,2,FALSE)</f>
        <v>10</v>
      </c>
      <c r="O18" s="56">
        <f ca="1">OFFSET(CumulativeDead!A18,-A18,MATCH(Country_Data!N18,CumulativeDead!B18:BT18,0))</f>
        <v>43907</v>
      </c>
      <c r="P18" s="52">
        <f ca="1">O18-E18</f>
        <v>11</v>
      </c>
    </row>
    <row r="19" spans="1:16" x14ac:dyDescent="0.3">
      <c r="A19" s="52">
        <v>18</v>
      </c>
      <c r="B19" s="55" t="s">
        <v>78</v>
      </c>
      <c r="C19" s="55" t="s">
        <v>78</v>
      </c>
      <c r="D19" s="52">
        <f>VLOOKUP(C19,Days_Since_100_active!H:I,2,FALSE)</f>
        <v>104</v>
      </c>
      <c r="E19" s="56">
        <f ca="1">OFFSET(CumulativeActive!A19,-A19,MATCH(Country_Data!D19,CumulativeActive!B19:BT19,0))</f>
        <v>43898</v>
      </c>
      <c r="F19" s="41">
        <f>MAX(CumulativeConfirmed!19:19)</f>
        <v>4474</v>
      </c>
      <c r="G19" s="41">
        <f>MAX(CumulativeDead!19:19)</f>
        <v>21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>G19/F19</f>
        <v>4.6937863209655789E-3</v>
      </c>
      <c r="N19" s="52">
        <f>VLOOKUP(C19,Deaths_since_10!H:I,2,FALSE)</f>
        <v>8</v>
      </c>
      <c r="O19" s="56">
        <f ca="1">OFFSET(CumulativeDead!A19,-A19,MATCH(Country_Data!N19,CumulativeDead!B19:BT19,0))</f>
        <v>43911</v>
      </c>
      <c r="P19" s="52">
        <f ca="1">O19-E19</f>
        <v>13</v>
      </c>
    </row>
    <row r="20" spans="1:16" x14ac:dyDescent="0.3">
      <c r="A20" s="52">
        <v>19</v>
      </c>
      <c r="B20" s="55" t="s">
        <v>101</v>
      </c>
      <c r="C20" s="55" t="s">
        <v>101</v>
      </c>
      <c r="D20" s="52">
        <f>VLOOKUP(C20,Days_Since_100_active!H:I,2,FALSE)</f>
        <v>262</v>
      </c>
      <c r="E20" s="56">
        <f ca="1">OFFSET(CumulativeActive!A20,-A20,MATCH(Country_Data!D20,CumulativeActive!B20:BT20,0))</f>
        <v>43901</v>
      </c>
      <c r="F20" s="41">
        <f>MAX(CumulativeConfirmed!20:20)</f>
        <v>501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>G20/F20</f>
        <v>0</v>
      </c>
      <c r="N20" s="52" t="e">
        <f>VLOOKUP(C20,Deaths_since_10!H:I,2,FALSE)</f>
        <v>#N/A</v>
      </c>
      <c r="O20" s="56" t="e">
        <f ca="1">OFFSET(CumulativeDead!A20,-A20,MATCH(Country_Data!N20,CumulativeDead!B20:BT20,0))</f>
        <v>#N/A</v>
      </c>
      <c r="P20" s="52" t="e">
        <f ca="1">O20-E20</f>
        <v>#N/A</v>
      </c>
    </row>
    <row r="21" spans="1:16" x14ac:dyDescent="0.3">
      <c r="A21" s="52">
        <v>20</v>
      </c>
      <c r="B21" s="55" t="s">
        <v>48</v>
      </c>
      <c r="C21" s="55" t="s">
        <v>48</v>
      </c>
      <c r="D21" s="52">
        <f>VLOOKUP(C21,Days_Since_100_active!H:I,2,FALSE)</f>
        <v>83</v>
      </c>
      <c r="E21" s="56">
        <f ca="1">OFFSET(CumulativeActive!A21,-A21,MATCH(Country_Data!D21,CumulativeActive!B21:BT21,0))</f>
        <v>43900</v>
      </c>
      <c r="F21" s="41">
        <f>MAX(CumulativeConfirmed!21:21)</f>
        <v>1682</v>
      </c>
      <c r="G21" s="41">
        <f>MAX(CumulativeDead!21:21)</f>
        <v>7</v>
      </c>
      <c r="J21" s="41">
        <v>25499884</v>
      </c>
      <c r="K21" s="52">
        <v>0</v>
      </c>
      <c r="L21" s="41">
        <v>0</v>
      </c>
      <c r="M21" s="69">
        <f>G21/F21</f>
        <v>4.1617122473246136E-3</v>
      </c>
      <c r="N21" s="52" t="e">
        <f>VLOOKUP(C21,Deaths_since_10!H:I,2,FALSE)</f>
        <v>#N/A</v>
      </c>
      <c r="O21" s="56" t="e">
        <f ca="1">OFFSET(CumulativeDead!A21,-A21,MATCH(Country_Data!N21,CumulativeDead!B21:BT21,0))</f>
        <v>#N/A</v>
      </c>
      <c r="P21" s="52" t="e">
        <f ca="1">O21-E21</f>
        <v>#N/A</v>
      </c>
    </row>
    <row r="22" spans="1:16" x14ac:dyDescent="0.3">
      <c r="A22" s="52">
        <v>21</v>
      </c>
      <c r="B22" s="55" t="s">
        <v>40</v>
      </c>
      <c r="C22" s="55" t="s">
        <v>40</v>
      </c>
      <c r="D22" s="52">
        <f>VLOOKUP(C22,Days_Since_100_active!H:I,2,FALSE)</f>
        <v>30</v>
      </c>
      <c r="E22" s="56">
        <f ca="1">OFFSET(CumulativeActive!A22,-A22,MATCH(Country_Data!D22,CumulativeActive!B22:BT22,0))</f>
        <v>43868</v>
      </c>
      <c r="F22" s="41">
        <f>MAX(CumulativeConfirmed!22:22)</f>
        <v>509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>G22/F22</f>
        <v>3.929273084479371E-3</v>
      </c>
      <c r="N22" s="52" t="e">
        <f>VLOOKUP(C22,Deaths_since_10!H:I,2,FALSE)</f>
        <v>#N/A</v>
      </c>
      <c r="O22" s="56" t="e">
        <f ca="1">OFFSET(CumulativeDead!A22,-A22,MATCH(Country_Data!N22,CumulativeDead!B22:BT22,0))</f>
        <v>#N/A</v>
      </c>
      <c r="P22" s="52" t="e">
        <f ca="1">O22-E22</f>
        <v>#N/A</v>
      </c>
    </row>
    <row r="23" spans="1:16" x14ac:dyDescent="0.3">
      <c r="A23" s="52">
        <v>22</v>
      </c>
      <c r="B23" s="55" t="s">
        <v>43</v>
      </c>
      <c r="C23" s="55" t="s">
        <v>43</v>
      </c>
      <c r="D23" s="52">
        <f>VLOOKUP(C23,Days_Since_100_active!H:I,2,FALSE)</f>
        <v>93</v>
      </c>
      <c r="E23" s="56">
        <f ca="1">OFFSET(CumulativeActive!A23,-A23,MATCH(Country_Data!D23,CumulativeActive!B23:BT23,0))</f>
        <v>43899</v>
      </c>
      <c r="F23" s="41">
        <f>MAX(CumulativeConfirmed!23:23)</f>
        <v>1518</v>
      </c>
      <c r="G23" s="41">
        <f>MAX(CumulativeDead!23:23)</f>
        <v>14</v>
      </c>
      <c r="J23" s="41">
        <v>32365999</v>
      </c>
      <c r="K23" s="52">
        <v>0</v>
      </c>
      <c r="L23" s="41">
        <v>0</v>
      </c>
      <c r="M23" s="69">
        <f>G23/F23</f>
        <v>9.22266139657444E-3</v>
      </c>
      <c r="N23" s="52">
        <f>VLOOKUP(C23,Deaths_since_10!H:I,2,FALSE)</f>
        <v>10</v>
      </c>
      <c r="O23" s="56">
        <f ca="1">OFFSET(CumulativeDead!A23,-A23,MATCH(Country_Data!N23,CumulativeDead!B23:BT23,0))</f>
        <v>43912</v>
      </c>
      <c r="P23" s="52">
        <f ca="1">O23-E23</f>
        <v>13</v>
      </c>
    </row>
    <row r="24" spans="1:16" x14ac:dyDescent="0.3">
      <c r="A24" s="52">
        <v>23</v>
      </c>
      <c r="B24" s="55" t="s">
        <v>45</v>
      </c>
      <c r="C24" s="55" t="s">
        <v>45</v>
      </c>
      <c r="D24" s="52">
        <f>VLOOKUP(C24,Days_Since_100_active!H:I,2,FALSE)</f>
        <v>99</v>
      </c>
      <c r="E24" s="56">
        <f ca="1">OFFSET(CumulativeActive!A24,-A24,MATCH(Country_Data!D24,CumulativeActive!B24:BT24,0))</f>
        <v>43901</v>
      </c>
      <c r="F24" s="41">
        <f>MAX(CumulativeConfirmed!24:24)</f>
        <v>2088</v>
      </c>
      <c r="G24" s="41">
        <f>MAX(CumulativeDead!24:24)</f>
        <v>25</v>
      </c>
      <c r="J24" s="41">
        <v>37742154</v>
      </c>
      <c r="K24" s="52">
        <v>0</v>
      </c>
      <c r="L24" s="41">
        <v>0</v>
      </c>
      <c r="M24" s="69">
        <f>G24/F24</f>
        <v>1.1973180076628353E-2</v>
      </c>
      <c r="N24" s="52">
        <f>VLOOKUP(C24,Deaths_since_10!H:I,2,FALSE)</f>
        <v>8</v>
      </c>
      <c r="O24" s="56">
        <f ca="1">OFFSET(CumulativeDead!A24,-A24,MATCH(Country_Data!N24,CumulativeDead!B24:BT24,0))</f>
        <v>43908</v>
      </c>
      <c r="P24" s="52">
        <f ca="1">O24-E24</f>
        <v>7</v>
      </c>
    </row>
    <row r="25" spans="1:16" x14ac:dyDescent="0.3">
      <c r="A25" s="52">
        <v>24</v>
      </c>
      <c r="B25" s="55" t="s">
        <v>83</v>
      </c>
      <c r="C25" s="55" t="s">
        <v>83</v>
      </c>
      <c r="D25" s="52">
        <f>VLOOKUP(C25,Days_Since_100_active!H:I,2,FALSE)</f>
        <v>189</v>
      </c>
      <c r="E25" s="56">
        <f ca="1">OFFSET(CumulativeActive!A25,-A25,MATCH(Country_Data!D25,CumulativeActive!B25:BT25,0))</f>
        <v>43903</v>
      </c>
      <c r="F25" s="41">
        <f>MAX(CumulativeConfirmed!25:25)</f>
        <v>695</v>
      </c>
      <c r="G25" s="41">
        <f>MAX(CumulativeDead!25:25)</f>
        <v>17</v>
      </c>
      <c r="J25" s="41">
        <v>10423054</v>
      </c>
      <c r="K25" s="52">
        <v>6</v>
      </c>
      <c r="L25" s="41">
        <v>625.38324</v>
      </c>
      <c r="M25" s="69">
        <f>G25/F25</f>
        <v>2.4460431654676259E-2</v>
      </c>
      <c r="N25" s="52">
        <f>VLOOKUP(C25,Deaths_since_10!H:I,2,FALSE)</f>
        <v>13</v>
      </c>
      <c r="O25" s="56">
        <f ca="1">OFFSET(CumulativeDead!A25,-A25,MATCH(Country_Data!N25,CumulativeDead!B25:BT25,0))</f>
        <v>43911</v>
      </c>
      <c r="P25" s="52">
        <f ca="1">O25-E25</f>
        <v>8</v>
      </c>
    </row>
    <row r="26" spans="1:16" x14ac:dyDescent="0.3">
      <c r="A26" s="52">
        <v>25</v>
      </c>
      <c r="B26" s="55" t="s">
        <v>73</v>
      </c>
      <c r="C26" s="55" t="s">
        <v>73</v>
      </c>
      <c r="D26" s="52">
        <f>VLOOKUP(C26,Days_Since_100_active!H:I,2,FALSE)</f>
        <v>88</v>
      </c>
      <c r="E26" s="56">
        <f ca="1">OFFSET(CumulativeActive!A26,-A26,MATCH(Country_Data!D26,CumulativeActive!B26:BT26,0))</f>
        <v>43900</v>
      </c>
      <c r="F26" s="41">
        <f>MAX(CumulativeConfirmed!26:26)</f>
        <v>377</v>
      </c>
      <c r="G26" s="41">
        <f>MAX(CumulativeDead!26:26)</f>
        <v>2</v>
      </c>
      <c r="J26" s="41">
        <v>1701575</v>
      </c>
      <c r="K26" s="52">
        <v>0</v>
      </c>
      <c r="L26" s="41">
        <v>0</v>
      </c>
      <c r="M26" s="69">
        <f>G26/F26</f>
        <v>5.3050397877984082E-3</v>
      </c>
      <c r="N26" s="52" t="e">
        <f>VLOOKUP(C26,Deaths_since_10!H:I,2,FALSE)</f>
        <v>#N/A</v>
      </c>
      <c r="O26" s="56" t="e">
        <f ca="1">OFFSET(CumulativeDead!A26,-A26,MATCH(Country_Data!N26,CumulativeDead!B26:BT26,0))</f>
        <v>#N/A</v>
      </c>
      <c r="P26" s="52" t="e">
        <f ca="1">O26-E26</f>
        <v>#N/A</v>
      </c>
    </row>
    <row r="27" spans="1:16" x14ac:dyDescent="0.3">
      <c r="A27" s="52">
        <v>26</v>
      </c>
      <c r="B27" s="55" t="s">
        <v>79</v>
      </c>
      <c r="C27" s="55" t="s">
        <v>79</v>
      </c>
      <c r="D27" s="52">
        <f>VLOOKUP(C27,Days_Since_100_active!H:I,2,FALSE)</f>
        <v>105</v>
      </c>
      <c r="E27" s="56">
        <f ca="1">OFFSET(CumulativeActive!A27,-A27,MATCH(Country_Data!D27,CumulativeActive!B27:BT27,0))</f>
        <v>43901</v>
      </c>
      <c r="F27" s="41">
        <f>MAX(CumulativeConfirmed!27:27)</f>
        <v>1442</v>
      </c>
      <c r="G27" s="41">
        <f>MAX(CumulativeDead!27:27)</f>
        <v>1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>G27/F27</f>
        <v>6.9348127600554787E-4</v>
      </c>
      <c r="N27" s="52" t="e">
        <f>VLOOKUP(C27,Deaths_since_10!H:I,2,FALSE)</f>
        <v>#N/A</v>
      </c>
      <c r="O27" s="56" t="e">
        <f ca="1">OFFSET(CumulativeDead!A27,-A27,MATCH(Country_Data!N27,CumulativeDead!B27:BT27,0))</f>
        <v>#N/A</v>
      </c>
      <c r="P27" s="52" t="e">
        <f ca="1">O27-E27</f>
        <v>#N/A</v>
      </c>
    </row>
    <row r="28" spans="1:16" x14ac:dyDescent="0.3">
      <c r="A28" s="52">
        <v>27</v>
      </c>
      <c r="B28" s="55" t="s">
        <v>54</v>
      </c>
      <c r="C28" s="55" t="s">
        <v>54</v>
      </c>
      <c r="D28" s="52">
        <f>VLOOKUP(C28,Days_Since_100_active!H:I,2,FALSE)</f>
        <v>154</v>
      </c>
      <c r="E28" s="56">
        <f ca="1">OFFSET(CumulativeActive!A28,-A28,MATCH(Country_Data!D28,CumulativeActive!B28:BT28,0))</f>
        <v>43903</v>
      </c>
      <c r="F28" s="41">
        <f>MAX(CumulativeConfirmed!28:28)</f>
        <v>700</v>
      </c>
      <c r="G28" s="41">
        <f>MAX(CumulativeDead!28:28)</f>
        <v>1</v>
      </c>
      <c r="J28" s="41">
        <v>5540720</v>
      </c>
      <c r="K28" s="52">
        <v>6.1</v>
      </c>
      <c r="L28" s="41">
        <v>337.98392000000001</v>
      </c>
      <c r="M28" s="69">
        <f>G28/F28</f>
        <v>1.4285714285714286E-3</v>
      </c>
      <c r="N28" s="52" t="e">
        <f>VLOOKUP(C28,Deaths_since_10!H:I,2,FALSE)</f>
        <v>#N/A</v>
      </c>
      <c r="O28" s="56" t="e">
        <f ca="1">OFFSET(CumulativeDead!A28,-A28,MATCH(Country_Data!N28,CumulativeDead!B28:BT28,0))</f>
        <v>#N/A</v>
      </c>
      <c r="P28" s="52" t="e">
        <f ca="1">O28-E28</f>
        <v>#N/A</v>
      </c>
    </row>
    <row r="29" spans="1:16" x14ac:dyDescent="0.3">
      <c r="A29" s="52">
        <v>28</v>
      </c>
      <c r="B29" s="55" t="s">
        <v>81</v>
      </c>
      <c r="C29" s="55" t="s">
        <v>81</v>
      </c>
      <c r="D29" s="52">
        <f>VLOOKUP(C29,Days_Since_100_active!H:I,2,FALSE)</f>
        <v>151</v>
      </c>
      <c r="E29" s="56">
        <f ca="1">OFFSET(CumulativeActive!A29,-A29,MATCH(Country_Data!D29,CumulativeActive!B29:BT29,0))</f>
        <v>43903</v>
      </c>
      <c r="F29" s="41">
        <f>MAX(CumulativeConfirmed!29:29)</f>
        <v>1924</v>
      </c>
      <c r="G29" s="41">
        <f>MAX(CumulativeDead!29:29)</f>
        <v>34</v>
      </c>
      <c r="J29" s="41">
        <v>212559417</v>
      </c>
      <c r="K29" s="52">
        <v>0</v>
      </c>
      <c r="L29" s="41">
        <v>0</v>
      </c>
      <c r="M29" s="69">
        <f>G29/F29</f>
        <v>1.7671517671517672E-2</v>
      </c>
      <c r="N29" s="52">
        <f>VLOOKUP(C29,Deaths_since_10!H:I,2,FALSE)</f>
        <v>11</v>
      </c>
      <c r="O29" s="56">
        <f ca="1">OFFSET(CumulativeDead!A29,-A29,MATCH(Country_Data!N29,CumulativeDead!B29:BT29,0))</f>
        <v>43910</v>
      </c>
      <c r="P29" s="52">
        <f ca="1">O29-E29</f>
        <v>7</v>
      </c>
    </row>
    <row r="30" spans="1:16" x14ac:dyDescent="0.3">
      <c r="A30" s="52">
        <v>29</v>
      </c>
      <c r="B30" s="55" t="s">
        <v>479</v>
      </c>
      <c r="C30" s="55" t="s">
        <v>341</v>
      </c>
      <c r="D30" s="52">
        <f>VLOOKUP(C30,Days_Since_100_active!H:I,2,FALSE)</f>
        <v>141</v>
      </c>
      <c r="E30" s="56">
        <f ca="1">OFFSET(CumulativeActive!A30,-A30,MATCH(Country_Data!D30,CumulativeActive!B30:BT30,0))</f>
        <v>43903</v>
      </c>
      <c r="F30" s="41">
        <f>MAX(CumulativeConfirmed!30:30)</f>
        <v>1236</v>
      </c>
      <c r="G30" s="41">
        <f>MAX(CumulativeDead!30:30)</f>
        <v>1</v>
      </c>
      <c r="J30" s="41">
        <v>10708981</v>
      </c>
      <c r="K30" s="52">
        <v>11.6</v>
      </c>
      <c r="L30" s="41">
        <v>1242.241796</v>
      </c>
      <c r="M30" s="69">
        <f>G30/F30</f>
        <v>8.090614886731392E-4</v>
      </c>
      <c r="N30" s="52" t="e">
        <f>VLOOKUP(C30,Deaths_since_10!H:I,2,FALSE)</f>
        <v>#N/A</v>
      </c>
      <c r="O30" s="56" t="e">
        <f ca="1">OFFSET(CumulativeDead!A30,-A30,MATCH(Country_Data!N30,CumulativeDead!B30:BT30,0))</f>
        <v>#N/A</v>
      </c>
      <c r="P30" s="52" t="e">
        <f ca="1">O30-E30</f>
        <v>#N/A</v>
      </c>
    </row>
    <row r="31" spans="1:16" x14ac:dyDescent="0.3">
      <c r="A31" s="52">
        <v>30</v>
      </c>
      <c r="B31" s="55" t="s">
        <v>141</v>
      </c>
      <c r="C31" s="55" t="s">
        <v>141</v>
      </c>
      <c r="D31" s="52">
        <f>VLOOKUP(C31,Days_Since_100_active!H:I,2,FALSE)</f>
        <v>141</v>
      </c>
      <c r="E31" s="56">
        <f ca="1">OFFSET(CumulativeActive!A31,-A31,MATCH(Country_Data!D31,CumulativeActive!B31:BT31,0))</f>
        <v>43903</v>
      </c>
      <c r="F31" s="41">
        <f>MAX(CumulativeConfirmed!31:31)</f>
        <v>442</v>
      </c>
      <c r="G31" s="41">
        <f>MAX(CumulativeDead!31:31)</f>
        <v>3</v>
      </c>
      <c r="J31" s="41">
        <v>2078938</v>
      </c>
      <c r="K31" s="52">
        <v>6.4</v>
      </c>
      <c r="L31" s="41">
        <v>133.05203200000003</v>
      </c>
      <c r="M31" s="69">
        <f>G31/F31</f>
        <v>6.7873303167420816E-3</v>
      </c>
      <c r="N31" s="52" t="e">
        <f>VLOOKUP(C31,Deaths_since_10!H:I,2,FALSE)</f>
        <v>#N/A</v>
      </c>
      <c r="O31" s="56" t="e">
        <f ca="1">OFFSET(CumulativeDead!A31,-A31,MATCH(Country_Data!N31,CumulativeDead!B31:BT31,0))</f>
        <v>#N/A</v>
      </c>
      <c r="P31" s="52" t="e">
        <f ca="1">O31-E31</f>
        <v>#N/A</v>
      </c>
    </row>
    <row r="32" spans="1:16" x14ac:dyDescent="0.3">
      <c r="A32" s="52">
        <v>31</v>
      </c>
      <c r="B32" s="55" t="s">
        <v>92</v>
      </c>
      <c r="C32" s="55" t="s">
        <v>92</v>
      </c>
      <c r="D32" s="52">
        <f>VLOOKUP(C32,Days_Since_100_active!H:I,2,FALSE)</f>
        <v>102</v>
      </c>
      <c r="E32" s="56">
        <f ca="1">OFFSET(CumulativeActive!A32,-A32,MATCH(Country_Data!D32,CumulativeActive!B32:BT32,0))</f>
        <v>43902</v>
      </c>
      <c r="F32" s="41">
        <f>MAX(CumulativeConfirmed!32:32)</f>
        <v>588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>G32/F32</f>
        <v>8.5034013605442185E-3</v>
      </c>
      <c r="N32" s="52" t="e">
        <f>VLOOKUP(C32,Deaths_since_10!H:I,2,FALSE)</f>
        <v>#N/A</v>
      </c>
      <c r="O32" s="56" t="e">
        <f ca="1">OFFSET(CumulativeDead!A32,-A32,MATCH(Country_Data!N32,CumulativeDead!B32:BT32,0))</f>
        <v>#N/A</v>
      </c>
      <c r="P32" s="52" t="e">
        <f ca="1">O32-E32</f>
        <v>#N/A</v>
      </c>
    </row>
    <row r="33" spans="1:16" x14ac:dyDescent="0.3">
      <c r="A33" s="52">
        <v>32</v>
      </c>
      <c r="B33" s="55" t="s">
        <v>108</v>
      </c>
      <c r="C33" s="55" t="s">
        <v>108</v>
      </c>
      <c r="D33" s="52">
        <f>VLOOKUP(C33,Days_Since_100_active!H:I,2,FALSE)</f>
        <v>111</v>
      </c>
      <c r="E33" s="56">
        <f ca="1">OFFSET(CumulativeActive!A33,-A33,MATCH(Country_Data!D33,CumulativeActive!B33:BT33,0))</f>
        <v>43903</v>
      </c>
      <c r="F33" s="41">
        <f>MAX(CumulativeConfirmed!33:33)</f>
        <v>2060</v>
      </c>
      <c r="G33" s="41">
        <f>MAX(CumulativeDead!33:33)</f>
        <v>23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>G33/F33</f>
        <v>1.116504854368932E-2</v>
      </c>
      <c r="N33" s="52">
        <f>VLOOKUP(C33,Deaths_since_10!H:I,2,FALSE)</f>
        <v>12</v>
      </c>
      <c r="O33" s="56">
        <f ca="1">OFFSET(CumulativeDead!A33,-A33,MATCH(Country_Data!N33,CumulativeDead!B33:BT33,0))</f>
        <v>43911</v>
      </c>
      <c r="P33" s="52">
        <f ca="1">O33-E33</f>
        <v>8</v>
      </c>
    </row>
    <row r="34" spans="1:16" x14ac:dyDescent="0.3">
      <c r="A34" s="52">
        <v>33</v>
      </c>
      <c r="B34" s="55" t="s">
        <v>70</v>
      </c>
      <c r="C34" s="55" t="s">
        <v>70</v>
      </c>
      <c r="D34" s="52">
        <f>VLOOKUP(C34,Days_Since_100_active!H:I,2,FALSE)</f>
        <v>68</v>
      </c>
      <c r="E34" s="56">
        <f ca="1">OFFSET(CumulativeActive!A34,-A34,MATCH(Country_Data!D34,CumulativeActive!B34:BT34,0))</f>
        <v>43903</v>
      </c>
      <c r="F34" s="41">
        <f>MAX(CumulativeConfirmed!34:34)</f>
        <v>266</v>
      </c>
      <c r="G34" s="41">
        <f>MAX(CumulativeDead!34:34)</f>
        <v>23</v>
      </c>
      <c r="J34" s="41">
        <v>40222493</v>
      </c>
      <c r="K34" s="52">
        <v>0</v>
      </c>
      <c r="L34" s="41">
        <v>0</v>
      </c>
      <c r="M34" s="69">
        <f>G34/F34</f>
        <v>8.646616541353383E-2</v>
      </c>
      <c r="N34" s="52">
        <f>VLOOKUP(C34,Deaths_since_10!H:I,2,FALSE)</f>
        <v>8</v>
      </c>
      <c r="O34" s="56">
        <f ca="1">OFFSET(CumulativeDead!A34,-A34,MATCH(Country_Data!N34,CumulativeDead!B34:BT34,0))</f>
        <v>43902</v>
      </c>
      <c r="P34" s="52">
        <f ca="1">O34-E34</f>
        <v>-1</v>
      </c>
    </row>
    <row r="35" spans="1:16" x14ac:dyDescent="0.3">
      <c r="A35" s="52">
        <v>34</v>
      </c>
      <c r="B35" s="55" t="s">
        <v>98</v>
      </c>
      <c r="C35" s="55" t="s">
        <v>98</v>
      </c>
      <c r="D35" s="52">
        <f>VLOOKUP(C35,Days_Since_100_active!H:I,2,FALSE)</f>
        <v>127</v>
      </c>
      <c r="E35" s="56">
        <f ca="1">OFFSET(CumulativeActive!A35,-A35,MATCH(Country_Data!D35,CumulativeActive!B35:BT35,0))</f>
        <v>43904</v>
      </c>
      <c r="F35" s="41">
        <f>MAX(CumulativeConfirmed!35:35)</f>
        <v>1125</v>
      </c>
      <c r="G35" s="41">
        <f>MAX(CumulativeDead!35:35)</f>
        <v>6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>G35/F35</f>
        <v>5.3333333333333332E-3</v>
      </c>
      <c r="N35" s="52" t="e">
        <f>VLOOKUP(C35,Deaths_since_10!H:I,2,FALSE)</f>
        <v>#N/A</v>
      </c>
      <c r="O35" s="56" t="e">
        <f ca="1">OFFSET(CumulativeDead!A35,-A35,MATCH(Country_Data!N35,CumulativeDead!B35:BT35,0))</f>
        <v>#N/A</v>
      </c>
      <c r="P35" s="52" t="e">
        <f ca="1">O35-E35</f>
        <v>#N/A</v>
      </c>
    </row>
    <row r="36" spans="1:16" x14ac:dyDescent="0.3">
      <c r="A36" s="52">
        <v>35</v>
      </c>
      <c r="B36" s="55" t="s">
        <v>86</v>
      </c>
      <c r="C36" s="55" t="s">
        <v>86</v>
      </c>
      <c r="D36" s="52">
        <f>VLOOKUP(C36,Days_Since_100_active!H:I,2,FALSE)</f>
        <v>114</v>
      </c>
      <c r="E36" s="56">
        <f ca="1">OFFSET(CumulativeActive!A36,-A36,MATCH(Country_Data!D36,CumulativeActive!B36:BT36,0))</f>
        <v>43904</v>
      </c>
      <c r="F36" s="41">
        <f>MAX(CumulativeConfirmed!36:36)</f>
        <v>576</v>
      </c>
      <c r="G36" s="41">
        <f>MAX(CumulativeDead!36:36)</f>
        <v>7</v>
      </c>
      <c r="J36" s="41">
        <v>19237691</v>
      </c>
      <c r="K36" s="52">
        <v>21.4</v>
      </c>
      <c r="L36" s="41">
        <v>4116.8658740000001</v>
      </c>
      <c r="M36" s="69">
        <f>G36/F36</f>
        <v>1.2152777777777778E-2</v>
      </c>
      <c r="N36" s="52" t="e">
        <f>VLOOKUP(C36,Deaths_since_10!H:I,2,FALSE)</f>
        <v>#N/A</v>
      </c>
      <c r="O36" s="56" t="e">
        <f ca="1">OFFSET(CumulativeDead!A36,-A36,MATCH(Country_Data!N36,CumulativeDead!B36:BT36,0))</f>
        <v>#N/A</v>
      </c>
      <c r="P36" s="52" t="e">
        <f ca="1">O36-E36</f>
        <v>#N/A</v>
      </c>
    </row>
    <row r="37" spans="1:16" x14ac:dyDescent="0.3">
      <c r="A37" s="52">
        <v>36</v>
      </c>
      <c r="B37" s="55" t="s">
        <v>113</v>
      </c>
      <c r="C37" s="55" t="s">
        <v>113</v>
      </c>
      <c r="D37" s="52">
        <f>VLOOKUP(C37,Days_Since_100_active!H:I,2,FALSE)</f>
        <v>102</v>
      </c>
      <c r="E37" s="56">
        <f ca="1">OFFSET(CumulativeActive!A37,-A37,MATCH(Country_Data!D37,CumulativeActive!B37:BT37,0))</f>
        <v>43904</v>
      </c>
      <c r="F37" s="41">
        <f>MAX(CumulativeConfirmed!37:37)</f>
        <v>562</v>
      </c>
      <c r="G37" s="41">
        <f>MAX(CumulativeDead!37:37)</f>
        <v>0</v>
      </c>
      <c r="J37" s="41">
        <v>34813871</v>
      </c>
      <c r="K37" s="52">
        <v>0</v>
      </c>
      <c r="L37" s="41">
        <v>0</v>
      </c>
      <c r="M37" s="69">
        <f>G37/F37</f>
        <v>0</v>
      </c>
      <c r="N37" s="52" t="e">
        <f>VLOOKUP(C37,Deaths_since_10!H:I,2,FALSE)</f>
        <v>#N/A</v>
      </c>
      <c r="O37" s="56" t="e">
        <f ca="1">OFFSET(CumulativeDead!A37,-A37,MATCH(Country_Data!N37,CumulativeDead!B37:BT37,0))</f>
        <v>#N/A</v>
      </c>
      <c r="P37" s="52" t="e">
        <f ca="1">O37-E37</f>
        <v>#N/A</v>
      </c>
    </row>
    <row r="38" spans="1:16" x14ac:dyDescent="0.3">
      <c r="A38" s="52">
        <v>37</v>
      </c>
      <c r="B38" s="55" t="s">
        <v>55</v>
      </c>
      <c r="C38" s="55" t="s">
        <v>55</v>
      </c>
      <c r="D38" s="52">
        <f>VLOOKUP(C38,Days_Since_100_active!H:I,2,FALSE)</f>
        <v>87</v>
      </c>
      <c r="E38" s="56">
        <f ca="1">OFFSET(CumulativeActive!A38,-A38,MATCH(Country_Data!D38,CumulativeActive!B38:BT38,0))</f>
        <v>43908</v>
      </c>
      <c r="F38" s="41">
        <f>MAX(CumulativeConfirmed!38:38)</f>
        <v>198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>G38/F38</f>
        <v>1.0101010101010102E-2</v>
      </c>
      <c r="N38" s="52" t="e">
        <f>VLOOKUP(C38,Deaths_since_10!H:I,2,FALSE)</f>
        <v>#N/A</v>
      </c>
      <c r="O38" s="56" t="e">
        <f ca="1">OFFSET(CumulativeDead!A38,-A38,MATCH(Country_Data!N38,CumulativeDead!B38:BT38,0))</f>
        <v>#N/A</v>
      </c>
      <c r="P38" s="52" t="e">
        <f ca="1">O38-E38</f>
        <v>#N/A</v>
      </c>
    </row>
    <row r="39" spans="1:16" x14ac:dyDescent="0.3">
      <c r="A39" s="52">
        <v>38</v>
      </c>
      <c r="B39" s="55" t="s">
        <v>57</v>
      </c>
      <c r="C39" s="55" t="s">
        <v>57</v>
      </c>
      <c r="D39" s="52">
        <f>VLOOKUP(C39,Days_Since_100_active!H:I,2,FALSE)</f>
        <v>96</v>
      </c>
      <c r="E39" s="56">
        <f ca="1">OFFSET(CumulativeActive!A39,-A39,MATCH(Country_Data!D39,CumulativeActive!B39:BT39,0))</f>
        <v>43904</v>
      </c>
      <c r="F39" s="41">
        <f>MAX(CumulativeConfirmed!39:39)</f>
        <v>499</v>
      </c>
      <c r="G39" s="41">
        <f>MAX(CumulativeDead!39:39)</f>
        <v>10</v>
      </c>
      <c r="J39" s="41">
        <v>1380004385</v>
      </c>
      <c r="K39" s="52">
        <v>2.2999999999999998</v>
      </c>
      <c r="L39" s="41">
        <v>31740.100854999997</v>
      </c>
      <c r="M39" s="69">
        <f>G39/F39</f>
        <v>2.004008016032064E-2</v>
      </c>
      <c r="N39" s="52">
        <f>VLOOKUP(C39,Deaths_since_10!H:I,2,FALSE)</f>
        <v>10</v>
      </c>
      <c r="O39" s="56">
        <f ca="1">OFFSET(CumulativeDead!A39,-A39,MATCH(Country_Data!N39,CumulativeDead!B39:BT39,0))</f>
        <v>43913</v>
      </c>
      <c r="P39" s="52">
        <f ca="1">O39-E39</f>
        <v>9</v>
      </c>
    </row>
    <row r="40" spans="1:16" x14ac:dyDescent="0.3">
      <c r="A40" s="52">
        <v>39</v>
      </c>
      <c r="B40" s="55" t="s">
        <v>65</v>
      </c>
      <c r="C40" s="55" t="s">
        <v>65</v>
      </c>
      <c r="D40" s="52">
        <f>VLOOKUP(C40,Days_Since_100_active!H:I,2,FALSE)</f>
        <v>80</v>
      </c>
      <c r="E40" s="56">
        <f ca="1">OFFSET(CumulativeActive!A40,-A40,MATCH(Country_Data!D40,CumulativeActive!B40:BT40,0))</f>
        <v>43904</v>
      </c>
      <c r="F40" s="41">
        <f>MAX(CumulativeConfirmed!40:40)</f>
        <v>366</v>
      </c>
      <c r="G40" s="41">
        <f>MAX(CumulativeDead!40:40)</f>
        <v>19</v>
      </c>
      <c r="J40" s="41">
        <v>102334404</v>
      </c>
      <c r="K40" s="52">
        <v>0</v>
      </c>
      <c r="L40" s="41">
        <v>0</v>
      </c>
      <c r="M40" s="69">
        <f>G40/F40</f>
        <v>5.1912568306010931E-2</v>
      </c>
      <c r="N40" s="52">
        <f>VLOOKUP(C40,Deaths_since_10!H:I,2,FALSE)</f>
        <v>8</v>
      </c>
      <c r="O40" s="56">
        <f ca="1">OFFSET(CumulativeDead!A40,-A40,MATCH(Country_Data!N40,CumulativeDead!B40:BT40,0))</f>
        <v>43910</v>
      </c>
      <c r="P40" s="52">
        <f ca="1">O40-E40</f>
        <v>6</v>
      </c>
    </row>
    <row r="41" spans="1:16" x14ac:dyDescent="0.3">
      <c r="A41" s="52">
        <v>40</v>
      </c>
      <c r="B41" s="55" t="s">
        <v>74</v>
      </c>
      <c r="C41" s="55" t="s">
        <v>74</v>
      </c>
      <c r="D41" s="52">
        <f>VLOOKUP(C41,Days_Since_100_active!H:I,2,FALSE)</f>
        <v>99</v>
      </c>
      <c r="E41" s="56">
        <f ca="1">OFFSET(CumulativeActive!A41,-A41,MATCH(Country_Data!D41,CumulativeActive!B41:BT41,0))</f>
        <v>43904</v>
      </c>
      <c r="F41" s="41">
        <f>MAX(CumulativeConfirmed!41:41)</f>
        <v>189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>G41/F41</f>
        <v>0</v>
      </c>
      <c r="N41" s="52" t="e">
        <f>VLOOKUP(C41,Deaths_since_10!H:I,2,FALSE)</f>
        <v>#N/A</v>
      </c>
      <c r="O41" s="56" t="e">
        <f ca="1">OFFSET(CumulativeDead!A41,-A41,MATCH(Country_Data!N41,CumulativeDead!B41:BT41,0))</f>
        <v>#N/A</v>
      </c>
      <c r="P41" s="52" t="e">
        <f ca="1">O41-E41</f>
        <v>#N/A</v>
      </c>
    </row>
    <row r="42" spans="1:16" x14ac:dyDescent="0.3">
      <c r="A42" s="52">
        <v>41</v>
      </c>
      <c r="B42" s="55" t="s">
        <v>90</v>
      </c>
      <c r="C42" s="55" t="s">
        <v>90</v>
      </c>
      <c r="D42" s="52">
        <f>VLOOKUP(C42,Days_Since_100_active!H:I,2,FALSE)</f>
        <v>92</v>
      </c>
      <c r="E42" s="56">
        <f ca="1">OFFSET(CumulativeActive!A42,-A42,MATCH(Country_Data!D42,CumulativeActive!B42:BT42,0))</f>
        <v>43905</v>
      </c>
      <c r="F42" s="41">
        <f>MAX(CumulativeConfirmed!42:42)</f>
        <v>187</v>
      </c>
      <c r="G42" s="41">
        <f>MAX(CumulativeDead!42:42)</f>
        <v>20</v>
      </c>
      <c r="J42" s="41">
        <v>33931</v>
      </c>
      <c r="K42" s="52">
        <v>0</v>
      </c>
      <c r="L42" s="41">
        <v>0</v>
      </c>
      <c r="M42" s="69">
        <f>G42/F42</f>
        <v>0.10695187165775401</v>
      </c>
      <c r="N42" s="52">
        <f>VLOOKUP(C42,Deaths_since_10!H:I,2,FALSE)</f>
        <v>11</v>
      </c>
      <c r="O42" s="56">
        <f ca="1">OFFSET(CumulativeDead!A42,-A42,MATCH(Country_Data!N42,CumulativeDead!B42:BT42,0))</f>
        <v>43908</v>
      </c>
      <c r="P42" s="52">
        <f ca="1">O42-E42</f>
        <v>3</v>
      </c>
    </row>
    <row r="43" spans="1:16" x14ac:dyDescent="0.3">
      <c r="A43" s="52">
        <v>42</v>
      </c>
      <c r="B43" s="55" t="s">
        <v>88</v>
      </c>
      <c r="C43" s="55" t="s">
        <v>88</v>
      </c>
      <c r="D43" s="52">
        <f>VLOOKUP(C43,Days_Since_100_active!H:I,2,FALSE)</f>
        <v>115</v>
      </c>
      <c r="E43" s="56">
        <f ca="1">OFFSET(CumulativeActive!A43,-A43,MATCH(Country_Data!D43,CumulativeActive!B43:BT43,0))</f>
        <v>43904</v>
      </c>
      <c r="F43" s="41">
        <f>MAX(CumulativeConfirmed!43:43)</f>
        <v>352</v>
      </c>
      <c r="G43" s="41">
        <f>MAX(CumulativeDead!43:43)</f>
        <v>0</v>
      </c>
      <c r="J43" s="41">
        <v>1326535</v>
      </c>
      <c r="K43" s="52">
        <v>14.6</v>
      </c>
      <c r="L43" s="41">
        <v>193.67410999999998</v>
      </c>
      <c r="M43" s="69">
        <f>G43/F43</f>
        <v>0</v>
      </c>
      <c r="N43" s="52" t="e">
        <f>VLOOKUP(C43,Deaths_since_10!H:I,2,FALSE)</f>
        <v>#N/A</v>
      </c>
      <c r="O43" s="56" t="e">
        <f ca="1">OFFSET(CumulativeDead!A43,-A43,MATCH(Country_Data!N43,CumulativeDead!B43:BT43,0))</f>
        <v>#N/A</v>
      </c>
      <c r="P43" s="52" t="e">
        <f ca="1">O43-E43</f>
        <v>#N/A</v>
      </c>
    </row>
    <row r="44" spans="1:16" x14ac:dyDescent="0.3">
      <c r="A44" s="52">
        <v>43</v>
      </c>
      <c r="B44" s="55" t="s">
        <v>67</v>
      </c>
      <c r="C44" s="55" t="s">
        <v>67</v>
      </c>
      <c r="D44" s="52">
        <f>VLOOKUP(C44,Days_Since_100_active!H:I,2,FALSE)</f>
        <v>106</v>
      </c>
      <c r="E44" s="56">
        <f ca="1">OFFSET(CumulativeActive!A44,-A44,MATCH(Country_Data!D44,CumulativeActive!B44:BT44,0))</f>
        <v>43905</v>
      </c>
      <c r="F44" s="41">
        <f>MAX(CumulativeConfirmed!44:44)</f>
        <v>267</v>
      </c>
      <c r="G44" s="41">
        <f>MAX(CumulativeDead!44:44)</f>
        <v>4</v>
      </c>
      <c r="J44" s="41">
        <v>6825445</v>
      </c>
      <c r="K44" s="52">
        <v>0</v>
      </c>
      <c r="L44" s="41">
        <v>0</v>
      </c>
      <c r="M44" s="69">
        <f>G44/F44</f>
        <v>1.4981273408239701E-2</v>
      </c>
      <c r="N44" s="52" t="e">
        <f>VLOOKUP(C44,Deaths_since_10!H:I,2,FALSE)</f>
        <v>#N/A</v>
      </c>
      <c r="O44" s="56" t="e">
        <f ca="1">OFFSET(CumulativeDead!A44,-A44,MATCH(Country_Data!N44,CumulativeDead!B44:BT44,0))</f>
        <v>#N/A</v>
      </c>
      <c r="P44" s="52" t="e">
        <f ca="1">O44-E44</f>
        <v>#N/A</v>
      </c>
    </row>
    <row r="45" spans="1:16" x14ac:dyDescent="0.3">
      <c r="A45" s="52">
        <v>44</v>
      </c>
      <c r="B45" s="55" t="s">
        <v>35</v>
      </c>
      <c r="C45" s="55" t="s">
        <v>35</v>
      </c>
      <c r="D45" s="52">
        <f>VLOOKUP(C45,Days_Since_100_active!H:I,2,FALSE)</f>
        <v>78</v>
      </c>
      <c r="E45" s="56">
        <f ca="1">OFFSET(CumulativeActive!A45,-A45,MATCH(Country_Data!D45,CumulativeActive!B45:BT45,0))</f>
        <v>43905</v>
      </c>
      <c r="F45" s="41">
        <f>MAX(CumulativeConfirmed!45:45)</f>
        <v>721</v>
      </c>
      <c r="G45" s="41">
        <f>MAX(CumulativeDead!45:45)</f>
        <v>1</v>
      </c>
      <c r="J45" s="41">
        <v>69799978</v>
      </c>
      <c r="K45" s="52">
        <v>0</v>
      </c>
      <c r="L45" s="41">
        <v>0</v>
      </c>
      <c r="M45" s="69">
        <f>G45/F45</f>
        <v>1.3869625520110957E-3</v>
      </c>
      <c r="N45" s="52" t="e">
        <f>VLOOKUP(C45,Deaths_since_10!H:I,2,FALSE)</f>
        <v>#N/A</v>
      </c>
      <c r="O45" s="56" t="e">
        <f ca="1">OFFSET(CumulativeDead!A45,-A45,MATCH(Country_Data!N45,CumulativeDead!B45:BT45,0))</f>
        <v>#N/A</v>
      </c>
      <c r="P45" s="52" t="e">
        <f ca="1">O45-E45</f>
        <v>#N/A</v>
      </c>
    </row>
    <row r="46" spans="1:16" x14ac:dyDescent="0.3">
      <c r="A46" s="52">
        <v>45</v>
      </c>
      <c r="B46" s="55" t="s">
        <v>107</v>
      </c>
      <c r="C46" s="55" t="s">
        <v>107</v>
      </c>
      <c r="D46" s="52">
        <f>VLOOKUP(C46,Days_Since_100_active!H:I,2,FALSE)</f>
        <v>104</v>
      </c>
      <c r="E46" s="56">
        <f ca="1">OFFSET(CumulativeActive!A46,-A46,MATCH(Country_Data!D46,CumulativeActive!B46:BT46,0))</f>
        <v>43905</v>
      </c>
      <c r="F46" s="41">
        <f>MAX(CumulativeConfirmed!46:46)</f>
        <v>579</v>
      </c>
      <c r="G46" s="41">
        <f>MAX(CumulativeDead!46:46)</f>
        <v>49</v>
      </c>
      <c r="J46" s="41">
        <v>273523615</v>
      </c>
      <c r="K46" s="52">
        <v>0</v>
      </c>
      <c r="L46" s="41">
        <v>0</v>
      </c>
      <c r="M46" s="69">
        <f>G46/F46</f>
        <v>8.46286701208981E-2</v>
      </c>
      <c r="N46" s="52">
        <f>VLOOKUP(C46,Deaths_since_10!H:I,2,FALSE)</f>
        <v>19</v>
      </c>
      <c r="O46" s="56">
        <f ca="1">OFFSET(CumulativeDead!A46,-A46,MATCH(Country_Data!N46,CumulativeDead!B46:BT46,0))</f>
        <v>43908</v>
      </c>
      <c r="P46" s="52">
        <f ca="1">O46-E46</f>
        <v>3</v>
      </c>
    </row>
    <row r="47" spans="1:16" x14ac:dyDescent="0.3">
      <c r="A47" s="52">
        <v>46</v>
      </c>
      <c r="B47" s="55" t="s">
        <v>137</v>
      </c>
      <c r="C47" s="55" t="s">
        <v>137</v>
      </c>
      <c r="D47" s="52">
        <f>VLOOKUP(C47,Days_Since_100_active!H:I,2,FALSE)</f>
        <v>100</v>
      </c>
      <c r="E47" s="56">
        <f ca="1">OFFSET(CumulativeActive!A47,-A47,MATCH(Country_Data!D47,CumulativeActive!B47:BT47,0))</f>
        <v>43904</v>
      </c>
      <c r="F47" s="41">
        <f>MAX(CumulativeConfirmed!47:47)</f>
        <v>749</v>
      </c>
      <c r="G47" s="41">
        <f>MAX(CumulativeDead!47:47)</f>
        <v>8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>G47/F47</f>
        <v>1.0680907877169559E-2</v>
      </c>
      <c r="N47" s="52">
        <f>VLOOKUP(C47,Deaths_since_10!H:I,2,FALSE)</f>
        <v>8</v>
      </c>
      <c r="O47" s="56">
        <f ca="1">OFFSET(CumulativeDead!A47,-A47,MATCH(Country_Data!N47,CumulativeDead!B47:BT47,0))</f>
        <v>43913</v>
      </c>
      <c r="P47" s="52">
        <f ca="1">O47-E47</f>
        <v>9</v>
      </c>
    </row>
    <row r="48" spans="1:16" x14ac:dyDescent="0.3">
      <c r="A48" s="52">
        <v>47</v>
      </c>
      <c r="B48" s="55" t="s">
        <v>56</v>
      </c>
      <c r="C48" s="55" t="s">
        <v>56</v>
      </c>
      <c r="D48" s="52">
        <f>VLOOKUP(C48,Days_Since_100_active!H:I,2,FALSE)</f>
        <v>101</v>
      </c>
      <c r="E48" s="56">
        <f ca="1">OFFSET(CumulativeActive!A48,-A48,MATCH(Country_Data!D48,CumulativeActive!B48:BT48,0))</f>
        <v>43904</v>
      </c>
      <c r="F48" s="41">
        <f>MAX(CumulativeConfirmed!48:48)</f>
        <v>462</v>
      </c>
      <c r="G48" s="41">
        <f>MAX(CumulativeDead!48:48)</f>
        <v>33</v>
      </c>
      <c r="J48" s="41">
        <v>109581078</v>
      </c>
      <c r="K48" s="52">
        <v>0</v>
      </c>
      <c r="L48" s="41">
        <v>0</v>
      </c>
      <c r="M48" s="69">
        <f>G48/F48</f>
        <v>7.1428571428571425E-2</v>
      </c>
      <c r="N48" s="52">
        <f>VLOOKUP(C48,Deaths_since_10!H:I,2,FALSE)</f>
        <v>8</v>
      </c>
      <c r="O48" s="56">
        <f ca="1">OFFSET(CumulativeDead!A48,-A48,MATCH(Country_Data!N48,CumulativeDead!B48:BT48,0))</f>
        <v>43904</v>
      </c>
      <c r="P48" s="52">
        <f ca="1">O48-E48</f>
        <v>0</v>
      </c>
    </row>
    <row r="49" spans="1:16" x14ac:dyDescent="0.3">
      <c r="A49" s="52">
        <v>48</v>
      </c>
      <c r="B49" s="55" t="s">
        <v>342</v>
      </c>
      <c r="C49" s="55" t="s">
        <v>342</v>
      </c>
      <c r="D49" s="52">
        <f>VLOOKUP(C49,Days_Since_100_active!H:I,2,FALSE)</f>
        <v>77</v>
      </c>
      <c r="E49" s="56">
        <f ca="1">OFFSET(CumulativeActive!A49,-A49,MATCH(Country_Data!D49,CumulativeActive!B49:BT49,0))</f>
        <v>43908</v>
      </c>
      <c r="F49" s="41">
        <f>MAX(CumulativeConfirmed!49:49)</f>
        <v>195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>G49/F49</f>
        <v>1.0256410256410256E-2</v>
      </c>
      <c r="N49" s="52" t="e">
        <f>VLOOKUP(C49,Deaths_since_10!H:I,2,FALSE)</f>
        <v>#N/A</v>
      </c>
      <c r="O49" s="56" t="e">
        <f ca="1">OFFSET(CumulativeDead!A49,-A49,MATCH(Country_Data!N49,CumulativeDead!B49:BT49,0))</f>
        <v>#N/A</v>
      </c>
      <c r="P49" s="52" t="e">
        <f ca="1">O49-E49</f>
        <v>#N/A</v>
      </c>
    </row>
    <row r="50" spans="1:16" x14ac:dyDescent="0.3">
      <c r="A50" s="52">
        <v>49</v>
      </c>
      <c r="B50" s="55" t="s">
        <v>343</v>
      </c>
      <c r="C50" s="55" t="s">
        <v>343</v>
      </c>
      <c r="D50" s="52">
        <f>VLOOKUP(C50,Days_Since_100_active!H:I,2,FALSE)</f>
        <v>96</v>
      </c>
      <c r="E50" s="56">
        <f ca="1">OFFSET(CumulativeActive!A50,-A50,MATCH(Country_Data!D50,CumulativeActive!B50:BT50,0))</f>
        <v>43912</v>
      </c>
      <c r="F50" s="41">
        <f>MAX(CumulativeConfirmed!50:50)</f>
        <v>123</v>
      </c>
      <c r="G50" s="41">
        <f>MAX(CumulativeDead!50:50)</f>
        <v>0</v>
      </c>
      <c r="J50" s="41">
        <v>97338579</v>
      </c>
      <c r="K50" s="52" t="s">
        <v>513</v>
      </c>
      <c r="L50" s="41" t="e">
        <v>#VALUE!</v>
      </c>
      <c r="M50" s="69">
        <f>G50/F50</f>
        <v>0</v>
      </c>
      <c r="N50" s="52" t="e">
        <f>VLOOKUP(C50,Deaths_since_10!H:I,2,FALSE)</f>
        <v>#N/A</v>
      </c>
      <c r="O50" s="56" t="e">
        <f ca="1">OFFSET(CumulativeDead!A50,-A50,MATCH(Country_Data!N50,CumulativeDead!B50:BT50,0))</f>
        <v>#N/A</v>
      </c>
      <c r="P50" s="52" t="e">
        <f ca="1">O50-E50</f>
        <v>#N/A</v>
      </c>
    </row>
    <row r="51" spans="1:16" x14ac:dyDescent="0.3">
      <c r="A51" s="52">
        <v>50</v>
      </c>
      <c r="B51" s="55" t="s">
        <v>344</v>
      </c>
      <c r="C51" s="55" t="s">
        <v>344</v>
      </c>
      <c r="D51" s="52">
        <f>VLOOKUP(C51,Days_Since_100_active!H:I,2,FALSE)</f>
        <v>106</v>
      </c>
      <c r="E51" s="56">
        <f ca="1">OFFSET(CumulativeActive!A51,-A51,MATCH(Country_Data!D51,CumulativeActive!B51:BT51,0))</f>
        <v>43907</v>
      </c>
      <c r="F51" s="41">
        <f>MAX(CumulativeConfirmed!51:51)</f>
        <v>438</v>
      </c>
      <c r="G51" s="41">
        <f>MAX(CumulativeDead!51:51)</f>
        <v>1</v>
      </c>
      <c r="J51" s="41">
        <v>145934462</v>
      </c>
      <c r="K51" s="52">
        <v>0</v>
      </c>
      <c r="L51" s="41">
        <v>0</v>
      </c>
      <c r="M51" s="69">
        <f>G51/F51</f>
        <v>2.2831050228310501E-3</v>
      </c>
      <c r="N51" s="52" t="e">
        <f>VLOOKUP(C51,Deaths_since_10!H:I,2,FALSE)</f>
        <v>#N/A</v>
      </c>
      <c r="O51" s="56" t="e">
        <f ca="1">OFFSET(CumulativeDead!A51,-A51,MATCH(Country_Data!N51,CumulativeDead!B51:BT51,0))</f>
        <v>#N/A</v>
      </c>
      <c r="P51" s="52" t="e">
        <f ca="1">O51-E51</f>
        <v>#N/A</v>
      </c>
    </row>
    <row r="52" spans="1:16" x14ac:dyDescent="0.3">
      <c r="A52" s="52">
        <v>51</v>
      </c>
      <c r="B52" s="55" t="s">
        <v>124</v>
      </c>
      <c r="C52" s="55" t="s">
        <v>124</v>
      </c>
      <c r="D52" s="52">
        <f>VLOOKUP(C52,Days_Since_100_active!H:I,2,FALSE)</f>
        <v>155</v>
      </c>
      <c r="E52" s="56">
        <f ca="1">OFFSET(CumulativeActive!A52,-A52,MATCH(Country_Data!D52,CumulativeActive!B52:BT52,0))</f>
        <v>43906</v>
      </c>
      <c r="F52" s="41">
        <f>MAX(CumulativeConfirmed!52:52)</f>
        <v>746</v>
      </c>
      <c r="G52" s="41">
        <f>MAX(CumulativeDead!52:52)</f>
        <v>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>G52/F52</f>
        <v>2.6809651474530832E-3</v>
      </c>
      <c r="N52" s="52" t="e">
        <f>VLOOKUP(C52,Deaths_since_10!H:I,2,FALSE)</f>
        <v>#N/A</v>
      </c>
      <c r="O52" s="56" t="e">
        <f ca="1">OFFSET(CumulativeDead!A52,-A52,MATCH(Country_Data!N52,CumulativeDead!B52:BT52,0))</f>
        <v>#N/A</v>
      </c>
      <c r="P52" s="52" t="e">
        <f ca="1">O52-E52</f>
        <v>#N/A</v>
      </c>
    </row>
    <row r="53" spans="1:16" x14ac:dyDescent="0.3">
      <c r="A53" s="52">
        <v>52</v>
      </c>
      <c r="B53" s="55" t="s">
        <v>233</v>
      </c>
      <c r="C53" s="55" t="s">
        <v>233</v>
      </c>
      <c r="D53" s="52" t="e">
        <f>VLOOKUP(C53,Days_Since_100_active!H:I,2,FALSE)</f>
        <v>#N/A</v>
      </c>
      <c r="E53" s="56" t="e">
        <f ca="1">OFFSET(CumulativeActive!A53,-A53,MATCH(Country_Data!D53,CumulativeActive!B53:BT53,0))</f>
        <v>#N/A</v>
      </c>
      <c r="F53" s="41">
        <f>MAX(CumulativeConfirmed!53:53)</f>
        <v>91</v>
      </c>
      <c r="G53" s="41">
        <f>MAX(CumulativeDead!53:53)</f>
        <v>0</v>
      </c>
      <c r="J53" s="41">
        <v>437479</v>
      </c>
      <c r="K53" s="52" t="s">
        <v>513</v>
      </c>
      <c r="L53" s="41" t="e">
        <v>#VALUE!</v>
      </c>
      <c r="M53" s="69">
        <f>G53/F53</f>
        <v>0</v>
      </c>
      <c r="N53" s="52" t="e">
        <f>VLOOKUP(C53,Deaths_since_10!H:I,2,FALSE)</f>
        <v>#N/A</v>
      </c>
      <c r="O53" s="56" t="e">
        <f ca="1">OFFSET(CumulativeDead!A53,-A53,MATCH(Country_Data!N53,CumulativeDead!B53:BT53,0))</f>
        <v>#N/A</v>
      </c>
      <c r="P53" s="52" t="e">
        <f ca="1">O53-E53</f>
        <v>#N/A</v>
      </c>
    </row>
    <row r="54" spans="1:16" x14ac:dyDescent="0.3">
      <c r="A54" s="52">
        <v>53</v>
      </c>
      <c r="B54" s="55" t="s">
        <v>161</v>
      </c>
      <c r="C54" s="55" t="s">
        <v>161</v>
      </c>
      <c r="D54" s="52">
        <f>VLOOKUP(C54,Days_Since_100_active!H:I,2,FALSE)</f>
        <v>102</v>
      </c>
      <c r="E54" s="56">
        <f ca="1">OFFSET(CumulativeActive!A54,-A54,MATCH(Country_Data!D54,CumulativeActive!B54:BT54,0))</f>
        <v>43909</v>
      </c>
      <c r="F54" s="41">
        <f>MAX(CumulativeConfirmed!54:54)</f>
        <v>249</v>
      </c>
      <c r="G54" s="41">
        <f>MAX(CumulativeDead!54:54)</f>
        <v>3</v>
      </c>
      <c r="J54" s="41">
        <v>8737371</v>
      </c>
      <c r="K54" s="52" t="s">
        <v>513</v>
      </c>
      <c r="L54" s="41" t="e">
        <v>#VALUE!</v>
      </c>
      <c r="M54" s="69">
        <f>G54/F54</f>
        <v>1.2048192771084338E-2</v>
      </c>
      <c r="N54" s="52" t="e">
        <f>VLOOKUP(C54,Deaths_since_10!H:I,2,FALSE)</f>
        <v>#N/A</v>
      </c>
      <c r="O54" s="56" t="e">
        <f ca="1">OFFSET(CumulativeDead!A54,-A54,MATCH(Country_Data!N54,CumulativeDead!B54:BT54,0))</f>
        <v>#N/A</v>
      </c>
      <c r="P54" s="52" t="e">
        <f ca="1">O54-E54</f>
        <v>#N/A</v>
      </c>
    </row>
    <row r="55" spans="1:16" x14ac:dyDescent="0.3">
      <c r="A55" s="52">
        <v>54</v>
      </c>
      <c r="B55" s="55" t="s">
        <v>99</v>
      </c>
      <c r="C55" s="55" t="s">
        <v>99</v>
      </c>
      <c r="D55" s="52">
        <f>VLOOKUP(C55,Days_Since_100_active!H:I,2,FALSE)</f>
        <v>139</v>
      </c>
      <c r="E55" s="56">
        <f ca="1">OFFSET(CumulativeActive!A55,-A55,MATCH(Country_Data!D55,CumulativeActive!B55:BT55,0))</f>
        <v>43907</v>
      </c>
      <c r="F55" s="41">
        <f>MAX(CumulativeConfirmed!55:55)</f>
        <v>875</v>
      </c>
      <c r="G55" s="41">
        <f>MAX(CumulativeDead!55:55)</f>
        <v>8</v>
      </c>
      <c r="J55" s="41">
        <v>625978</v>
      </c>
      <c r="K55" s="52">
        <v>24.8</v>
      </c>
      <c r="L55" s="41">
        <v>155.24254400000001</v>
      </c>
      <c r="M55" s="69">
        <f>G55/F55</f>
        <v>9.1428571428571435E-3</v>
      </c>
      <c r="N55" s="52">
        <f>VLOOKUP(C55,Deaths_since_10!H:I,2,FALSE)</f>
        <v>8</v>
      </c>
      <c r="O55" s="56">
        <f ca="1">OFFSET(CumulativeDead!A55,-A55,MATCH(Country_Data!N55,CumulativeDead!B55:BT55,0))</f>
        <v>43911</v>
      </c>
      <c r="P55" s="52">
        <f ca="1">O55-E55</f>
        <v>4</v>
      </c>
    </row>
    <row r="56" spans="1:16" x14ac:dyDescent="0.3">
      <c r="A56" s="52">
        <v>55</v>
      </c>
      <c r="B56" s="55" t="s">
        <v>230</v>
      </c>
      <c r="C56" s="55" t="s">
        <v>230</v>
      </c>
      <c r="D56" s="52">
        <f>VLOOKUP(C56,Days_Since_100_active!H:I,2,FALSE)</f>
        <v>98</v>
      </c>
      <c r="E56" s="56">
        <f ca="1">OFFSET(CumulativeActive!A56,-A56,MATCH(Country_Data!D56,CumulativeActive!B56:BT56,0))</f>
        <v>43913</v>
      </c>
      <c r="F56" s="41">
        <f>MAX(CumulativeConfirmed!56:56)</f>
        <v>104</v>
      </c>
      <c r="G56" s="41">
        <f>MAX(CumulativeDead!56:56)</f>
        <v>4</v>
      </c>
      <c r="J56" s="41">
        <v>2877797</v>
      </c>
      <c r="K56" s="52" t="s">
        <v>513</v>
      </c>
      <c r="L56" s="41" t="e">
        <v>#VALUE!</v>
      </c>
      <c r="M56" s="69">
        <f>G56/F56</f>
        <v>3.8461538461538464E-2</v>
      </c>
      <c r="N56" s="52" t="e">
        <f>VLOOKUP(C56,Deaths_since_10!H:I,2,FALSE)</f>
        <v>#N/A</v>
      </c>
      <c r="O56" s="56" t="e">
        <f ca="1">OFFSET(CumulativeDead!A56,-A56,MATCH(Country_Data!N56,CumulativeDead!B56:BT56,0))</f>
        <v>#N/A</v>
      </c>
      <c r="P56" s="52" t="e">
        <f ca="1">O56-E56</f>
        <v>#N/A</v>
      </c>
    </row>
    <row r="57" spans="1:16" x14ac:dyDescent="0.3">
      <c r="A57" s="52">
        <v>56</v>
      </c>
      <c r="B57" s="55" t="s">
        <v>76</v>
      </c>
      <c r="C57" s="55" t="s">
        <v>76</v>
      </c>
      <c r="D57" s="52">
        <f>VLOOKUP(C57,Days_Since_100_active!H:I,2,FALSE)</f>
        <v>99</v>
      </c>
      <c r="E57" s="56">
        <f ca="1">OFFSET(CumulativeActive!A57,-A57,MATCH(Country_Data!D57,CumulativeActive!B57:BT57,0))</f>
        <v>43909</v>
      </c>
      <c r="F57" s="41">
        <f>MAX(CumulativeConfirmed!57:57)</f>
        <v>315</v>
      </c>
      <c r="G57" s="41">
        <f>MAX(CumulativeDead!57:57)</f>
        <v>1</v>
      </c>
      <c r="J57" s="41">
        <v>4105267</v>
      </c>
      <c r="K57" s="52">
        <v>14.7</v>
      </c>
      <c r="L57" s="41">
        <v>603.47424899999999</v>
      </c>
      <c r="M57" s="69">
        <f>G57/F57</f>
        <v>3.1746031746031746E-3</v>
      </c>
      <c r="N57" s="52" t="e">
        <f>VLOOKUP(C57,Deaths_since_10!H:I,2,FALSE)</f>
        <v>#N/A</v>
      </c>
      <c r="O57" s="56" t="e">
        <f ca="1">OFFSET(CumulativeDead!A57,-A57,MATCH(Country_Data!N57,CumulativeDead!B57:BT57,0))</f>
        <v>#N/A</v>
      </c>
      <c r="P57" s="52" t="e">
        <f ca="1">O57-E57</f>
        <v>#N/A</v>
      </c>
    </row>
    <row r="58" spans="1:16" x14ac:dyDescent="0.3">
      <c r="A58" s="52">
        <v>57</v>
      </c>
      <c r="B58" s="55" t="s">
        <v>162</v>
      </c>
      <c r="C58" s="55" t="s">
        <v>162</v>
      </c>
      <c r="D58" s="52">
        <f>VLOOKUP(C58,Days_Since_100_active!H:I,2,FALSE)</f>
        <v>104</v>
      </c>
      <c r="E58" s="56">
        <f ca="1">OFFSET(CumulativeActive!A58,-A58,MATCH(Country_Data!D58,CumulativeActive!B58:BT58,0))</f>
        <v>43908</v>
      </c>
      <c r="F58" s="41">
        <f>MAX(CumulativeConfirmed!58:58)</f>
        <v>186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>G58/F58</f>
        <v>5.3763440860215058E-3</v>
      </c>
      <c r="N58" s="52" t="e">
        <f>VLOOKUP(C58,Deaths_since_10!H:I,2,FALSE)</f>
        <v>#N/A</v>
      </c>
      <c r="O58" s="56" t="e">
        <f ca="1">OFFSET(CumulativeDead!A58,-A58,MATCH(Country_Data!N58,CumulativeDead!B58:BT58,0))</f>
        <v>#N/A</v>
      </c>
      <c r="P58" s="52" t="e">
        <f ca="1">O58-E58</f>
        <v>#N/A</v>
      </c>
    </row>
    <row r="59" spans="1:16" x14ac:dyDescent="0.3">
      <c r="A59" s="52">
        <v>58</v>
      </c>
      <c r="B59" s="55" t="s">
        <v>123</v>
      </c>
      <c r="C59" s="55" t="s">
        <v>123</v>
      </c>
      <c r="D59" s="52">
        <f>VLOOKUP(C59,Days_Since_100_active!H:I,2,FALSE)</f>
        <v>122</v>
      </c>
      <c r="E59" s="56">
        <f ca="1">OFFSET(CumulativeActive!A59,-A59,MATCH(Country_Data!D59,CumulativeActive!B59:BT59,0))</f>
        <v>43910</v>
      </c>
      <c r="F59" s="41">
        <f>MAX(CumulativeConfirmed!59:59)</f>
        <v>301</v>
      </c>
      <c r="G59" s="41">
        <f>MAX(CumulativeDead!59:59)</f>
        <v>4</v>
      </c>
      <c r="J59" s="41">
        <v>45195774</v>
      </c>
      <c r="K59" s="52" t="s">
        <v>513</v>
      </c>
      <c r="L59" s="41" t="e">
        <v>#VALUE!</v>
      </c>
      <c r="M59" s="69">
        <f>G59/F59</f>
        <v>1.3289036544850499E-2</v>
      </c>
      <c r="N59" s="52" t="e">
        <f>VLOOKUP(C59,Deaths_since_10!H:I,2,FALSE)</f>
        <v>#N/A</v>
      </c>
      <c r="O59" s="56" t="e">
        <f ca="1">OFFSET(CumulativeDead!A59,-A59,MATCH(Country_Data!N59,CumulativeDead!B59:BT59,0))</f>
        <v>#N/A</v>
      </c>
      <c r="P59" s="52" t="e">
        <f ca="1">O59-E59</f>
        <v>#N/A</v>
      </c>
    </row>
    <row r="60" spans="1:16" x14ac:dyDescent="0.3">
      <c r="A60" s="52">
        <v>59</v>
      </c>
      <c r="B60" s="55" t="s">
        <v>80</v>
      </c>
      <c r="C60" s="55" t="s">
        <v>80</v>
      </c>
      <c r="D60" s="52">
        <f>VLOOKUP(C60,Days_Since_100_active!H:I,2,FALSE)</f>
        <v>134</v>
      </c>
      <c r="E60" s="56">
        <f ca="1">OFFSET(CumulativeActive!A60,-A60,MATCH(Country_Data!D60,CumulativeActive!B60:BT60,0))</f>
        <v>43906</v>
      </c>
      <c r="F60" s="41">
        <f>MAX(CumulativeConfirmed!60:60)</f>
        <v>875</v>
      </c>
      <c r="G60" s="41">
        <f>MAX(CumulativeDead!60:60)</f>
        <v>6</v>
      </c>
      <c r="J60" s="41">
        <v>220892340</v>
      </c>
      <c r="K60" s="52">
        <v>0</v>
      </c>
      <c r="L60" s="41">
        <v>0</v>
      </c>
      <c r="M60" s="69">
        <f>G60/F60</f>
        <v>6.8571428571428568E-3</v>
      </c>
      <c r="N60" s="52" t="e">
        <f>VLOOKUP(C60,Deaths_since_10!H:I,2,FALSE)</f>
        <v>#N/A</v>
      </c>
      <c r="O60" s="56" t="e">
        <f ca="1">OFFSET(CumulativeDead!A60,-A60,MATCH(Country_Data!N60,CumulativeDead!B60:BT60,0))</f>
        <v>#N/A</v>
      </c>
      <c r="P60" s="52" t="e">
        <f ca="1">O60-E60</f>
        <v>#N/A</v>
      </c>
    </row>
    <row r="61" spans="1:16" x14ac:dyDescent="0.3">
      <c r="A61" s="52">
        <v>60</v>
      </c>
      <c r="B61" s="55" t="s">
        <v>160</v>
      </c>
      <c r="C61" s="55" t="s">
        <v>160</v>
      </c>
      <c r="D61" s="52">
        <f>VLOOKUP(C61,Days_Since_100_active!H:I,2,FALSE)</f>
        <v>116</v>
      </c>
      <c r="E61" s="56">
        <f ca="1">OFFSET(CumulativeActive!A61,-A61,MATCH(Country_Data!D61,CumulativeActive!B61:BT61,0))</f>
        <v>43907</v>
      </c>
      <c r="F61" s="41">
        <f>MAX(CumulativeConfirmed!61:61)</f>
        <v>395</v>
      </c>
      <c r="G61" s="41">
        <f>MAX(CumulativeDead!61:61)</f>
        <v>5</v>
      </c>
      <c r="J61" s="41">
        <v>32971854</v>
      </c>
      <c r="K61" s="52">
        <v>0</v>
      </c>
      <c r="L61" s="41">
        <v>0</v>
      </c>
      <c r="M61" s="69">
        <f>G61/F61</f>
        <v>1.2658227848101266E-2</v>
      </c>
      <c r="N61" s="52" t="e">
        <f>VLOOKUP(C61,Deaths_since_10!H:I,2,FALSE)</f>
        <v>#N/A</v>
      </c>
      <c r="O61" s="56" t="e">
        <f ca="1">OFFSET(CumulativeDead!A61,-A61,MATCH(Country_Data!N61,CumulativeDead!B61:BT61,0))</f>
        <v>#N/A</v>
      </c>
      <c r="P61" s="52" t="e">
        <f ca="1">O61-E61</f>
        <v>#N/A</v>
      </c>
    </row>
    <row r="62" spans="1:16" x14ac:dyDescent="0.3">
      <c r="A62" s="52">
        <v>61</v>
      </c>
      <c r="B62" s="55" t="s">
        <v>91</v>
      </c>
      <c r="C62" s="55" t="s">
        <v>91</v>
      </c>
      <c r="D62" s="52" t="e">
        <f>VLOOKUP(C62,Days_Since_100_active!H:I,2,FALSE)</f>
        <v>#N/A</v>
      </c>
      <c r="E62" s="56" t="e">
        <f ca="1">OFFSET(CumulativeActive!A62,-A62,MATCH(Country_Data!D62,CumulativeActive!B62:BT62,0))</f>
        <v>#N/A</v>
      </c>
      <c r="F62" s="41">
        <f>MAX(CumulativeConfirmed!62:62)</f>
        <v>81</v>
      </c>
      <c r="G62" s="41">
        <f>MAX(CumulativeDead!62:62)</f>
        <v>0</v>
      </c>
      <c r="J62" s="41">
        <v>9449323</v>
      </c>
      <c r="K62" s="52" t="s">
        <v>513</v>
      </c>
      <c r="L62" s="41" t="e">
        <v>#VALUE!</v>
      </c>
      <c r="M62" s="69">
        <f>G62/F62</f>
        <v>0</v>
      </c>
      <c r="N62" s="52" t="e">
        <f>VLOOKUP(C62,Deaths_since_10!H:I,2,FALSE)</f>
        <v>#N/A</v>
      </c>
      <c r="O62" s="56" t="e">
        <f ca="1">OFFSET(CumulativeDead!A62,-A62,MATCH(Country_Data!N62,CumulativeDead!B62:BT62,0))</f>
        <v>#N/A</v>
      </c>
      <c r="P62" s="52" t="e">
        <f ca="1">O62-E62</f>
        <v>#N/A</v>
      </c>
    </row>
    <row r="63" spans="1:16" x14ac:dyDescent="0.3">
      <c r="A63" s="52">
        <v>62</v>
      </c>
      <c r="B63" s="55" t="s">
        <v>283</v>
      </c>
      <c r="C63" s="55" t="s">
        <v>283</v>
      </c>
      <c r="D63" s="52">
        <f>VLOOKUP(C63,Days_Since_100_active!H:I,2,FALSE)</f>
        <v>108</v>
      </c>
      <c r="E63" s="56">
        <f ca="1">OFFSET(CumulativeActive!A63,-A63,MATCH(Country_Data!D63,CumulativeActive!B63:BT63,0))</f>
        <v>43909</v>
      </c>
      <c r="F63" s="41">
        <f>MAX(CumulativeConfirmed!63:63)</f>
        <v>345</v>
      </c>
      <c r="G63" s="41">
        <f>MAX(CumulativeDead!63:63)</f>
        <v>6</v>
      </c>
      <c r="J63" s="41">
        <v>4314767</v>
      </c>
      <c r="K63" s="52" t="s">
        <v>513</v>
      </c>
      <c r="L63" s="41" t="e">
        <v>#VALUE!</v>
      </c>
      <c r="M63" s="69">
        <f>G63/F63</f>
        <v>1.7391304347826087E-2</v>
      </c>
      <c r="N63" s="52" t="e">
        <f>VLOOKUP(C63,Deaths_since_10!H:I,2,FALSE)</f>
        <v>#N/A</v>
      </c>
      <c r="O63" s="56" t="e">
        <f ca="1">OFFSET(CumulativeDead!A63,-A63,MATCH(Country_Data!N63,CumulativeDead!B63:BT63,0))</f>
        <v>#N/A</v>
      </c>
      <c r="P63" s="52" t="e">
        <f ca="1">O63-E63</f>
        <v>#N/A</v>
      </c>
    </row>
    <row r="64" spans="1:16" x14ac:dyDescent="0.3">
      <c r="A64" s="52">
        <v>63</v>
      </c>
      <c r="B64" s="55" t="s">
        <v>75</v>
      </c>
      <c r="C64" s="55" t="s">
        <v>75</v>
      </c>
      <c r="D64" s="52">
        <f>VLOOKUP(C64,Days_Since_100_active!H:I,2,FALSE)</f>
        <v>92</v>
      </c>
      <c r="E64" s="56">
        <f ca="1">OFFSET(CumulativeActive!A64,-A64,MATCH(Country_Data!D64,CumulativeActive!B64:BT64,0))</f>
        <v>43911</v>
      </c>
      <c r="F64" s="41">
        <f>MAX(CumulativeConfirmed!64:64)</f>
        <v>230</v>
      </c>
      <c r="G64" s="41">
        <f>MAX(CumulativeDead!64:64)</f>
        <v>17</v>
      </c>
      <c r="J64" s="41">
        <v>43851044</v>
      </c>
      <c r="K64" s="52" t="s">
        <v>513</v>
      </c>
      <c r="L64" s="41" t="e">
        <v>#VALUE!</v>
      </c>
      <c r="M64" s="69">
        <f>G64/F64</f>
        <v>7.3913043478260873E-2</v>
      </c>
      <c r="N64" s="52">
        <f>VLOOKUP(C64,Deaths_since_10!H:I,2,FALSE)</f>
        <v>9</v>
      </c>
      <c r="O64" s="56">
        <f ca="1">OFFSET(CumulativeDead!A64,-A64,MATCH(Country_Data!N64,CumulativeDead!B64:BT64,0))</f>
        <v>43909</v>
      </c>
      <c r="P64" s="52">
        <f ca="1">O64-E64</f>
        <v>-2</v>
      </c>
    </row>
    <row r="65" spans="1:16" x14ac:dyDescent="0.3">
      <c r="A65" s="52">
        <v>64</v>
      </c>
      <c r="B65" s="55" t="s">
        <v>82</v>
      </c>
      <c r="C65" s="55" t="s">
        <v>82</v>
      </c>
      <c r="D65" s="52" t="e">
        <f>VLOOKUP(C65,Days_Since_100_active!H:I,2,FALSE)</f>
        <v>#N/A</v>
      </c>
      <c r="E65" s="56" t="e">
        <f ca="1">OFFSET(CumulativeActive!A65,-A65,MATCH(Country_Data!D65,CumulativeActive!B65:BT65,0))</f>
        <v>#N/A</v>
      </c>
      <c r="F65" s="41">
        <f>MAX(CumulativeConfirmed!65:65)</f>
        <v>61</v>
      </c>
      <c r="G65" s="41">
        <f>MAX(CumulativeDead!65:65)</f>
        <v>0</v>
      </c>
      <c r="J65" s="41">
        <v>3989167</v>
      </c>
      <c r="K65" s="52" t="s">
        <v>513</v>
      </c>
      <c r="L65" s="41" t="e">
        <v>#VALUE!</v>
      </c>
      <c r="M65" s="69">
        <f>G65/F65</f>
        <v>0</v>
      </c>
      <c r="N65" s="52" t="e">
        <f>VLOOKUP(C65,Deaths_since_10!H:I,2,FALSE)</f>
        <v>#N/A</v>
      </c>
      <c r="O65" s="56" t="e">
        <f ca="1">OFFSET(CumulativeDead!A65,-A65,MATCH(Country_Data!N65,CumulativeDead!B65:BT65,0))</f>
        <v>#N/A</v>
      </c>
      <c r="P65" s="52" t="e">
        <f ca="1">O65-E65</f>
        <v>#N/A</v>
      </c>
    </row>
    <row r="66" spans="1:16" x14ac:dyDescent="0.3">
      <c r="A66" s="52">
        <v>65</v>
      </c>
      <c r="B66" s="55" t="s">
        <v>145</v>
      </c>
      <c r="C66" s="55" t="s">
        <v>145</v>
      </c>
      <c r="D66" s="52">
        <f>VLOOKUP(C66,Days_Since_100_active!H:I,2,FALSE)</f>
        <v>116</v>
      </c>
      <c r="E66" s="56">
        <f ca="1">OFFSET(CumulativeActive!A66,-A66,MATCH(Country_Data!D66,CumulativeActive!B66:BT66,0))</f>
        <v>43908</v>
      </c>
      <c r="F66" s="41">
        <f>MAX(CumulativeConfirmed!66:66)</f>
        <v>402</v>
      </c>
      <c r="G66" s="41">
        <f>MAX(CumulativeDead!66:66)</f>
        <v>0</v>
      </c>
      <c r="J66" s="41">
        <v>59308690</v>
      </c>
      <c r="K66" s="52">
        <v>0</v>
      </c>
      <c r="L66" s="41">
        <v>0</v>
      </c>
      <c r="M66" s="69">
        <f>G66/F66</f>
        <v>0</v>
      </c>
      <c r="N66" s="52" t="e">
        <f>VLOOKUP(C66,Deaths_since_10!H:I,2,FALSE)</f>
        <v>#N/A</v>
      </c>
      <c r="O66" s="56" t="e">
        <f ca="1">OFFSET(CumulativeDead!A66,-A66,MATCH(Country_Data!N66,CumulativeDead!B66:BT66,0))</f>
        <v>#N/A</v>
      </c>
      <c r="P66" s="52" t="e">
        <f ca="1">O66-E66</f>
        <v>#N/A</v>
      </c>
    </row>
    <row r="67" spans="1:16" x14ac:dyDescent="0.3">
      <c r="A67" s="52">
        <v>66</v>
      </c>
      <c r="B67" s="55" t="s">
        <v>199</v>
      </c>
      <c r="C67" s="55" t="s">
        <v>199</v>
      </c>
      <c r="D67" s="52">
        <f>VLOOKUP(C67,Days_Since_100_active!H:I,2,FALSE)</f>
        <v>124</v>
      </c>
      <c r="E67" s="56">
        <f ca="1">OFFSET(CumulativeActive!A67,-A67,MATCH(Country_Data!D67,CumulativeActive!B67:BT67,0))</f>
        <v>43910</v>
      </c>
      <c r="F67" s="41">
        <f>MAX(CumulativeConfirmed!67:67)</f>
        <v>201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>G67/F67</f>
        <v>1.4925373134328358E-2</v>
      </c>
      <c r="N67" s="52" t="e">
        <f>VLOOKUP(C67,Deaths_since_10!H:I,2,FALSE)</f>
        <v>#N/A</v>
      </c>
      <c r="O67" s="56" t="e">
        <f ca="1">OFFSET(CumulativeDead!A67,-A67,MATCH(Country_Data!N67,CumulativeDead!B67:BT67,0))</f>
        <v>#N/A</v>
      </c>
      <c r="P67" s="52" t="e">
        <f ca="1">O67-E67</f>
        <v>#N/A</v>
      </c>
    </row>
    <row r="68" spans="1:16" x14ac:dyDescent="0.3">
      <c r="A68" s="52">
        <v>67</v>
      </c>
      <c r="B68" s="55" t="s">
        <v>159</v>
      </c>
      <c r="C68" s="55" t="s">
        <v>159</v>
      </c>
      <c r="D68" s="52">
        <f>VLOOKUP(C68,Days_Since_100_active!H:I,2,FALSE)</f>
        <v>113</v>
      </c>
      <c r="E68" s="56">
        <f ca="1">OFFSET(CumulativeActive!A68,-A68,MATCH(Country_Data!D68,CumulativeActive!B68:BT68,0))</f>
        <v>43911</v>
      </c>
      <c r="F68" s="41">
        <f>MAX(CumulativeConfirmed!68:68)</f>
        <v>158</v>
      </c>
      <c r="G68" s="41">
        <f>MAX(CumulativeDead!68:68)</f>
        <v>2</v>
      </c>
      <c r="J68" s="41">
        <v>5094118</v>
      </c>
      <c r="K68" s="52" t="s">
        <v>513</v>
      </c>
      <c r="L68" s="41" t="e">
        <v>#VALUE!</v>
      </c>
      <c r="M68" s="69">
        <f>G68/F68</f>
        <v>1.2658227848101266E-2</v>
      </c>
      <c r="N68" s="52" t="e">
        <f>VLOOKUP(C68,Deaths_since_10!H:I,2,FALSE)</f>
        <v>#N/A</v>
      </c>
      <c r="O68" s="56" t="e">
        <f ca="1">OFFSET(CumulativeDead!A68,-A68,MATCH(Country_Data!N68,CumulativeDead!B68:BT68,0))</f>
        <v>#N/A</v>
      </c>
      <c r="P68" s="52" t="e">
        <f ca="1">O68-E68</f>
        <v>#N/A</v>
      </c>
    </row>
    <row r="69" spans="1:16" x14ac:dyDescent="0.3">
      <c r="A69" s="52">
        <v>68</v>
      </c>
      <c r="B69" s="55" t="s">
        <v>132</v>
      </c>
      <c r="C69" s="55" t="s">
        <v>132</v>
      </c>
      <c r="D69" s="52">
        <f>VLOOKUP(C69,Days_Since_100_active!H:I,2,FALSE)</f>
        <v>92</v>
      </c>
      <c r="E69" s="56">
        <f ca="1">OFFSET(CumulativeActive!A69,-A69,MATCH(Country_Data!D69,CumulativeActive!B69:BT69,0))</f>
        <v>43911</v>
      </c>
      <c r="F69" s="41">
        <f>MAX(CumulativeConfirmed!69:69)</f>
        <v>167</v>
      </c>
      <c r="G69" s="41">
        <f>MAX(CumulativeDead!69:69)</f>
        <v>7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>G69/F69</f>
        <v>4.1916167664670656E-2</v>
      </c>
      <c r="N69" s="52" t="e">
        <f>VLOOKUP(C69,Deaths_since_10!H:I,2,FALSE)</f>
        <v>#N/A</v>
      </c>
      <c r="O69" s="56" t="e">
        <f ca="1">OFFSET(CumulativeDead!A69,-A69,MATCH(Country_Data!N69,CumulativeDead!B69:BT69,0))</f>
        <v>#N/A</v>
      </c>
      <c r="P69" s="52" t="e">
        <f ca="1">O69-E69</f>
        <v>#N/A</v>
      </c>
    </row>
    <row r="70" spans="1:16" x14ac:dyDescent="0.3">
      <c r="A70" s="52">
        <v>69</v>
      </c>
      <c r="B70" s="55" t="s">
        <v>71</v>
      </c>
      <c r="C70" s="55" t="s">
        <v>71</v>
      </c>
      <c r="D70" s="52" t="e">
        <f>VLOOKUP(C70,Days_Since_100_active!H:I,2,FALSE)</f>
        <v>#N/A</v>
      </c>
      <c r="E70" s="56" t="e">
        <f ca="1">OFFSET(CumulativeActive!A70,-A70,MATCH(Country_Data!D70,CumulativeActive!B70:BT70,0))</f>
        <v>#N/A</v>
      </c>
      <c r="F70" s="41">
        <f>MAX(CumulativeConfirmed!70:70)</f>
        <v>66</v>
      </c>
      <c r="G70" s="41">
        <f>MAX(CumulativeDead!70:70)</f>
        <v>0</v>
      </c>
      <c r="J70" s="41">
        <v>5106626</v>
      </c>
      <c r="K70" s="52" t="s">
        <v>513</v>
      </c>
      <c r="L70" s="41" t="e">
        <v>#VALUE!</v>
      </c>
      <c r="M70" s="69">
        <f>G70/F70</f>
        <v>0</v>
      </c>
      <c r="N70" s="52" t="e">
        <f>VLOOKUP(C70,Deaths_since_10!H:I,2,FALSE)</f>
        <v>#N/A</v>
      </c>
      <c r="O70" s="56" t="e">
        <f ca="1">OFFSET(CumulativeDead!A70,-A70,MATCH(Country_Data!N70,CumulativeDead!B70:BT70,0))</f>
        <v>#N/A</v>
      </c>
      <c r="P70" s="52" t="e">
        <f ca="1">O70-E70</f>
        <v>#N/A</v>
      </c>
    </row>
    <row r="71" spans="1:16" x14ac:dyDescent="0.3">
      <c r="A71" s="52">
        <v>70</v>
      </c>
      <c r="B71" s="55" t="s">
        <v>103</v>
      </c>
      <c r="C71" s="55" t="s">
        <v>103</v>
      </c>
      <c r="D71" s="52">
        <f>VLOOKUP(C71,Days_Since_100_active!H:I,2,FALSE)</f>
        <v>109</v>
      </c>
      <c r="E71" s="56">
        <f ca="1">OFFSET(CumulativeActive!A71,-A71,MATCH(Country_Data!D71,CumulativeActive!B71:BT71,0))</f>
        <v>43908</v>
      </c>
      <c r="F71" s="41">
        <f>MAX(CumulativeConfirmed!71:71)</f>
        <v>981</v>
      </c>
      <c r="G71" s="41">
        <f>MAX(CumulativeDead!71:71)</f>
        <v>18</v>
      </c>
      <c r="J71" s="41">
        <v>17643054</v>
      </c>
      <c r="K71" s="52">
        <v>0</v>
      </c>
      <c r="L71" s="41">
        <v>0</v>
      </c>
      <c r="M71" s="69">
        <f>G71/F71</f>
        <v>1.834862385321101E-2</v>
      </c>
      <c r="N71" s="52">
        <f>VLOOKUP(C71,Deaths_since_10!H:I,2,FALSE)</f>
        <v>14</v>
      </c>
      <c r="O71" s="56">
        <f ca="1">OFFSET(CumulativeDead!A71,-A71,MATCH(Country_Data!N71,CumulativeDead!B71:BT71,0))</f>
        <v>43912</v>
      </c>
      <c r="P71" s="52">
        <f ca="1">O71-E71</f>
        <v>4</v>
      </c>
    </row>
    <row r="72" spans="1:16" x14ac:dyDescent="0.3">
      <c r="A72" s="52">
        <v>71</v>
      </c>
      <c r="B72" s="55" t="s">
        <v>111</v>
      </c>
      <c r="C72" s="55" t="s">
        <v>111</v>
      </c>
      <c r="D72" s="52">
        <f>VLOOKUP(C72,Days_Since_100_active!H:I,2,FALSE)</f>
        <v>110</v>
      </c>
      <c r="E72" s="56">
        <f ca="1">OFFSET(CumulativeActive!A72,-A72,MATCH(Country_Data!D72,CumulativeActive!B72:BT72,0))</f>
        <v>43910</v>
      </c>
      <c r="F72" s="41">
        <f>MAX(CumulativeConfirmed!72:72)</f>
        <v>180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>G72/F72</f>
        <v>0</v>
      </c>
      <c r="N72" s="52" t="e">
        <f>VLOOKUP(C72,Deaths_since_10!H:I,2,FALSE)</f>
        <v>#N/A</v>
      </c>
      <c r="O72" s="56" t="e">
        <f ca="1">OFFSET(CumulativeDead!A72,-A72,MATCH(Country_Data!N72,CumulativeDead!B72:BT72,0))</f>
        <v>#N/A</v>
      </c>
      <c r="P72" s="52" t="e">
        <f ca="1">O72-E72</f>
        <v>#N/A</v>
      </c>
    </row>
    <row r="73" spans="1:16" x14ac:dyDescent="0.3">
      <c r="A73" s="52">
        <v>72</v>
      </c>
      <c r="B73" s="55" t="s">
        <v>138</v>
      </c>
      <c r="C73" s="55" t="s">
        <v>138</v>
      </c>
      <c r="D73" s="52" t="e">
        <f>VLOOKUP(C73,Days_Since_100_active!H:I,2,FALSE)</f>
        <v>#N/A</v>
      </c>
      <c r="E73" s="56" t="e">
        <f ca="1">OFFSET(CumulativeActive!A73,-A73,MATCH(Country_Data!D73,CumulativeActive!B73:BT73,0))</f>
        <v>#N/A</v>
      </c>
      <c r="F73" s="41">
        <f>MAX(CumulativeConfirmed!73:73)</f>
        <v>89</v>
      </c>
      <c r="G73" s="41">
        <f>MAX(CumulativeDead!73:73)</f>
        <v>3</v>
      </c>
      <c r="J73" s="41">
        <v>11818619</v>
      </c>
      <c r="K73" s="52" t="s">
        <v>513</v>
      </c>
      <c r="L73" s="41" t="e">
        <v>#VALUE!</v>
      </c>
      <c r="M73" s="69">
        <f>G73/F73</f>
        <v>3.3707865168539325E-2</v>
      </c>
      <c r="N73" s="52" t="e">
        <f>VLOOKUP(C73,Deaths_since_10!H:I,2,FALSE)</f>
        <v>#N/A</v>
      </c>
      <c r="O73" s="56" t="e">
        <f ca="1">OFFSET(CumulativeDead!A73,-A73,MATCH(Country_Data!N73,CumulativeDead!B73:BT73,0))</f>
        <v>#N/A</v>
      </c>
      <c r="P73" s="52" t="e">
        <f ca="1">O73-E73</f>
        <v>#N/A</v>
      </c>
    </row>
    <row r="74" spans="1:16" x14ac:dyDescent="0.3">
      <c r="A74" s="52">
        <v>73</v>
      </c>
      <c r="B74" s="55" t="s">
        <v>104</v>
      </c>
      <c r="C74" s="55" t="s">
        <v>104</v>
      </c>
      <c r="D74" s="52" t="e">
        <f>VLOOKUP(C74,Days_Since_100_active!H:I,2,FALSE)</f>
        <v>#N/A</v>
      </c>
      <c r="E74" s="56" t="e">
        <f ca="1">OFFSET(CumulativeActive!A74,-A74,MATCH(Country_Data!D74,CumulativeActive!B74:BT74,0))</f>
        <v>#N/A</v>
      </c>
      <c r="F74" s="41">
        <f>MAX(CumulativeConfirmed!74:74)</f>
        <v>72</v>
      </c>
      <c r="G74" s="41">
        <f>MAX(CumulativeDead!74:74)</f>
        <v>1</v>
      </c>
      <c r="J74" s="41">
        <v>10139177</v>
      </c>
      <c r="K74" s="52" t="s">
        <v>513</v>
      </c>
      <c r="L74" s="41" t="e">
        <v>#VALUE!</v>
      </c>
      <c r="M74" s="69">
        <f>G74/F74</f>
        <v>1.3888888888888888E-2</v>
      </c>
      <c r="N74" s="52" t="e">
        <f>VLOOKUP(C74,Deaths_since_10!H:I,2,FALSE)</f>
        <v>#N/A</v>
      </c>
      <c r="O74" s="56" t="e">
        <f ca="1">OFFSET(CumulativeDead!A74,-A74,MATCH(Country_Data!N74,CumulativeDead!B74:BT74,0))</f>
        <v>#N/A</v>
      </c>
      <c r="P74" s="52" t="e">
        <f ca="1">O74-E74</f>
        <v>#N/A</v>
      </c>
    </row>
    <row r="75" spans="1:16" x14ac:dyDescent="0.3">
      <c r="A75" s="52">
        <v>74</v>
      </c>
      <c r="B75" s="55" t="s">
        <v>231</v>
      </c>
      <c r="C75" s="55" t="s">
        <v>231</v>
      </c>
      <c r="D75" s="52">
        <f>VLOOKUP(C75,Days_Since_100_active!H:I,2,FALSE)</f>
        <v>112</v>
      </c>
      <c r="E75" s="56">
        <f ca="1">OFFSET(CumulativeActive!A75,-A75,MATCH(Country_Data!D75,CumulativeActive!B75:BT75,0))</f>
        <v>43913</v>
      </c>
      <c r="F75" s="41">
        <f>MAX(CumulativeConfirmed!75:75)</f>
        <v>116</v>
      </c>
      <c r="G75" s="41">
        <f>MAX(CumulativeDead!75:75)</f>
        <v>1</v>
      </c>
      <c r="J75" s="41">
        <v>1207359</v>
      </c>
      <c r="K75" s="52">
        <v>11.4</v>
      </c>
      <c r="L75" s="41">
        <v>137.638926</v>
      </c>
      <c r="M75" s="69">
        <f>G75/F75</f>
        <v>8.6206896551724137E-3</v>
      </c>
      <c r="N75" s="52" t="e">
        <f>VLOOKUP(C75,Deaths_since_10!H:I,2,FALSE)</f>
        <v>#N/A</v>
      </c>
      <c r="O75" s="56" t="e">
        <f ca="1">OFFSET(CumulativeDead!A75,-A75,MATCH(Country_Data!N75,CumulativeDead!B75:BT75,0))</f>
        <v>#N/A</v>
      </c>
      <c r="P75" s="52" t="e">
        <f ca="1">O75-E75</f>
        <v>#N/A</v>
      </c>
    </row>
    <row r="76" spans="1:16" x14ac:dyDescent="0.3">
      <c r="A76" s="52">
        <v>75</v>
      </c>
      <c r="B76" s="55" t="s">
        <v>84</v>
      </c>
      <c r="C76" s="55" t="s">
        <v>84</v>
      </c>
      <c r="D76" s="52">
        <f>VLOOKUP(C76,Days_Since_100_active!H:I,2,FALSE)</f>
        <v>113</v>
      </c>
      <c r="E76" s="56">
        <f ca="1">OFFSET(CumulativeActive!A76,-A76,MATCH(Country_Data!D76,CumulativeActive!B76:BT76,0))</f>
        <v>43912</v>
      </c>
      <c r="F76" s="41">
        <f>MAX(CumulativeConfirmed!76:76)</f>
        <v>136</v>
      </c>
      <c r="G76" s="41">
        <f>MAX(CumulativeDead!76:76)</f>
        <v>2</v>
      </c>
      <c r="J76" s="41">
        <v>2083374</v>
      </c>
      <c r="K76" s="52" t="s">
        <v>513</v>
      </c>
      <c r="L76" s="41" t="e">
        <v>#VALUE!</v>
      </c>
      <c r="M76" s="69">
        <f>G76/F76</f>
        <v>1.4705882352941176E-2</v>
      </c>
      <c r="N76" s="52" t="e">
        <f>VLOOKUP(C76,Deaths_since_10!H:I,2,FALSE)</f>
        <v>#N/A</v>
      </c>
      <c r="O76" s="56" t="e">
        <f ca="1">OFFSET(CumulativeDead!A76,-A76,MATCH(Country_Data!N76,CumulativeDead!B76:BT76,0))</f>
        <v>#N/A</v>
      </c>
      <c r="P76" s="52" t="e">
        <f ca="1">O76-E76</f>
        <v>#N/A</v>
      </c>
    </row>
    <row r="77" spans="1:16" x14ac:dyDescent="0.3">
      <c r="A77" s="52">
        <v>76</v>
      </c>
      <c r="B77" s="55" t="s">
        <v>140</v>
      </c>
      <c r="C77" s="55" t="s">
        <v>140</v>
      </c>
      <c r="D77" s="52">
        <f>VLOOKUP(C77,Days_Since_100_active!H:I,2,FALSE)</f>
        <v>123</v>
      </c>
      <c r="E77" s="56">
        <f ca="1">OFFSET(CumulativeActive!A77,-A77,MATCH(Country_Data!D77,CumulativeActive!B77:BT77,0))</f>
        <v>43912</v>
      </c>
      <c r="F77" s="41">
        <f>MAX(CumulativeConfirmed!77:77)</f>
        <v>136</v>
      </c>
      <c r="G77" s="41">
        <f>MAX(CumulativeDead!77:77)</f>
        <v>1</v>
      </c>
      <c r="J77" s="41">
        <v>3280819</v>
      </c>
      <c r="K77" s="52" t="s">
        <v>513</v>
      </c>
      <c r="L77" s="41" t="e">
        <v>#VALUE!</v>
      </c>
      <c r="M77" s="69">
        <f>G77/F77</f>
        <v>7.3529411764705881E-3</v>
      </c>
      <c r="N77" s="52" t="e">
        <f>VLOOKUP(C77,Deaths_since_10!H:I,2,FALSE)</f>
        <v>#N/A</v>
      </c>
      <c r="O77" s="56" t="e">
        <f ca="1">OFFSET(CumulativeDead!A77,-A77,MATCH(Country_Data!N77,CumulativeDead!B77:BT77,0))</f>
        <v>#N/A</v>
      </c>
      <c r="P77" s="52" t="e">
        <f ca="1">O77-E77</f>
        <v>#N/A</v>
      </c>
    </row>
    <row r="78" spans="1:16" x14ac:dyDescent="0.3">
      <c r="A78" s="52">
        <v>77</v>
      </c>
      <c r="B78" s="55" t="s">
        <v>158</v>
      </c>
      <c r="C78" s="55" t="s">
        <v>158</v>
      </c>
      <c r="D78" s="52">
        <f>VLOOKUP(C78,Days_Since_100_active!H:I,2,FALSE)</f>
        <v>101</v>
      </c>
      <c r="E78" s="56">
        <f ca="1">OFFSET(CumulativeActive!A78,-A78,MATCH(Country_Data!D78,CumulativeActive!B78:BT78,0))</f>
        <v>43909</v>
      </c>
      <c r="F78" s="41">
        <f>MAX(CumulativeConfirmed!78:78)</f>
        <v>277</v>
      </c>
      <c r="G78" s="41">
        <f>MAX(CumulativeDead!78:78)</f>
        <v>3</v>
      </c>
      <c r="J78" s="41">
        <v>50882891</v>
      </c>
      <c r="K78" s="52" t="s">
        <v>513</v>
      </c>
      <c r="L78" s="41" t="e">
        <v>#VALUE!</v>
      </c>
      <c r="M78" s="69">
        <f>G78/F78</f>
        <v>1.0830324909747292E-2</v>
      </c>
      <c r="N78" s="52" t="e">
        <f>VLOOKUP(C78,Deaths_since_10!H:I,2,FALSE)</f>
        <v>#N/A</v>
      </c>
      <c r="O78" s="56" t="e">
        <f ca="1">OFFSET(CumulativeDead!A78,-A78,MATCH(Country_Data!N78,CumulativeDead!B78:BT78,0))</f>
        <v>#N/A</v>
      </c>
      <c r="P78" s="52" t="e">
        <f ca="1">O78-E78</f>
        <v>#N/A</v>
      </c>
    </row>
    <row r="79" spans="1:16" x14ac:dyDescent="0.3">
      <c r="A79" s="52">
        <v>78</v>
      </c>
      <c r="B79" s="55" t="s">
        <v>177</v>
      </c>
      <c r="C79" s="55" t="s">
        <v>177</v>
      </c>
      <c r="D79" s="52">
        <f>VLOOKUP(C79,Days_Since_100_active!H:I,2,FALSE)</f>
        <v>105</v>
      </c>
      <c r="E79" s="56">
        <f ca="1">OFFSET(CumulativeActive!A79,-A79,MATCH(Country_Data!D79,CumulativeActive!B79:BT79,0))</f>
        <v>43913</v>
      </c>
      <c r="F79" s="41">
        <f>MAX(CumulativeConfirmed!79:79)</f>
        <v>107</v>
      </c>
      <c r="G79" s="41">
        <f>MAX(CumulativeDead!79:79)</f>
        <v>0</v>
      </c>
      <c r="J79" s="41">
        <v>441543</v>
      </c>
      <c r="K79" s="52" t="s">
        <v>513</v>
      </c>
      <c r="L79" s="41" t="e">
        <v>#VALUE!</v>
      </c>
      <c r="M79" s="69">
        <f>G79/F79</f>
        <v>0</v>
      </c>
      <c r="N79" s="52" t="e">
        <f>VLOOKUP(C79,Deaths_since_10!H:I,2,FALSE)</f>
        <v>#N/A</v>
      </c>
      <c r="O79" s="56" t="e">
        <f ca="1">OFFSET(CumulativeDead!A79,-A79,MATCH(Country_Data!N79,CumulativeDead!B79:BT79,0))</f>
        <v>#N/A</v>
      </c>
      <c r="P79" s="52" t="e">
        <f ca="1">O79-E79</f>
        <v>#N/A</v>
      </c>
    </row>
    <row r="80" spans="1:16" x14ac:dyDescent="0.3">
      <c r="A80" s="52">
        <v>79</v>
      </c>
      <c r="B80" s="55" t="s">
        <v>94</v>
      </c>
      <c r="C80" s="55" t="s">
        <v>94</v>
      </c>
      <c r="D80" s="52">
        <f>VLOOKUP(C80,Days_Since_100_active!H:I,2,FALSE)</f>
        <v>113</v>
      </c>
      <c r="E80" s="56">
        <f ca="1">OFFSET(CumulativeActive!A80,-A80,MATCH(Country_Data!D80,CumulativeActive!B80:BT80,0))</f>
        <v>43909</v>
      </c>
      <c r="F80" s="41">
        <f>MAX(CumulativeConfirmed!80:80)</f>
        <v>316</v>
      </c>
      <c r="G80" s="41">
        <f>MAX(CumulativeDead!80:80)</f>
        <v>3</v>
      </c>
      <c r="J80" s="41">
        <v>128932753</v>
      </c>
      <c r="K80" s="52" t="s">
        <v>513</v>
      </c>
      <c r="L80" s="41" t="e">
        <v>#VALUE!</v>
      </c>
      <c r="M80" s="69">
        <f>G80/F80</f>
        <v>9.4936708860759497E-3</v>
      </c>
      <c r="N80" s="52" t="e">
        <f>VLOOKUP(C80,Deaths_since_10!H:I,2,FALSE)</f>
        <v>#N/A</v>
      </c>
      <c r="O80" s="56" t="e">
        <f ca="1">OFFSET(CumulativeDead!A80,-A80,MATCH(Country_Data!N80,CumulativeDead!B80:BT80,0))</f>
        <v>#N/A</v>
      </c>
      <c r="P80" s="52" t="e">
        <f ca="1">O80-E80</f>
        <v>#N/A</v>
      </c>
    </row>
    <row r="81" spans="1:16" x14ac:dyDescent="0.3">
      <c r="A81" s="52">
        <v>80</v>
      </c>
      <c r="B81" s="55" t="s">
        <v>114</v>
      </c>
      <c r="C81" s="55" t="s">
        <v>114</v>
      </c>
      <c r="D81" s="52" t="e">
        <f>VLOOKUP(C81,Days_Since_100_active!H:I,2,FALSE)</f>
        <v>#N/A</v>
      </c>
      <c r="E81" s="56" t="e">
        <f ca="1">OFFSET(CumulativeActive!A81,-A81,MATCH(Country_Data!D81,CumulativeActive!B81:BT81,0))</f>
        <v>#N/A</v>
      </c>
      <c r="F81" s="41">
        <f>MAX(CumulativeConfirmed!81:81)</f>
        <v>79</v>
      </c>
      <c r="G81" s="41">
        <f>MAX(CumulativeDead!81:81)</f>
        <v>0</v>
      </c>
      <c r="J81" s="41">
        <v>16743927</v>
      </c>
      <c r="K81" s="52" t="s">
        <v>513</v>
      </c>
      <c r="L81" s="41" t="e">
        <v>#VALUE!</v>
      </c>
      <c r="M81" s="69">
        <f>G81/F81</f>
        <v>0</v>
      </c>
      <c r="N81" s="52" t="e">
        <f>VLOOKUP(C81,Deaths_since_10!H:I,2,FALSE)</f>
        <v>#N/A</v>
      </c>
      <c r="O81" s="56" t="e">
        <f ca="1">OFFSET(CumulativeDead!A81,-A81,MATCH(Country_Data!N81,CumulativeDead!B81:BT81,0))</f>
        <v>#N/A</v>
      </c>
      <c r="P81" s="52" t="e">
        <f ca="1">O81-E81</f>
        <v>#N/A</v>
      </c>
    </row>
    <row r="82" spans="1:16" x14ac:dyDescent="0.3">
      <c r="A82" s="52">
        <v>81</v>
      </c>
      <c r="B82" s="55" t="s">
        <v>200</v>
      </c>
      <c r="C82" s="55" t="s">
        <v>200</v>
      </c>
      <c r="D82" s="52" t="e">
        <f>VLOOKUP(C82,Days_Since_100_active!H:I,2,FALSE)</f>
        <v>#N/A</v>
      </c>
      <c r="E82" s="56" t="e">
        <f ca="1">OFFSET(CumulativeActive!A82,-A82,MATCH(Country_Data!D82,CumulativeActive!B82:BT82,0))</f>
        <v>#N/A</v>
      </c>
      <c r="F82" s="41">
        <f>MAX(CumulativeConfirmed!82:82)</f>
        <v>13</v>
      </c>
      <c r="G82" s="41">
        <f>MAX(CumulativeDead!82:82)</f>
        <v>0</v>
      </c>
      <c r="J82" s="41">
        <v>540544</v>
      </c>
      <c r="K82" s="52" t="s">
        <v>513</v>
      </c>
      <c r="L82" s="41" t="e">
        <v>#VALUE!</v>
      </c>
      <c r="M82" s="69">
        <f>G82/F82</f>
        <v>0</v>
      </c>
      <c r="N82" s="52" t="e">
        <f>VLOOKUP(C82,Deaths_since_10!H:I,2,FALSE)</f>
        <v>#N/A</v>
      </c>
      <c r="O82" s="56" t="e">
        <f ca="1">OFFSET(CumulativeDead!A82,-A82,MATCH(Country_Data!N82,CumulativeDead!B82:BT82,0))</f>
        <v>#N/A</v>
      </c>
      <c r="P82" s="52" t="e">
        <f ca="1">O82-E82</f>
        <v>#N/A</v>
      </c>
    </row>
    <row r="83" spans="1:16" x14ac:dyDescent="0.3">
      <c r="A83" s="52">
        <v>82</v>
      </c>
      <c r="B83" s="55" t="s">
        <v>105</v>
      </c>
      <c r="C83" s="55" t="s">
        <v>105</v>
      </c>
      <c r="D83" s="52">
        <f>VLOOKUP(C83,Days_Since_100_active!H:I,2,FALSE)</f>
        <v>114</v>
      </c>
      <c r="E83" s="56">
        <f ca="1">OFFSET(CumulativeActive!A83,-A83,MATCH(Country_Data!D83,CumulativeActive!B83:BT83,0))</f>
        <v>43909</v>
      </c>
      <c r="F83" s="41">
        <f>MAX(CumulativeConfirmed!83:83)</f>
        <v>235</v>
      </c>
      <c r="G83" s="41">
        <f>MAX(CumulativeDead!83:83)</f>
        <v>0</v>
      </c>
      <c r="J83" s="41">
        <v>2963243</v>
      </c>
      <c r="K83" s="52" t="s">
        <v>513</v>
      </c>
      <c r="L83" s="41" t="e">
        <v>#VALUE!</v>
      </c>
      <c r="M83" s="69">
        <f>G83/F83</f>
        <v>0</v>
      </c>
      <c r="N83" s="52" t="e">
        <f>VLOOKUP(C83,Deaths_since_10!H:I,2,FALSE)</f>
        <v>#N/A</v>
      </c>
      <c r="O83" s="56" t="e">
        <f ca="1">OFFSET(CumulativeDead!A83,-A83,MATCH(Country_Data!N83,CumulativeDead!B83:BT83,0))</f>
        <v>#N/A</v>
      </c>
      <c r="P83" s="52" t="e">
        <f ca="1">O83-E83</f>
        <v>#N/A</v>
      </c>
    </row>
    <row r="84" spans="1:16" x14ac:dyDescent="0.3">
      <c r="A84" s="52">
        <v>83</v>
      </c>
      <c r="B84" s="55" t="s">
        <v>353</v>
      </c>
      <c r="C84" s="55" t="s">
        <v>353</v>
      </c>
      <c r="D84" s="52" t="e">
        <f>VLOOKUP(C84,Days_Since_100_active!H:I,2,FALSE)</f>
        <v>#N/A</v>
      </c>
      <c r="E84" s="56" t="e">
        <f ca="1">OFFSET(CumulativeActive!A84,-A84,MATCH(Country_Data!D84,CumulativeActive!B84:BT84,0))</f>
        <v>#N/A</v>
      </c>
      <c r="F84" s="41">
        <f>MAX(CumulativeConfirmed!84:84)</f>
        <v>19</v>
      </c>
      <c r="G84" s="41">
        <f>MAX(CumulativeDead!84:84)</f>
        <v>1</v>
      </c>
      <c r="J84" s="41">
        <v>2961167</v>
      </c>
      <c r="K84" s="52" t="s">
        <v>513</v>
      </c>
      <c r="L84" s="41" t="e">
        <v>#VALUE!</v>
      </c>
      <c r="M84" s="69">
        <f>G84/F84</f>
        <v>5.2631578947368418E-2</v>
      </c>
      <c r="N84" s="52" t="e">
        <f>VLOOKUP(C84,Deaths_since_10!H:I,2,FALSE)</f>
        <v>#N/A</v>
      </c>
      <c r="O84" s="56" t="e">
        <f ca="1">OFFSET(CumulativeDead!A84,-A84,MATCH(Country_Data!N84,CumulativeDead!B84:BT84,0))</f>
        <v>#N/A</v>
      </c>
      <c r="P84" s="52" t="e">
        <f ca="1">O84-E84</f>
        <v>#N/A</v>
      </c>
    </row>
    <row r="85" spans="1:16" x14ac:dyDescent="0.3">
      <c r="A85" s="52">
        <v>84</v>
      </c>
      <c r="B85" s="55" t="s">
        <v>72</v>
      </c>
      <c r="C85" s="55" t="s">
        <v>72</v>
      </c>
      <c r="D85" s="52" t="e">
        <f>VLOOKUP(C85,Days_Since_100_active!H:I,2,FALSE)</f>
        <v>#N/A</v>
      </c>
      <c r="E85" s="56" t="e">
        <f ca="1">OFFSET(CumulativeActive!A85,-A85,MATCH(Country_Data!D85,CumulativeActive!B85:BT85,0))</f>
        <v>#N/A</v>
      </c>
      <c r="F85" s="41">
        <f>MAX(CumulativeConfirmed!85:85)</f>
        <v>40</v>
      </c>
      <c r="G85" s="41">
        <f>MAX(CumulativeDead!85:85)</f>
        <v>1</v>
      </c>
      <c r="J85" s="41">
        <v>38928346</v>
      </c>
      <c r="K85" s="52" t="s">
        <v>513</v>
      </c>
      <c r="L85" s="41" t="e">
        <v>#VALUE!</v>
      </c>
      <c r="M85" s="69">
        <f>G85/F85</f>
        <v>2.5000000000000001E-2</v>
      </c>
      <c r="N85" s="52" t="e">
        <f>VLOOKUP(C85,Deaths_since_10!H:I,2,FALSE)</f>
        <v>#N/A</v>
      </c>
      <c r="O85" s="56" t="e">
        <f ca="1">OFFSET(CumulativeDead!A85,-A85,MATCH(Country_Data!N85,CumulativeDead!B85:BT85,0))</f>
        <v>#N/A</v>
      </c>
      <c r="P85" s="52" t="e">
        <f ca="1">O85-E85</f>
        <v>#N/A</v>
      </c>
    </row>
    <row r="86" spans="1:16" x14ac:dyDescent="0.3">
      <c r="A86" s="52">
        <v>85</v>
      </c>
      <c r="B86" s="55" t="s">
        <v>112</v>
      </c>
      <c r="C86" s="55" t="s">
        <v>112</v>
      </c>
      <c r="D86" s="52">
        <f>VLOOKUP(C86,Days_Since_100_active!H:I,2,FALSE)</f>
        <v>108</v>
      </c>
      <c r="E86" s="56">
        <f ca="1">OFFSET(CumulativeActive!A86,-A86,MATCH(Country_Data!D86,CumulativeActive!B86:BT86,0))</f>
        <v>43912</v>
      </c>
      <c r="F86" s="41">
        <f>MAX(CumulativeConfirmed!86:86)</f>
        <v>143</v>
      </c>
      <c r="G86" s="41">
        <f>MAX(CumulativeDead!86:86)</f>
        <v>4</v>
      </c>
      <c r="J86" s="41">
        <v>36910560</v>
      </c>
      <c r="K86" s="52" t="s">
        <v>513</v>
      </c>
      <c r="L86" s="41" t="e">
        <v>#VALUE!</v>
      </c>
      <c r="M86" s="69">
        <f>G86/F86</f>
        <v>2.7972027972027972E-2</v>
      </c>
      <c r="N86" s="52" t="e">
        <f>VLOOKUP(C86,Deaths_since_10!H:I,2,FALSE)</f>
        <v>#N/A</v>
      </c>
      <c r="O86" s="56" t="e">
        <f ca="1">OFFSET(CumulativeDead!A86,-A86,MATCH(Country_Data!N86,CumulativeDead!B86:BT86,0))</f>
        <v>#N/A</v>
      </c>
      <c r="P86" s="52" t="e">
        <f ca="1">O86-E86</f>
        <v>#N/A</v>
      </c>
    </row>
    <row r="87" spans="1:16" x14ac:dyDescent="0.3">
      <c r="A87" s="52">
        <v>86</v>
      </c>
      <c r="B87" s="55" t="s">
        <v>93</v>
      </c>
      <c r="C87" s="55" t="s">
        <v>93</v>
      </c>
      <c r="D87" s="52">
        <f>VLOOKUP(C87,Days_Since_100_active!H:I,2,FALSE)</f>
        <v>141</v>
      </c>
      <c r="E87" s="56">
        <f ca="1">OFFSET(CumulativeActive!A87,-A87,MATCH(Country_Data!D87,CumulativeActive!B87:BT87,0))</f>
        <v>43912</v>
      </c>
      <c r="F87" s="41">
        <f>MAX(CumulativeConfirmed!87:87)</f>
        <v>179</v>
      </c>
      <c r="G87" s="41">
        <f>MAX(CumulativeDead!87:87)</f>
        <v>1</v>
      </c>
      <c r="J87" s="41">
        <v>2722289</v>
      </c>
      <c r="K87" s="52">
        <v>15.5</v>
      </c>
      <c r="L87" s="41">
        <v>421.95479499999999</v>
      </c>
      <c r="M87" s="69">
        <f>G87/F87</f>
        <v>5.5865921787709499E-3</v>
      </c>
      <c r="N87" s="52" t="e">
        <f>VLOOKUP(C87,Deaths_since_10!H:I,2,FALSE)</f>
        <v>#N/A</v>
      </c>
      <c r="O87" s="56" t="e">
        <f ca="1">OFFSET(CumulativeDead!A87,-A87,MATCH(Country_Data!N87,CumulativeDead!B87:BT87,0))</f>
        <v>#N/A</v>
      </c>
      <c r="P87" s="52" t="e">
        <f ca="1">O87-E87</f>
        <v>#N/A</v>
      </c>
    </row>
    <row r="88" spans="1:16" x14ac:dyDescent="0.3">
      <c r="A88" s="52">
        <v>87</v>
      </c>
      <c r="B88" s="55" t="s">
        <v>345</v>
      </c>
      <c r="C88" s="55" t="s">
        <v>345</v>
      </c>
      <c r="D88" s="52">
        <f>VLOOKUP(C88,Days_Since_100_active!H:I,2,FALSE)</f>
        <v>107</v>
      </c>
      <c r="E88" s="56">
        <f ca="1">OFFSET(CumulativeActive!A88,-A88,MATCH(Country_Data!D88,CumulativeActive!B88:BT88,0))</f>
        <v>43913</v>
      </c>
      <c r="F88" s="41">
        <f>MAX(CumulativeConfirmed!88:88)</f>
        <v>109</v>
      </c>
      <c r="G88" s="41">
        <f>MAX(CumulativeDead!88:88)</f>
        <v>1</v>
      </c>
      <c r="J88" s="41">
        <v>4033963</v>
      </c>
      <c r="K88" s="52" t="s">
        <v>513</v>
      </c>
      <c r="L88" s="41" t="e">
        <v>#VALUE!</v>
      </c>
      <c r="M88" s="69">
        <f>G88/F88</f>
        <v>9.1743119266055051E-3</v>
      </c>
      <c r="N88" s="52" t="e">
        <f>VLOOKUP(C88,Deaths_since_10!H:I,2,FALSE)</f>
        <v>#N/A</v>
      </c>
      <c r="O88" s="56" t="e">
        <f ca="1">OFFSET(CumulativeDead!A88,-A88,MATCH(Country_Data!N88,CumulativeDead!B88:BT88,0))</f>
        <v>#N/A</v>
      </c>
      <c r="P88" s="52" t="e">
        <f ca="1">O88-E88</f>
        <v>#N/A</v>
      </c>
    </row>
    <row r="89" spans="1:16" x14ac:dyDescent="0.3">
      <c r="A89" s="52">
        <v>88</v>
      </c>
      <c r="B89" s="55" t="s">
        <v>206</v>
      </c>
      <c r="C89" s="55" t="s">
        <v>206</v>
      </c>
      <c r="D89" s="52" t="e">
        <f>VLOOKUP(C89,Days_Since_100_active!H:I,2,FALSE)</f>
        <v>#N/A</v>
      </c>
      <c r="E89" s="56" t="e">
        <f ca="1">OFFSET(CumulativeActive!A89,-A89,MATCH(Country_Data!D89,CumulativeActive!B89:BT89,0))</f>
        <v>#N/A</v>
      </c>
      <c r="F89" s="41">
        <f>MAX(CumulativeConfirmed!89:89)</f>
        <v>22</v>
      </c>
      <c r="G89" s="41">
        <f>MAX(CumulativeDead!89:89)</f>
        <v>1</v>
      </c>
      <c r="J89" s="41">
        <v>7132538</v>
      </c>
      <c r="K89" s="52" t="s">
        <v>513</v>
      </c>
      <c r="L89" s="41" t="e">
        <v>#VALUE!</v>
      </c>
      <c r="M89" s="69">
        <f>G89/F89</f>
        <v>4.5454545454545456E-2</v>
      </c>
      <c r="N89" s="52" t="e">
        <f>VLOOKUP(C89,Deaths_since_10!H:I,2,FALSE)</f>
        <v>#N/A</v>
      </c>
      <c r="O89" s="56" t="e">
        <f ca="1">OFFSET(CumulativeDead!A89,-A89,MATCH(Country_Data!N89,CumulativeDead!B89:BT89,0))</f>
        <v>#N/A</v>
      </c>
      <c r="P89" s="52" t="e">
        <f ca="1">O89-E89</f>
        <v>#N/A</v>
      </c>
    </row>
    <row r="90" spans="1:16" x14ac:dyDescent="0.3">
      <c r="A90" s="52">
        <v>89</v>
      </c>
      <c r="B90" s="55" t="s">
        <v>52</v>
      </c>
      <c r="C90" s="55" t="s">
        <v>52</v>
      </c>
      <c r="D90" s="52" t="e">
        <f>VLOOKUP(C90,Days_Since_100_active!H:I,2,FALSE)</f>
        <v>#N/A</v>
      </c>
      <c r="E90" s="56" t="e">
        <f ca="1">OFFSET(CumulativeActive!A90,-A90,MATCH(Country_Data!D90,CumulativeActive!B90:BT90,0))</f>
        <v>#N/A</v>
      </c>
      <c r="F90" s="41">
        <f>MAX(CumulativeConfirmed!90:90)</f>
        <v>97</v>
      </c>
      <c r="G90" s="41">
        <f>MAX(CumulativeDead!90:90)</f>
        <v>0</v>
      </c>
      <c r="J90" s="41">
        <v>21413249</v>
      </c>
      <c r="K90" s="52" t="s">
        <v>513</v>
      </c>
      <c r="L90" s="41" t="e">
        <v>#VALUE!</v>
      </c>
      <c r="M90" s="69">
        <f>G90/F90</f>
        <v>0</v>
      </c>
      <c r="N90" s="52" t="e">
        <f>VLOOKUP(C90,Deaths_since_10!H:I,2,FALSE)</f>
        <v>#N/A</v>
      </c>
      <c r="O90" s="56" t="e">
        <f ca="1">OFFSET(CumulativeDead!A90,-A90,MATCH(Country_Data!N90,CumulativeDead!B90:BT90,0))</f>
        <v>#N/A</v>
      </c>
      <c r="P90" s="52" t="e">
        <f ca="1">O90-E90</f>
        <v>#N/A</v>
      </c>
    </row>
    <row r="91" spans="1:16" x14ac:dyDescent="0.3">
      <c r="A91" s="52">
        <v>90</v>
      </c>
      <c r="B91" s="55" t="s">
        <v>51</v>
      </c>
      <c r="C91" s="55" t="s">
        <v>51</v>
      </c>
      <c r="D91" s="52" t="e">
        <f>VLOOKUP(C91,Days_Since_100_active!H:I,2,FALSE)</f>
        <v>#N/A</v>
      </c>
      <c r="E91" s="56" t="e">
        <f ca="1">OFFSET(CumulativeActive!A91,-A91,MATCH(Country_Data!D91,CumulativeActive!B91:BT91,0))</f>
        <v>#N/A</v>
      </c>
      <c r="F91" s="41">
        <f>MAX(CumulativeConfirmed!91:91)</f>
        <v>87</v>
      </c>
      <c r="G91" s="41">
        <f>MAX(CumulativeDead!91:91)</f>
        <v>0</v>
      </c>
      <c r="J91" s="41">
        <v>16718965</v>
      </c>
      <c r="K91" s="52" t="s">
        <v>513</v>
      </c>
      <c r="L91" s="41" t="e">
        <v>#VALUE!</v>
      </c>
      <c r="M91" s="69">
        <f>G91/F91</f>
        <v>0</v>
      </c>
      <c r="N91" s="52" t="e">
        <f>VLOOKUP(C91,Deaths_since_10!H:I,2,FALSE)</f>
        <v>#N/A</v>
      </c>
      <c r="O91" s="56" t="e">
        <f ca="1">OFFSET(CumulativeDead!A91,-A91,MATCH(Country_Data!N91,CumulativeDead!B91:BT91,0))</f>
        <v>#N/A</v>
      </c>
      <c r="P91" s="52" t="e">
        <f ca="1">O91-E91</f>
        <v>#N/A</v>
      </c>
    </row>
    <row r="92" spans="1:16" x14ac:dyDescent="0.3">
      <c r="A92" s="52">
        <v>91</v>
      </c>
      <c r="B92" s="55" t="s">
        <v>106</v>
      </c>
      <c r="C92" s="55" t="s">
        <v>106</v>
      </c>
      <c r="D92" s="52">
        <f>VLOOKUP(C92,Days_Since_100_active!H:I,2,FALSE)</f>
        <v>110</v>
      </c>
      <c r="E92" s="56">
        <f ca="1">OFFSET(CumulativeActive!A92,-A92,MATCH(Country_Data!D92,CumulativeActive!B92:BT92,0))</f>
        <v>43911</v>
      </c>
      <c r="F92" s="41">
        <f>MAX(CumulativeConfirmed!92:92)</f>
        <v>245</v>
      </c>
      <c r="G92" s="41">
        <f>MAX(CumulativeDead!92:92)</f>
        <v>3</v>
      </c>
      <c r="J92" s="41">
        <v>10847910</v>
      </c>
      <c r="K92" s="52" t="s">
        <v>513</v>
      </c>
      <c r="L92" s="41" t="e">
        <v>#VALUE!</v>
      </c>
      <c r="M92" s="69">
        <f>G92/F92</f>
        <v>1.2244897959183673E-2</v>
      </c>
      <c r="N92" s="52" t="e">
        <f>VLOOKUP(C92,Deaths_since_10!H:I,2,FALSE)</f>
        <v>#N/A</v>
      </c>
      <c r="O92" s="56" t="e">
        <f ca="1">OFFSET(CumulativeDead!A92,-A92,MATCH(Country_Data!N92,CumulativeDead!B92:BT92,0))</f>
        <v>#N/A</v>
      </c>
      <c r="P92" s="52" t="e">
        <f ca="1">O92-E92</f>
        <v>#N/A</v>
      </c>
    </row>
    <row r="93" spans="1:16" x14ac:dyDescent="0.3">
      <c r="A93" s="52">
        <v>92</v>
      </c>
      <c r="B93" s="55" t="s">
        <v>176</v>
      </c>
      <c r="C93" s="55" t="s">
        <v>176</v>
      </c>
      <c r="D93" s="52" t="e">
        <f>VLOOKUP(C93,Days_Since_100_active!H:I,2,FALSE)</f>
        <v>#N/A</v>
      </c>
      <c r="E93" s="56" t="e">
        <f ca="1">OFFSET(CumulativeActive!A93,-A93,MATCH(Country_Data!D93,CumulativeActive!B93:BT93,0))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513</v>
      </c>
      <c r="L93" s="41" t="e">
        <v>#VALUE!</v>
      </c>
      <c r="M93" s="69" t="e">
        <f>G93/F93</f>
        <v>#DIV/0!</v>
      </c>
      <c r="N93" s="52" t="e">
        <f>VLOOKUP(C93,Deaths_since_10!H:I,2,FALSE)</f>
        <v>#N/A</v>
      </c>
      <c r="O93" s="56" t="e">
        <f ca="1">OFFSET(CumulativeDead!A93,-A93,MATCH(Country_Data!N93,CumulativeDead!B93:BT93,0))</f>
        <v>#N/A</v>
      </c>
      <c r="P93" s="52" t="e">
        <f ca="1">O93-E93</f>
        <v>#N/A</v>
      </c>
    </row>
    <row r="94" spans="1:16" x14ac:dyDescent="0.3">
      <c r="A94" s="52">
        <v>93</v>
      </c>
      <c r="B94" s="55" t="s">
        <v>95</v>
      </c>
      <c r="C94" s="55" t="s">
        <v>95</v>
      </c>
      <c r="D94" s="52">
        <f>VLOOKUP(C94,Days_Since_100_active!H:I,2,FALSE)</f>
        <v>102</v>
      </c>
      <c r="E94" s="56">
        <f ca="1">OFFSET(CumulativeActive!A94,-A94,MATCH(Country_Data!D94,CumulativeActive!B94:BT94,0))</f>
        <v>43912</v>
      </c>
      <c r="F94" s="41">
        <f>MAX(CumulativeConfirmed!94:94)</f>
        <v>102</v>
      </c>
      <c r="G94" s="41">
        <f>MAX(CumulativeDead!94:94)</f>
        <v>0</v>
      </c>
      <c r="J94" s="41">
        <v>4822233</v>
      </c>
      <c r="K94" s="52" t="s">
        <v>513</v>
      </c>
      <c r="L94" s="41" t="e">
        <v>#VALUE!</v>
      </c>
      <c r="M94" s="69">
        <f>G94/F94</f>
        <v>0</v>
      </c>
      <c r="N94" s="52" t="e">
        <f>VLOOKUP(C94,Deaths_since_10!H:I,2,FALSE)</f>
        <v>#N/A</v>
      </c>
      <c r="O94" s="56" t="e">
        <f ca="1">OFFSET(CumulativeDead!A94,-A94,MATCH(Country_Data!N94,CumulativeDead!B94:BT94,0))</f>
        <v>#N/A</v>
      </c>
      <c r="P94" s="52" t="e">
        <f ca="1">O94-E94</f>
        <v>#N/A</v>
      </c>
    </row>
    <row r="95" spans="1:16" x14ac:dyDescent="0.3">
      <c r="A95" s="52">
        <v>94</v>
      </c>
      <c r="B95" s="55" t="s">
        <v>354</v>
      </c>
      <c r="C95" s="55" t="s">
        <v>354</v>
      </c>
      <c r="D95" s="52" t="e">
        <f>VLOOKUP(C95,Days_Since_100_active!H:I,2,FALSE)</f>
        <v>#N/A</v>
      </c>
      <c r="E95" s="56" t="e">
        <f ca="1">OFFSET(CumulativeActive!A95,-A95,MATCH(Country_Data!D95,CumulativeActive!B95:BT95,0))</f>
        <v>#N/A</v>
      </c>
      <c r="F95" s="41">
        <f>MAX(CumulativeConfirmed!95:95)</f>
        <v>0</v>
      </c>
      <c r="G95" s="41">
        <f>MAX(CumulativeDead!95:95)</f>
        <v>0</v>
      </c>
      <c r="J95" s="41" t="e">
        <v>#N/A</v>
      </c>
      <c r="K95" s="52" t="s">
        <v>513</v>
      </c>
      <c r="L95" s="41" t="e">
        <v>#N/A</v>
      </c>
      <c r="M95" s="69" t="e">
        <f>G95/F95</f>
        <v>#DIV/0!</v>
      </c>
      <c r="N95" s="52" t="e">
        <f>VLOOKUP(C95,Deaths_since_10!H:I,2,FALSE)</f>
        <v>#N/A</v>
      </c>
      <c r="O95" s="56" t="e">
        <f ca="1">OFFSET(CumulativeDead!A95,-A95,MATCH(Country_Data!N95,CumulativeDead!B95:BT95,0))</f>
        <v>#N/A</v>
      </c>
      <c r="P95" s="52" t="e">
        <f ca="1">O95-E95</f>
        <v>#N/A</v>
      </c>
    </row>
    <row r="96" spans="1:16" x14ac:dyDescent="0.3">
      <c r="A96" s="52">
        <v>95</v>
      </c>
      <c r="B96" s="55" t="s">
        <v>355</v>
      </c>
      <c r="C96" s="55" t="s">
        <v>355</v>
      </c>
      <c r="D96" s="52">
        <f>VLOOKUP(C96,Days_Since_100_active!H:I,2,FALSE)</f>
        <v>189</v>
      </c>
      <c r="E96" s="56">
        <f ca="1">OFFSET(CumulativeActive!A96,-A96,MATCH(Country_Data!D96,CumulativeActive!B96:BT96,0))</f>
        <v>43909</v>
      </c>
      <c r="F96" s="41">
        <f>MAX(CumulativeConfirmed!96:96)</f>
        <v>1529</v>
      </c>
      <c r="G96" s="41">
        <f>MAX(CumulativeDead!96:96)</f>
        <v>37</v>
      </c>
      <c r="J96" s="41">
        <v>84339067</v>
      </c>
      <c r="K96" s="52" t="s">
        <v>513</v>
      </c>
      <c r="L96" s="41" t="e">
        <v>#VALUE!</v>
      </c>
      <c r="M96" s="69">
        <f>G96/F96</f>
        <v>2.4198822759973839E-2</v>
      </c>
      <c r="N96" s="52">
        <f>VLOOKUP(C96,Deaths_since_10!H:I,2,FALSE)</f>
        <v>9</v>
      </c>
      <c r="O96" s="56">
        <f ca="1">OFFSET(CumulativeDead!A96,-A96,MATCH(Country_Data!N96,CumulativeDead!B96:BT96,0))</f>
        <v>43911</v>
      </c>
      <c r="P96" s="52">
        <f ca="1">O96-E96</f>
        <v>2</v>
      </c>
    </row>
    <row r="97" spans="1:16" x14ac:dyDescent="0.3">
      <c r="A97" s="52">
        <v>96</v>
      </c>
      <c r="B97" s="55" t="s">
        <v>410</v>
      </c>
      <c r="C97" s="55" t="s">
        <v>410</v>
      </c>
      <c r="D97" s="52" t="e">
        <f>VLOOKUP(C97,Days_Since_100_active!H:I,2,FALSE)</f>
        <v>#N/A</v>
      </c>
      <c r="E97" s="56" t="e">
        <f ca="1">OFFSET(CumulativeActive!A97,-A97,MATCH(Country_Data!D97,CumulativeActive!B97:BT97,0))</f>
        <v>#N/A</v>
      </c>
      <c r="F97" s="41">
        <f>MAX(CumulativeConfirmed!97:97)</f>
        <v>40</v>
      </c>
      <c r="G97" s="41">
        <f>MAX(CumulativeDead!97:97)</f>
        <v>1</v>
      </c>
      <c r="J97" s="41">
        <v>11326616</v>
      </c>
      <c r="K97" s="52" t="s">
        <v>513</v>
      </c>
      <c r="L97" s="41" t="e">
        <v>#VALUE!</v>
      </c>
      <c r="M97" s="69">
        <f>G97/F97</f>
        <v>2.5000000000000001E-2</v>
      </c>
      <c r="N97" s="52" t="e">
        <f>VLOOKUP(C97,Deaths_since_10!H:I,2,FALSE)</f>
        <v>#N/A</v>
      </c>
      <c r="O97" s="56" t="e">
        <f ca="1">OFFSET(CumulativeDead!A97,-A97,MATCH(Country_Data!N97,CumulativeDead!B97:BT97,0))</f>
        <v>#N/A</v>
      </c>
      <c r="P97" s="52" t="e">
        <f ca="1">O97-E97</f>
        <v>#N/A</v>
      </c>
    </row>
    <row r="98" spans="1:16" x14ac:dyDescent="0.3">
      <c r="A98" s="52">
        <v>97</v>
      </c>
      <c r="B98" s="55" t="s">
        <v>413</v>
      </c>
      <c r="C98" s="55" t="s">
        <v>413</v>
      </c>
      <c r="D98" s="52" t="e">
        <f>VLOOKUP(C98,Days_Since_100_active!H:I,2,FALSE)</f>
        <v>#N/A</v>
      </c>
      <c r="E98" s="56" t="e">
        <f ca="1">OFFSET(CumulativeActive!A98,-A98,MATCH(Country_Data!D98,CumulativeActive!B98:BT98,0))</f>
        <v>#N/A</v>
      </c>
      <c r="F98" s="41">
        <f>MAX(CumulativeConfirmed!98:98)</f>
        <v>62</v>
      </c>
      <c r="G98" s="41">
        <f>MAX(CumulativeDead!98:98)</f>
        <v>3</v>
      </c>
      <c r="J98" s="41">
        <v>18776707</v>
      </c>
      <c r="K98" s="52" t="s">
        <v>513</v>
      </c>
      <c r="L98" s="41" t="e">
        <v>#VALUE!</v>
      </c>
      <c r="M98" s="69">
        <f>G98/F98</f>
        <v>4.8387096774193547E-2</v>
      </c>
      <c r="N98" s="52" t="e">
        <f>VLOOKUP(C98,Deaths_since_10!H:I,2,FALSE)</f>
        <v>#N/A</v>
      </c>
      <c r="O98" s="56" t="e">
        <f ca="1">OFFSET(CumulativeDead!A98,-A98,MATCH(Country_Data!N98,CumulativeDead!B98:BT98,0))</f>
        <v>#N/A</v>
      </c>
      <c r="P98" s="52" t="e">
        <f ca="1">O98-E98</f>
        <v>#N/A</v>
      </c>
    </row>
    <row r="99" spans="1:16" x14ac:dyDescent="0.3">
      <c r="A99" s="52">
        <v>98</v>
      </c>
      <c r="B99" s="55" t="s">
        <v>202</v>
      </c>
      <c r="C99" s="55" t="s">
        <v>202</v>
      </c>
      <c r="D99" s="52" t="e">
        <f>VLOOKUP(C99,Days_Since_100_active!H:I,2,FALSE)</f>
        <v>#N/A</v>
      </c>
      <c r="E99" s="56" t="e">
        <f ca="1">OFFSET(CumulativeActive!A99,-A99,MATCH(Country_Data!D99,CumulativeActive!B99:BT99,0))</f>
        <v>#N/A</v>
      </c>
      <c r="F99" s="41">
        <f>MAX(CumulativeConfirmed!99:99)</f>
        <v>33</v>
      </c>
      <c r="G99" s="41">
        <f>MAX(CumulativeDead!99:99)</f>
        <v>3</v>
      </c>
      <c r="J99" s="41">
        <v>164689383</v>
      </c>
      <c r="K99" s="52" t="s">
        <v>513</v>
      </c>
      <c r="L99" s="41" t="e">
        <v>#VALUE!</v>
      </c>
      <c r="M99" s="69">
        <f>G99/F99</f>
        <v>9.0909090909090912E-2</v>
      </c>
      <c r="N99" s="52" t="e">
        <f>VLOOKUP(C99,Deaths_since_10!H:I,2,FALSE)</f>
        <v>#N/A</v>
      </c>
      <c r="O99" s="56" t="e">
        <f ca="1">OFFSET(CumulativeDead!A99,-A99,MATCH(Country_Data!N99,CumulativeDead!B99:BT99,0))</f>
        <v>#N/A</v>
      </c>
      <c r="P99" s="52" t="e">
        <f ca="1">O99-E99</f>
        <v>#N/A</v>
      </c>
    </row>
    <row r="100" spans="1:16" x14ac:dyDescent="0.3">
      <c r="A100" s="52">
        <v>99</v>
      </c>
      <c r="B100" s="55" t="s">
        <v>346</v>
      </c>
      <c r="C100" s="55" t="s">
        <v>346</v>
      </c>
      <c r="D100" s="52" t="e">
        <f>VLOOKUP(C100,Days_Since_100_active!H:I,2,FALSE)</f>
        <v>#N/A</v>
      </c>
      <c r="E100" s="56" t="e">
        <f ca="1">OFFSET(CumulativeActive!A100,-A100,MATCH(Country_Data!D100,CumulativeActive!B100:BT100,0))</f>
        <v>#N/A</v>
      </c>
      <c r="F100" s="41">
        <f>MAX(CumulativeConfirmed!100:100)</f>
        <v>27</v>
      </c>
      <c r="G100" s="41">
        <f>MAX(CumulativeDead!100:100)</f>
        <v>0</v>
      </c>
      <c r="J100" s="41">
        <v>11673021</v>
      </c>
      <c r="K100" s="52" t="s">
        <v>513</v>
      </c>
      <c r="L100" s="41" t="e">
        <v>#VALUE!</v>
      </c>
      <c r="M100" s="69">
        <f>G100/F100</f>
        <v>0</v>
      </c>
      <c r="N100" s="52" t="e">
        <f>VLOOKUP(C100,Deaths_since_10!H:I,2,FALSE)</f>
        <v>#N/A</v>
      </c>
      <c r="O100" s="56" t="e">
        <f ca="1">OFFSET(CumulativeDead!A100,-A100,MATCH(Country_Data!N100,CumulativeDead!B100:BT100,0))</f>
        <v>#N/A</v>
      </c>
      <c r="P100" s="52" t="e">
        <f ca="1">O100-E100</f>
        <v>#N/A</v>
      </c>
    </row>
    <row r="101" spans="1:16" x14ac:dyDescent="0.3">
      <c r="A101" s="52">
        <v>100</v>
      </c>
      <c r="B101" s="55" t="s">
        <v>180</v>
      </c>
      <c r="C101" s="55" t="s">
        <v>180</v>
      </c>
      <c r="D101" s="52" t="e">
        <f>VLOOKUP(C101,Days_Since_100_active!H:I,2,FALSE)</f>
        <v>#N/A</v>
      </c>
      <c r="E101" s="56" t="e">
        <f ca="1">OFFSET(CumulativeActive!A101,-A101,MATCH(Country_Data!D101,CumulativeActive!B101:BT101,0))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513</v>
      </c>
      <c r="L101" s="41" t="e">
        <v>#VALUE!</v>
      </c>
      <c r="M101" s="69" t="e">
        <f>G101/F101</f>
        <v>#DIV/0!</v>
      </c>
      <c r="N101" s="52" t="e">
        <f>VLOOKUP(C101,Deaths_since_10!H:I,2,FALSE)</f>
        <v>#N/A</v>
      </c>
      <c r="O101" s="56" t="e">
        <f ca="1">OFFSET(CumulativeDead!A101,-A101,MATCH(Country_Data!N101,CumulativeDead!B101:BT101,0))</f>
        <v>#N/A</v>
      </c>
      <c r="P101" s="52" t="e">
        <f ca="1">O101-E101</f>
        <v>#N/A</v>
      </c>
    </row>
    <row r="102" spans="1:16" x14ac:dyDescent="0.3">
      <c r="A102" s="52">
        <v>101</v>
      </c>
      <c r="B102" s="55" t="s">
        <v>129</v>
      </c>
      <c r="C102" s="55" t="s">
        <v>129</v>
      </c>
      <c r="D102" s="52" t="e">
        <f>VLOOKUP(C102,Days_Since_100_active!H:I,2,FALSE)</f>
        <v>#N/A</v>
      </c>
      <c r="E102" s="56" t="e">
        <f ca="1">OFFSET(CumulativeActive!A102,-A102,MATCH(Country_Data!D102,CumulativeActive!B102:BT102,0))</f>
        <v>#N/A</v>
      </c>
      <c r="F102" s="41">
        <f>MAX(CumulativeConfirmed!102:102)</f>
        <v>73</v>
      </c>
      <c r="G102" s="41">
        <f>MAX(CumulativeDead!102:102)</f>
        <v>3</v>
      </c>
      <c r="J102" s="41">
        <v>43733762</v>
      </c>
      <c r="K102" s="52" t="s">
        <v>513</v>
      </c>
      <c r="L102" s="41" t="e">
        <v>#VALUE!</v>
      </c>
      <c r="M102" s="69">
        <f>G102/F102</f>
        <v>4.1095890410958902E-2</v>
      </c>
      <c r="N102" s="52" t="e">
        <f>VLOOKUP(C102,Deaths_since_10!H:I,2,FALSE)</f>
        <v>#N/A</v>
      </c>
      <c r="O102" s="56" t="e">
        <f ca="1">OFFSET(CumulativeDead!A102,-A102,MATCH(Country_Data!N102,CumulativeDead!B102:BT102,0))</f>
        <v>#N/A</v>
      </c>
      <c r="P102" s="52" t="e">
        <f ca="1">O102-E102</f>
        <v>#N/A</v>
      </c>
    </row>
    <row r="103" spans="1:16" x14ac:dyDescent="0.3">
      <c r="A103" s="52">
        <v>102</v>
      </c>
      <c r="B103" s="55" t="s">
        <v>422</v>
      </c>
      <c r="C103" s="55" t="s">
        <v>422</v>
      </c>
      <c r="D103" s="52" t="e">
        <f>VLOOKUP(C103,Days_Since_100_active!H:I,2,FALSE)</f>
        <v>#N/A</v>
      </c>
      <c r="E103" s="56" t="e">
        <f ca="1">OFFSET(CumulativeActive!A103,-A103,MATCH(Country_Data!D103,CumulativeActive!B103:BT103,0))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513</v>
      </c>
      <c r="L103" s="41" t="e">
        <v>#VALUE!</v>
      </c>
      <c r="M103" s="69" t="e">
        <f>G103/F103</f>
        <v>#DIV/0!</v>
      </c>
      <c r="N103" s="52" t="e">
        <f>VLOOKUP(C103,Deaths_since_10!H:I,2,FALSE)</f>
        <v>#N/A</v>
      </c>
      <c r="O103" s="56" t="e">
        <f ca="1">OFFSET(CumulativeDead!A103,-A103,MATCH(Country_Data!N103,CumulativeDead!B103:BT103,0))</f>
        <v>#N/A</v>
      </c>
      <c r="P103" s="52" t="e">
        <f ca="1">O103-E103</f>
        <v>#N/A</v>
      </c>
    </row>
    <row r="104" spans="1:16" x14ac:dyDescent="0.3">
      <c r="A104" s="52">
        <v>103</v>
      </c>
      <c r="B104" s="55" t="s">
        <v>279</v>
      </c>
      <c r="C104" s="55" t="s">
        <v>279</v>
      </c>
      <c r="D104" s="52" t="e">
        <f>VLOOKUP(C104,Days_Since_100_active!H:I,2,FALSE)</f>
        <v>#N/A</v>
      </c>
      <c r="E104" s="56" t="e">
        <f ca="1">OFFSET(CumulativeActive!A104,-A104,MATCH(Country_Data!D104,CumulativeActive!B104:BT104,0))</f>
        <v>#N/A</v>
      </c>
      <c r="F104" s="41">
        <f>MAX(CumulativeConfirmed!104:104)</f>
        <v>99</v>
      </c>
      <c r="G104" s="41">
        <f>MAX(CumulativeDead!104:104)</f>
        <v>4</v>
      </c>
      <c r="J104" s="41">
        <v>20903273</v>
      </c>
      <c r="K104" s="52" t="s">
        <v>513</v>
      </c>
      <c r="L104" s="41" t="e">
        <v>#VALUE!</v>
      </c>
      <c r="M104" s="69">
        <f>G104/F104</f>
        <v>4.0404040404040407E-2</v>
      </c>
      <c r="N104" s="52" t="e">
        <f>VLOOKUP(C104,Deaths_since_10!H:I,2,FALSE)</f>
        <v>#N/A</v>
      </c>
      <c r="O104" s="56" t="e">
        <f ca="1">OFFSET(CumulativeDead!A104,-A104,MATCH(Country_Data!N104,CumulativeDead!B104:BT104,0))</f>
        <v>#N/A</v>
      </c>
      <c r="P104" s="52" t="e">
        <f ca="1">O104-E104</f>
        <v>#N/A</v>
      </c>
    </row>
    <row r="105" spans="1:16" x14ac:dyDescent="0.3">
      <c r="A105" s="52">
        <v>104</v>
      </c>
      <c r="B105" s="55" t="s">
        <v>157</v>
      </c>
      <c r="C105" s="55" t="s">
        <v>157</v>
      </c>
      <c r="D105" s="52" t="e">
        <f>VLOOKUP(C105,Days_Since_100_active!H:I,2,FALSE)</f>
        <v>#N/A</v>
      </c>
      <c r="E105" s="56" t="e">
        <f ca="1">OFFSET(CumulativeActive!A105,-A105,MATCH(Country_Data!D105,CumulativeActive!B105:BT105,0))</f>
        <v>#N/A</v>
      </c>
      <c r="F105" s="41">
        <f>MAX(CumulativeConfirmed!105:105)</f>
        <v>56</v>
      </c>
      <c r="G105" s="41">
        <f>MAX(CumulativeDead!105:105)</f>
        <v>0</v>
      </c>
      <c r="J105" s="41">
        <v>26545863</v>
      </c>
      <c r="K105" s="52" t="s">
        <v>513</v>
      </c>
      <c r="L105" s="41" t="e">
        <v>#VALUE!</v>
      </c>
      <c r="M105" s="69">
        <f>G105/F105</f>
        <v>0</v>
      </c>
      <c r="N105" s="52" t="e">
        <f>VLOOKUP(C105,Deaths_since_10!H:I,2,FALSE)</f>
        <v>#N/A</v>
      </c>
      <c r="O105" s="56" t="e">
        <f ca="1">OFFSET(CumulativeDead!A105,-A105,MATCH(Country_Data!N105,CumulativeDead!B105:BT105,0))</f>
        <v>#N/A</v>
      </c>
      <c r="P105" s="52" t="e">
        <f ca="1">O105-E105</f>
        <v>#N/A</v>
      </c>
    </row>
    <row r="106" spans="1:16" x14ac:dyDescent="0.3">
      <c r="A106" s="52">
        <v>105</v>
      </c>
      <c r="B106" s="55" t="s">
        <v>351</v>
      </c>
      <c r="C106" s="55" t="s">
        <v>351</v>
      </c>
      <c r="D106" s="52" t="e">
        <f>VLOOKUP(C106,Days_Since_100_active!H:I,2,FALSE)</f>
        <v>#N/A</v>
      </c>
      <c r="E106" s="56" t="e">
        <f ca="1">OFFSET(CumulativeActive!A106,-A106,MATCH(Country_Data!D106,CumulativeActive!B106:BT106,0))</f>
        <v>#N/A</v>
      </c>
      <c r="F106" s="41">
        <f>MAX(CumulativeConfirmed!106:106)</f>
        <v>36</v>
      </c>
      <c r="G106" s="41">
        <f>MAX(CumulativeDead!106:106)</f>
        <v>1</v>
      </c>
      <c r="J106" s="41" t="e">
        <v>#N/A</v>
      </c>
      <c r="K106" s="52" t="s">
        <v>513</v>
      </c>
      <c r="L106" s="41" t="e">
        <v>#N/A</v>
      </c>
      <c r="M106" s="69">
        <f>G106/F106</f>
        <v>2.7777777777777776E-2</v>
      </c>
      <c r="N106" s="52" t="e">
        <f>VLOOKUP(C106,Deaths_since_10!H:I,2,FALSE)</f>
        <v>#N/A</v>
      </c>
      <c r="O106" s="56" t="e">
        <f ca="1">OFFSET(CumulativeDead!A106,-A106,MATCH(Country_Data!N106,CumulativeDead!B106:BT106,0))</f>
        <v>#N/A</v>
      </c>
      <c r="P106" s="52" t="e">
        <f ca="1">O106-E106</f>
        <v>#N/A</v>
      </c>
    </row>
    <row r="107" spans="1:16" x14ac:dyDescent="0.3">
      <c r="A107" s="52">
        <v>106</v>
      </c>
      <c r="B107" s="55" t="s">
        <v>348</v>
      </c>
      <c r="C107" s="55" t="s">
        <v>348</v>
      </c>
      <c r="D107" s="52" t="e">
        <f>VLOOKUP(C107,Days_Since_100_active!H:I,2,FALSE)</f>
        <v>#N/A</v>
      </c>
      <c r="E107" s="56" t="e">
        <f ca="1">OFFSET(CumulativeActive!A107,-A107,MATCH(Country_Data!D107,CumulativeActive!B107:BT107,0))</f>
        <v>#N/A</v>
      </c>
      <c r="F107" s="41">
        <f>MAX(CumulativeConfirmed!107:107)</f>
        <v>30</v>
      </c>
      <c r="G107" s="41">
        <f>MAX(CumulativeDead!107:107)</f>
        <v>0</v>
      </c>
      <c r="J107" s="41">
        <v>9904607</v>
      </c>
      <c r="K107" s="52" t="s">
        <v>513</v>
      </c>
      <c r="L107" s="41" t="e">
        <v>#VALUE!</v>
      </c>
      <c r="M107" s="69">
        <f>G107/F107</f>
        <v>0</v>
      </c>
      <c r="N107" s="52" t="e">
        <f>VLOOKUP(C107,Deaths_since_10!H:I,2,FALSE)</f>
        <v>#N/A</v>
      </c>
      <c r="O107" s="56" t="e">
        <f ca="1">OFFSET(CumulativeDead!A107,-A107,MATCH(Country_Data!N107,CumulativeDead!B107:BT107,0))</f>
        <v>#N/A</v>
      </c>
      <c r="P107" s="52" t="e">
        <f ca="1">O107-E107</f>
        <v>#N/A</v>
      </c>
    </row>
    <row r="108" spans="1:16" x14ac:dyDescent="0.3">
      <c r="A108" s="52">
        <v>107</v>
      </c>
      <c r="B108" s="55" t="s">
        <v>100</v>
      </c>
      <c r="C108" s="55" t="s">
        <v>100</v>
      </c>
      <c r="D108" s="52" t="e">
        <f>VLOOKUP(C108,Days_Since_100_active!H:I,2,FALSE)</f>
        <v>#N/A</v>
      </c>
      <c r="E108" s="56" t="e">
        <f ca="1">OFFSET(CumulativeActive!A108,-A108,MATCH(Country_Data!D108,CumulativeActive!B108:BT108,0))</f>
        <v>#N/A</v>
      </c>
      <c r="F108" s="41">
        <f>MAX(CumulativeConfirmed!108:108)</f>
        <v>23</v>
      </c>
      <c r="G108" s="41">
        <f>MAX(CumulativeDead!108:108)</f>
        <v>0</v>
      </c>
      <c r="J108" s="41">
        <v>39242</v>
      </c>
      <c r="K108" s="52" t="s">
        <v>513</v>
      </c>
      <c r="L108" s="41" t="e">
        <v>#VALUE!</v>
      </c>
      <c r="M108" s="69">
        <f>G108/F108</f>
        <v>0</v>
      </c>
      <c r="N108" s="52" t="e">
        <f>VLOOKUP(C108,Deaths_since_10!H:I,2,FALSE)</f>
        <v>#N/A</v>
      </c>
      <c r="O108" s="56" t="e">
        <f ca="1">OFFSET(CumulativeDead!A108,-A108,MATCH(Country_Data!N108,CumulativeDead!B108:BT108,0))</f>
        <v>#N/A</v>
      </c>
      <c r="P108" s="52" t="e">
        <f ca="1">O108-E108</f>
        <v>#N/A</v>
      </c>
    </row>
    <row r="109" spans="1:16" x14ac:dyDescent="0.3">
      <c r="A109" s="52">
        <v>108</v>
      </c>
      <c r="B109" s="55" t="s">
        <v>96</v>
      </c>
      <c r="C109" s="55" t="s">
        <v>96</v>
      </c>
      <c r="D109" s="52" t="e">
        <f>VLOOKUP(C109,Days_Since_100_active!H:I,2,FALSE)</f>
        <v>#N/A</v>
      </c>
      <c r="E109" s="56" t="e">
        <f ca="1">OFFSET(CumulativeActive!A109,-A109,MATCH(Country_Data!D109,CumulativeActive!B109:BT109,0))</f>
        <v>#N/A</v>
      </c>
      <c r="F109" s="41">
        <f>MAX(CumulativeConfirmed!109:109)</f>
        <v>40</v>
      </c>
      <c r="G109" s="41">
        <f>MAX(CumulativeDead!109:109)</f>
        <v>1</v>
      </c>
      <c r="J109" s="41">
        <v>206139589</v>
      </c>
      <c r="K109" s="52" t="s">
        <v>513</v>
      </c>
      <c r="L109" s="41" t="e">
        <v>#VALUE!</v>
      </c>
      <c r="M109" s="69">
        <f>G109/F109</f>
        <v>2.5000000000000001E-2</v>
      </c>
      <c r="N109" s="52" t="e">
        <f>VLOOKUP(C109,Deaths_since_10!H:I,2,FALSE)</f>
        <v>#N/A</v>
      </c>
      <c r="O109" s="56" t="e">
        <f ca="1">OFFSET(CumulativeDead!A109,-A109,MATCH(Country_Data!N109,CumulativeDead!B109:BT109,0))</f>
        <v>#N/A</v>
      </c>
      <c r="P109" s="52" t="e">
        <f ca="1">O109-E109</f>
        <v>#N/A</v>
      </c>
    </row>
    <row r="110" spans="1:16" x14ac:dyDescent="0.3">
      <c r="A110" s="52">
        <v>109</v>
      </c>
      <c r="B110" s="55" t="s">
        <v>109</v>
      </c>
      <c r="C110" s="55" t="s">
        <v>109</v>
      </c>
      <c r="D110" s="52">
        <f>VLOOKUP(C110,Days_Since_100_active!H:I,2,FALSE)</f>
        <v>111</v>
      </c>
      <c r="E110" s="56">
        <f ca="1">OFFSET(CumulativeActive!A110,-A110,MATCH(Country_Data!D110,CumulativeActive!B110:BT110,0))</f>
        <v>43912</v>
      </c>
      <c r="F110" s="41">
        <f>MAX(CumulativeConfirmed!110:110)</f>
        <v>133</v>
      </c>
      <c r="G110" s="41">
        <f>MAX(CumulativeDead!110:110)</f>
        <v>1</v>
      </c>
      <c r="J110" s="41">
        <v>77265</v>
      </c>
      <c r="K110" s="52" t="s">
        <v>513</v>
      </c>
      <c r="L110" s="41" t="e">
        <v>#VALUE!</v>
      </c>
      <c r="M110" s="69">
        <f>G110/F110</f>
        <v>7.5187969924812026E-3</v>
      </c>
      <c r="N110" s="52" t="e">
        <f>VLOOKUP(C110,Deaths_since_10!H:I,2,FALSE)</f>
        <v>#N/A</v>
      </c>
      <c r="O110" s="56" t="e">
        <f ca="1">OFFSET(CumulativeDead!A110,-A110,MATCH(Country_Data!N110,CumulativeDead!B110:BT110,0))</f>
        <v>#N/A</v>
      </c>
      <c r="P110" s="52" t="e">
        <f ca="1">O110-E110</f>
        <v>#N/A</v>
      </c>
    </row>
    <row r="111" spans="1:16" x14ac:dyDescent="0.3">
      <c r="A111" s="52">
        <v>110</v>
      </c>
      <c r="B111" s="55" t="s">
        <v>424</v>
      </c>
      <c r="C111" s="55" t="s">
        <v>424</v>
      </c>
      <c r="D111" s="52" t="e">
        <f>VLOOKUP(C111,Days_Since_100_active!H:I,2,FALSE)</f>
        <v>#N/A</v>
      </c>
      <c r="E111" s="56" t="e">
        <f ca="1">OFFSET(CumulativeActive!A111,-A111,MATCH(Country_Data!D111,CumulativeActive!B111:BT111,0))</f>
        <v>#N/A</v>
      </c>
      <c r="F111" s="41">
        <f>MAX(CumulativeConfirmed!111:111)</f>
        <v>3</v>
      </c>
      <c r="G111" s="41">
        <f>MAX(CumulativeDead!111:111)</f>
        <v>0</v>
      </c>
      <c r="J111" s="41">
        <v>97929</v>
      </c>
      <c r="K111" s="52" t="s">
        <v>513</v>
      </c>
      <c r="L111" s="41" t="e">
        <v>#VALUE!</v>
      </c>
      <c r="M111" s="69">
        <f>G111/F111</f>
        <v>0</v>
      </c>
      <c r="N111" s="52" t="e">
        <f>VLOOKUP(C111,Deaths_since_10!H:I,2,FALSE)</f>
        <v>#N/A</v>
      </c>
      <c r="O111" s="56" t="e">
        <f ca="1">OFFSET(CumulativeDead!A111,-A111,MATCH(Country_Data!N111,CumulativeDead!B111:BT111,0))</f>
        <v>#N/A</v>
      </c>
      <c r="P111" s="52" t="e">
        <f ca="1">O111-E111</f>
        <v>#N/A</v>
      </c>
    </row>
    <row r="112" spans="1:16" x14ac:dyDescent="0.3">
      <c r="A112" s="52">
        <v>111</v>
      </c>
      <c r="B112" s="55" t="s">
        <v>156</v>
      </c>
      <c r="C112" s="55" t="s">
        <v>156</v>
      </c>
      <c r="D112" s="52" t="e">
        <f>VLOOKUP(C112,Days_Since_100_active!H:I,2,FALSE)</f>
        <v>#N/A</v>
      </c>
      <c r="E112" s="56" t="e">
        <f ca="1">OFFSET(CumulativeActive!A112,-A112,MATCH(Country_Data!D112,CumulativeActive!B112:BT112,0))</f>
        <v>#N/A</v>
      </c>
      <c r="F112" s="41">
        <f>MAX(CumulativeConfirmed!112:112)</f>
        <v>2</v>
      </c>
      <c r="G112" s="41">
        <f>MAX(CumulativeDead!112:112)</f>
        <v>0</v>
      </c>
      <c r="J112" s="41">
        <v>771608</v>
      </c>
      <c r="K112" s="52" t="s">
        <v>513</v>
      </c>
      <c r="L112" s="41" t="e">
        <v>#VALUE!</v>
      </c>
      <c r="M112" s="69">
        <f>G112/F112</f>
        <v>0</v>
      </c>
      <c r="N112" s="52" t="e">
        <f>VLOOKUP(C112,Deaths_since_10!H:I,2,FALSE)</f>
        <v>#N/A</v>
      </c>
      <c r="O112" s="56" t="e">
        <f ca="1">OFFSET(CumulativeDead!A112,-A112,MATCH(Country_Data!N112,CumulativeDead!B112:BT112,0))</f>
        <v>#N/A</v>
      </c>
      <c r="P112" s="52" t="e">
        <f ca="1">O112-E112</f>
        <v>#N/A</v>
      </c>
    </row>
    <row r="113" spans="1:16" x14ac:dyDescent="0.3">
      <c r="A113" s="52">
        <v>112</v>
      </c>
      <c r="B113" s="55" t="s">
        <v>415</v>
      </c>
      <c r="C113" s="55" t="s">
        <v>415</v>
      </c>
      <c r="D113" s="52" t="e">
        <f>VLOOKUP(C113,Days_Since_100_active!H:I,2,FALSE)</f>
        <v>#N/A</v>
      </c>
      <c r="E113" s="56" t="e">
        <f ca="1">OFFSET(CumulativeActive!A113,-A113,MATCH(Country_Data!D113,CumulativeActive!B113:BT113,0))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513</v>
      </c>
      <c r="L113" s="41" t="e">
        <v>#VALUE!</v>
      </c>
      <c r="M113" s="69" t="e">
        <f>G113/F113</f>
        <v>#DIV/0!</v>
      </c>
      <c r="N113" s="52" t="e">
        <f>VLOOKUP(C113,Deaths_since_10!H:I,2,FALSE)</f>
        <v>#N/A</v>
      </c>
      <c r="O113" s="56" t="e">
        <f ca="1">OFFSET(CumulativeDead!A113,-A113,MATCH(Country_Data!N113,CumulativeDead!B113:BT113,0))</f>
        <v>#N/A</v>
      </c>
      <c r="P113" s="52" t="e">
        <f ca="1">O113-E113</f>
        <v>#N/A</v>
      </c>
    </row>
    <row r="114" spans="1:16" x14ac:dyDescent="0.3">
      <c r="A114" s="52">
        <v>113</v>
      </c>
      <c r="B114" s="55" t="s">
        <v>352</v>
      </c>
      <c r="C114" s="55" t="s">
        <v>352</v>
      </c>
      <c r="D114" s="52" t="e">
        <f>VLOOKUP(C114,Days_Since_100_active!H:I,2,FALSE)</f>
        <v>#N/A</v>
      </c>
      <c r="E114" s="56" t="e">
        <f ca="1">OFFSET(CumulativeActive!A114,-A114,MATCH(Country_Data!D114,CumulativeActive!B114:BT114,0))</f>
        <v>#N/A</v>
      </c>
      <c r="F114" s="41">
        <f>MAX(CumulativeConfirmed!114:114)</f>
        <v>25</v>
      </c>
      <c r="G114" s="41">
        <f>MAX(CumulativeDead!114:114)</f>
        <v>0</v>
      </c>
      <c r="J114" s="41" t="e">
        <v>#N/A</v>
      </c>
      <c r="K114" s="52" t="s">
        <v>513</v>
      </c>
      <c r="L114" s="41" t="e">
        <v>#N/A</v>
      </c>
      <c r="M114" s="69">
        <f>G114/F114</f>
        <v>0</v>
      </c>
      <c r="N114" s="52" t="e">
        <f>VLOOKUP(C114,Deaths_since_10!H:I,2,FALSE)</f>
        <v>#N/A</v>
      </c>
      <c r="O114" s="56" t="e">
        <f ca="1">OFFSET(CumulativeDead!A114,-A114,MATCH(Country_Data!N114,CumulativeDead!B114:BT114,0))</f>
        <v>#N/A</v>
      </c>
      <c r="P114" s="52" t="e">
        <f ca="1">O114-E114</f>
        <v>#N/A</v>
      </c>
    </row>
    <row r="115" spans="1:16" x14ac:dyDescent="0.3">
      <c r="A115" s="52">
        <v>114</v>
      </c>
      <c r="B115" s="55" t="s">
        <v>419</v>
      </c>
      <c r="C115" s="55" t="s">
        <v>419</v>
      </c>
      <c r="D115" s="52" t="e">
        <f>VLOOKUP(C115,Days_Since_100_active!H:I,2,FALSE)</f>
        <v>#N/A</v>
      </c>
      <c r="E115" s="56" t="e">
        <f ca="1">OFFSET(CumulativeActive!A115,-A115,MATCH(Country_Data!D115,CumulativeActive!B115:BT115,0))</f>
        <v>#N/A</v>
      </c>
      <c r="F115" s="41">
        <f>MAX(CumulativeConfirmed!115:115)</f>
        <v>11</v>
      </c>
      <c r="G115" s="41">
        <f>MAX(CumulativeDead!115:115)</f>
        <v>0</v>
      </c>
      <c r="J115" s="41">
        <v>114963588</v>
      </c>
      <c r="K115" s="52" t="s">
        <v>513</v>
      </c>
      <c r="L115" s="41" t="e">
        <v>#VALUE!</v>
      </c>
      <c r="M115" s="69">
        <f>G115/F115</f>
        <v>0</v>
      </c>
      <c r="N115" s="52" t="e">
        <f>VLOOKUP(C115,Deaths_since_10!H:I,2,FALSE)</f>
        <v>#N/A</v>
      </c>
      <c r="O115" s="56" t="e">
        <f ca="1">OFFSET(CumulativeDead!A115,-A115,MATCH(Country_Data!N115,CumulativeDead!B115:BT115,0))</f>
        <v>#N/A</v>
      </c>
      <c r="P115" s="52" t="e">
        <f ca="1">O115-E115</f>
        <v>#N/A</v>
      </c>
    </row>
    <row r="116" spans="1:16" x14ac:dyDescent="0.3">
      <c r="A116" s="52">
        <v>115</v>
      </c>
      <c r="B116" s="55" t="s">
        <v>416</v>
      </c>
      <c r="C116" s="55" t="s">
        <v>416</v>
      </c>
      <c r="D116" s="52" t="e">
        <f>VLOOKUP(C116,Days_Since_100_active!H:I,2,FALSE)</f>
        <v>#N/A</v>
      </c>
      <c r="E116" s="56" t="e">
        <f ca="1">OFFSET(CumulativeActive!A116,-A116,MATCH(Country_Data!D116,CumulativeActive!B116:BT116,0))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513</v>
      </c>
      <c r="L116" s="41" t="e">
        <v>#VALUE!</v>
      </c>
      <c r="M116" s="69" t="e">
        <f>G116/F116</f>
        <v>#DIV/0!</v>
      </c>
      <c r="N116" s="52" t="e">
        <f>VLOOKUP(C116,Deaths_since_10!H:I,2,FALSE)</f>
        <v>#N/A</v>
      </c>
      <c r="O116" s="56" t="e">
        <f ca="1">OFFSET(CumulativeDead!A116,-A116,MATCH(Country_Data!N116,CumulativeDead!B116:BT116,0))</f>
        <v>#N/A</v>
      </c>
      <c r="P116" s="52" t="e">
        <f ca="1">O116-E116</f>
        <v>#N/A</v>
      </c>
    </row>
    <row r="117" spans="1:16" x14ac:dyDescent="0.3">
      <c r="A117" s="52">
        <v>116</v>
      </c>
      <c r="B117" s="55" t="s">
        <v>421</v>
      </c>
      <c r="C117" s="55" t="s">
        <v>421</v>
      </c>
      <c r="D117" s="52" t="e">
        <f>VLOOKUP(C117,Days_Since_100_active!H:I,2,FALSE)</f>
        <v>#N/A</v>
      </c>
      <c r="E117" s="56" t="e">
        <f ca="1">OFFSET(CumulativeActive!A117,-A117,MATCH(Country_Data!D117,CumulativeActive!B117:BT117,0))</f>
        <v>#N/A</v>
      </c>
      <c r="F117" s="41">
        <f>MAX(CumulativeConfirmed!117:117)</f>
        <v>4</v>
      </c>
      <c r="G117" s="41">
        <f>MAX(CumulativeDead!117:117)</f>
        <v>0</v>
      </c>
      <c r="J117" s="41">
        <v>13132795</v>
      </c>
      <c r="K117" s="52" t="s">
        <v>513</v>
      </c>
      <c r="L117" s="41" t="e">
        <v>#VALUE!</v>
      </c>
      <c r="M117" s="69">
        <f>G117/F117</f>
        <v>0</v>
      </c>
      <c r="N117" s="52" t="e">
        <f>VLOOKUP(C117,Deaths_since_10!H:I,2,FALSE)</f>
        <v>#N/A</v>
      </c>
      <c r="O117" s="56" t="e">
        <f ca="1">OFFSET(CumulativeDead!A117,-A117,MATCH(Country_Data!N117,CumulativeDead!B117:BT117,0))</f>
        <v>#N/A</v>
      </c>
      <c r="P117" s="52" t="e">
        <f ca="1">O117-E117</f>
        <v>#N/A</v>
      </c>
    </row>
    <row r="118" spans="1:16" x14ac:dyDescent="0.3">
      <c r="A118" s="52">
        <v>117</v>
      </c>
      <c r="B118" s="55" t="s">
        <v>411</v>
      </c>
      <c r="C118" s="55" t="s">
        <v>411</v>
      </c>
      <c r="D118" s="52" t="e">
        <f>VLOOKUP(C118,Days_Since_100_active!H:I,2,FALSE)</f>
        <v>#N/A</v>
      </c>
      <c r="E118" s="56" t="e">
        <f ca="1">OFFSET(CumulativeActive!A118,-A118,MATCH(Country_Data!D118,CumulativeActive!B118:BT118,0))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513</v>
      </c>
      <c r="L118" s="41" t="e">
        <v>#VALUE!</v>
      </c>
      <c r="M118" s="69">
        <f>G118/F118</f>
        <v>0.05</v>
      </c>
      <c r="N118" s="52" t="e">
        <f>VLOOKUP(C118,Deaths_since_10!H:I,2,FALSE)</f>
        <v>#N/A</v>
      </c>
      <c r="O118" s="56" t="e">
        <f ca="1">OFFSET(CumulativeDead!A118,-A118,MATCH(Country_Data!N118,CumulativeDead!B118:BT118,0))</f>
        <v>#N/A</v>
      </c>
      <c r="P118" s="52" t="e">
        <f ca="1">O118-E118</f>
        <v>#N/A</v>
      </c>
    </row>
    <row r="119" spans="1:16" x14ac:dyDescent="0.3">
      <c r="A119" s="52">
        <v>118</v>
      </c>
      <c r="B119" s="55" t="s">
        <v>281</v>
      </c>
      <c r="C119" s="55" t="s">
        <v>281</v>
      </c>
      <c r="D119" s="52" t="e">
        <f>VLOOKUP(C119,Days_Since_100_active!H:I,2,FALSE)</f>
        <v>#N/A</v>
      </c>
      <c r="E119" s="56" t="e">
        <f ca="1">OFFSET(CumulativeActive!A119,-A119,MATCH(Country_Data!D119,CumulativeActive!B119:BT119,0))</f>
        <v>#N/A</v>
      </c>
      <c r="F119" s="41">
        <f>MAX(CumulativeConfirmed!119:119)</f>
        <v>1</v>
      </c>
      <c r="G119" s="41">
        <f>MAX(CumulativeDead!119:119)</f>
        <v>0</v>
      </c>
      <c r="J119" s="41">
        <v>801</v>
      </c>
      <c r="K119" s="52" t="s">
        <v>513</v>
      </c>
      <c r="L119" s="41" t="e">
        <v>#VALUE!</v>
      </c>
      <c r="M119" s="69">
        <f>G119/F119</f>
        <v>0</v>
      </c>
      <c r="N119" s="52" t="e">
        <f>VLOOKUP(C119,Deaths_since_10!H:I,2,FALSE)</f>
        <v>#N/A</v>
      </c>
      <c r="O119" s="56" t="e">
        <f ca="1">OFFSET(CumulativeDead!A119,-A119,MATCH(Country_Data!N119,CumulativeDead!B119:BT119,0))</f>
        <v>#N/A</v>
      </c>
      <c r="P119" s="52" t="e">
        <f ca="1">O119-E119</f>
        <v>#N/A</v>
      </c>
    </row>
    <row r="120" spans="1:16" x14ac:dyDescent="0.3">
      <c r="A120" s="52">
        <v>119</v>
      </c>
      <c r="B120" s="55" t="s">
        <v>125</v>
      </c>
      <c r="C120" s="55" t="s">
        <v>125</v>
      </c>
      <c r="D120" s="52">
        <f>VLOOKUP(C120,Days_Since_100_active!H:I,2,FALSE)</f>
        <v>111</v>
      </c>
      <c r="E120" s="56">
        <f ca="1">OFFSET(CumulativeActive!A120,-A120,MATCH(Country_Data!D120,CumulativeActive!B120:BT120,0))</f>
        <v>43912</v>
      </c>
      <c r="F120" s="41">
        <f>MAX(CumulativeConfirmed!120:120)</f>
        <v>127</v>
      </c>
      <c r="G120" s="41">
        <f>MAX(CumulativeDead!120:120)</f>
        <v>0</v>
      </c>
      <c r="J120" s="41">
        <v>10203134</v>
      </c>
      <c r="K120" s="52" t="s">
        <v>513</v>
      </c>
      <c r="L120" s="41" t="e">
        <v>#VALUE!</v>
      </c>
      <c r="M120" s="69">
        <f>G120/F120</f>
        <v>0</v>
      </c>
      <c r="N120" s="52" t="e">
        <f>VLOOKUP(C120,Deaths_since_10!H:I,2,FALSE)</f>
        <v>#N/A</v>
      </c>
      <c r="O120" s="56" t="e">
        <f ca="1">OFFSET(CumulativeDead!A120,-A120,MATCH(Country_Data!N120,CumulativeDead!B120:BT120,0))</f>
        <v>#N/A</v>
      </c>
      <c r="P120" s="52" t="e">
        <f ca="1">O120-E120</f>
        <v>#N/A</v>
      </c>
    </row>
    <row r="121" spans="1:16" x14ac:dyDescent="0.3">
      <c r="A121" s="52">
        <v>120</v>
      </c>
      <c r="B121" s="55" t="s">
        <v>423</v>
      </c>
      <c r="C121" s="55" t="s">
        <v>423</v>
      </c>
      <c r="D121" s="52" t="e">
        <f>VLOOKUP(C121,Days_Since_100_active!H:I,2,FALSE)</f>
        <v>#N/A</v>
      </c>
      <c r="E121" s="56" t="e">
        <f ca="1">OFFSET(CumulativeActive!A121,-A121,MATCH(Country_Data!D121,CumulativeActive!B121:BT121,0))</f>
        <v>#N/A</v>
      </c>
      <c r="F121" s="41">
        <f>MAX(CumulativeConfirmed!121:121)</f>
        <v>16</v>
      </c>
      <c r="G121" s="41">
        <f>MAX(CumulativeDead!121:121)</f>
        <v>0</v>
      </c>
      <c r="J121" s="41">
        <v>53771296</v>
      </c>
      <c r="K121" s="52" t="s">
        <v>513</v>
      </c>
      <c r="L121" s="41" t="e">
        <v>#VALUE!</v>
      </c>
      <c r="M121" s="69">
        <f>G121/F121</f>
        <v>0</v>
      </c>
      <c r="N121" s="52" t="e">
        <f>VLOOKUP(C121,Deaths_since_10!H:I,2,FALSE)</f>
        <v>#N/A</v>
      </c>
      <c r="O121" s="56" t="e">
        <f ca="1">OFFSET(CumulativeDead!A121,-A121,MATCH(Country_Data!N121,CumulativeDead!B121:BT121,0))</f>
        <v>#N/A</v>
      </c>
      <c r="P121" s="52" t="e">
        <f ca="1">O121-E121</f>
        <v>#N/A</v>
      </c>
    </row>
    <row r="122" spans="1:16" x14ac:dyDescent="0.3">
      <c r="A122" s="52">
        <v>121</v>
      </c>
      <c r="B122" s="55" t="s">
        <v>136</v>
      </c>
      <c r="C122" s="55" t="s">
        <v>136</v>
      </c>
      <c r="D122" s="52" t="e">
        <f>VLOOKUP(C122,Days_Since_100_active!H:I,2,FALSE)</f>
        <v>#N/A</v>
      </c>
      <c r="E122" s="56" t="e">
        <f ca="1">OFFSET(CumulativeActive!A122,-A122,MATCH(Country_Data!D122,CumulativeActive!B122:BT122,0))</f>
        <v>#N/A</v>
      </c>
      <c r="F122" s="41">
        <f>MAX(CumulativeConfirmed!122:122)</f>
        <v>51</v>
      </c>
      <c r="G122" s="41">
        <f>MAX(CumulativeDead!122:122)</f>
        <v>0</v>
      </c>
      <c r="J122" s="41">
        <v>38128</v>
      </c>
      <c r="K122" s="52" t="s">
        <v>513</v>
      </c>
      <c r="L122" s="41" t="e">
        <v>#VALUE!</v>
      </c>
      <c r="M122" s="69">
        <f>G122/F122</f>
        <v>0</v>
      </c>
      <c r="N122" s="52" t="e">
        <f>VLOOKUP(C122,Deaths_since_10!H:I,2,FALSE)</f>
        <v>#N/A</v>
      </c>
      <c r="O122" s="56" t="e">
        <f ca="1">OFFSET(CumulativeDead!A122,-A122,MATCH(Country_Data!N122,CumulativeDead!B122:BT122,0))</f>
        <v>#N/A</v>
      </c>
      <c r="P122" s="52" t="e">
        <f ca="1">O122-E122</f>
        <v>#N/A</v>
      </c>
    </row>
    <row r="123" spans="1:16" x14ac:dyDescent="0.3">
      <c r="A123" s="52">
        <v>122</v>
      </c>
      <c r="B123" s="55" t="s">
        <v>282</v>
      </c>
      <c r="C123" s="55" t="s">
        <v>282</v>
      </c>
      <c r="D123" s="52" t="e">
        <f>VLOOKUP(C123,Days_Since_100_active!H:I,2,FALSE)</f>
        <v>#N/A</v>
      </c>
      <c r="E123" s="56" t="e">
        <f ca="1">OFFSET(CumulativeActive!A123,-A123,MATCH(Country_Data!D123,CumulativeActive!B123:BT123,0))</f>
        <v>#N/A</v>
      </c>
      <c r="F123" s="41">
        <f>MAX(CumulativeConfirmed!123:123)</f>
        <v>10</v>
      </c>
      <c r="G123" s="41">
        <f>MAX(CumulativeDead!123:123)</f>
        <v>0</v>
      </c>
      <c r="J123" s="41">
        <v>3278290</v>
      </c>
      <c r="K123" s="52" t="s">
        <v>513</v>
      </c>
      <c r="L123" s="41" t="e">
        <v>#VALUE!</v>
      </c>
      <c r="M123" s="69">
        <f>G123/F123</f>
        <v>0</v>
      </c>
      <c r="N123" s="52" t="e">
        <f>VLOOKUP(C123,Deaths_since_10!H:I,2,FALSE)</f>
        <v>#N/A</v>
      </c>
      <c r="O123" s="56" t="e">
        <f ca="1">OFFSET(CumulativeDead!A123,-A123,MATCH(Country_Data!N123,CumulativeDead!B123:BT123,0))</f>
        <v>#N/A</v>
      </c>
      <c r="P123" s="52" t="e">
        <f ca="1">O123-E123</f>
        <v>#N/A</v>
      </c>
    </row>
    <row r="124" spans="1:16" x14ac:dyDescent="0.3">
      <c r="A124" s="52">
        <v>123</v>
      </c>
      <c r="B124" s="55" t="s">
        <v>42</v>
      </c>
      <c r="C124" s="55" t="s">
        <v>42</v>
      </c>
      <c r="D124" s="52" t="e">
        <f>VLOOKUP(C124,Days_Since_100_active!H:I,2,FALSE)</f>
        <v>#N/A</v>
      </c>
      <c r="E124" s="56" t="e">
        <f ca="1">OFFSET(CumulativeActive!A124,-A124,MATCH(Country_Data!D124,CumulativeActive!B124:BT124,0))</f>
        <v>#N/A</v>
      </c>
      <c r="F124" s="41">
        <f>MAX(CumulativeConfirmed!124:124)</f>
        <v>2</v>
      </c>
      <c r="G124" s="41">
        <f>MAX(CumulativeDead!124:124)</f>
        <v>0</v>
      </c>
      <c r="J124" s="41">
        <v>29136808</v>
      </c>
      <c r="K124" s="52" t="s">
        <v>513</v>
      </c>
      <c r="L124" s="41" t="e">
        <v>#VALUE!</v>
      </c>
      <c r="M124" s="69">
        <f>G124/F124</f>
        <v>0</v>
      </c>
      <c r="N124" s="52" t="e">
        <f>VLOOKUP(C124,Deaths_since_10!H:I,2,FALSE)</f>
        <v>#N/A</v>
      </c>
      <c r="O124" s="56" t="e">
        <f ca="1">OFFSET(CumulativeDead!A124,-A124,MATCH(Country_Data!N124,CumulativeDead!B124:BT124,0))</f>
        <v>#N/A</v>
      </c>
      <c r="P124" s="52" t="e">
        <f ca="1">O124-E124</f>
        <v>#N/A</v>
      </c>
    </row>
    <row r="125" spans="1:16" x14ac:dyDescent="0.3">
      <c r="A125" s="52">
        <v>124</v>
      </c>
      <c r="B125" s="55" t="s">
        <v>420</v>
      </c>
      <c r="C125" s="55" t="s">
        <v>420</v>
      </c>
      <c r="D125" s="52" t="e">
        <f>VLOOKUP(C125,Days_Since_100_active!H:I,2,FALSE)</f>
        <v>#N/A</v>
      </c>
      <c r="E125" s="56" t="e">
        <f ca="1">OFFSET(CumulativeActive!A125,-A125,MATCH(Country_Data!D125,CumulativeActive!B125:BT125,0))</f>
        <v>#N/A</v>
      </c>
      <c r="F125" s="41">
        <f>MAX(CumulativeConfirmed!125:125)</f>
        <v>2</v>
      </c>
      <c r="G125" s="41">
        <f>MAX(CumulativeDead!125:125)</f>
        <v>1</v>
      </c>
      <c r="J125" s="41">
        <v>43849260</v>
      </c>
      <c r="K125" s="52" t="s">
        <v>513</v>
      </c>
      <c r="L125" s="41" t="e">
        <v>#VALUE!</v>
      </c>
      <c r="M125" s="69">
        <f>G125/F125</f>
        <v>0.5</v>
      </c>
      <c r="N125" s="52" t="e">
        <f>VLOOKUP(C125,Deaths_since_10!H:I,2,FALSE)</f>
        <v>#N/A</v>
      </c>
      <c r="O125" s="56" t="e">
        <f ca="1">OFFSET(CumulativeDead!A125,-A125,MATCH(Country_Data!N125,CumulativeDead!B125:BT125,0))</f>
        <v>#N/A</v>
      </c>
      <c r="P125" s="52" t="e">
        <f ca="1">O125-E125</f>
        <v>#N/A</v>
      </c>
    </row>
    <row r="126" spans="1:16" x14ac:dyDescent="0.3">
      <c r="A126" s="52">
        <v>125</v>
      </c>
      <c r="B126" s="52" t="e">
        <f>VLOOKUP(A125,Days_Since_100!G:H,2,FALSE)</f>
        <v>#N/A</v>
      </c>
      <c r="C126" s="52" t="e">
        <f>VLOOKUP(B127,Days_Since_100!H:I,2,FALSE)</f>
        <v>#N/A</v>
      </c>
      <c r="D126" s="52" t="e">
        <f>VLOOKUP(C126,Days_Since_100_active!H:I,2,FALSE)</f>
        <v>#N/A</v>
      </c>
      <c r="E126" s="56" t="e">
        <f ca="1">OFFSET(CumulativeActive!A126,-A126,MATCH(Country_Data!D126,CumulativeActive!B126:BT126,0))</f>
        <v>#N/A</v>
      </c>
      <c r="G126" s="41">
        <f>MAX(CumulativeDead!126:126)</f>
        <v>0</v>
      </c>
      <c r="J126" s="41" t="e">
        <v>#N/A</v>
      </c>
      <c r="K126" s="52" t="s">
        <v>513</v>
      </c>
      <c r="L126" s="41" t="e">
        <v>#N/A</v>
      </c>
      <c r="M126" s="69" t="e">
        <f>G126/F126</f>
        <v>#DIV/0!</v>
      </c>
      <c r="N126" s="52" t="e">
        <f>VLOOKUP(C126,Deaths_since_10!H:I,2,FALSE)</f>
        <v>#N/A</v>
      </c>
      <c r="O126" s="56" t="e">
        <f ca="1">OFFSET(CumulativeDead!A126,-A126,MATCH(Country_Data!N126,CumulativeDead!B126:BT126,0))</f>
        <v>#N/A</v>
      </c>
      <c r="P126" s="52" t="e">
        <f ca="1">O126-E126</f>
        <v>#N/A</v>
      </c>
    </row>
    <row r="127" spans="1:16" x14ac:dyDescent="0.3">
      <c r="B127" s="55" t="s">
        <v>163</v>
      </c>
      <c r="G127" s="41">
        <f>MAX(CumulativeDead!127:127)</f>
        <v>0</v>
      </c>
      <c r="J127" s="41">
        <v>8278724</v>
      </c>
      <c r="K127" s="52" t="s">
        <v>513</v>
      </c>
      <c r="L127" s="41" t="e">
        <v>#VALUE!</v>
      </c>
      <c r="M127" s="69" t="e">
        <f>G127/F127</f>
        <v>#DIV/0!</v>
      </c>
      <c r="N127" s="52" t="e">
        <f>VLOOKUP(C127,Deaths_since_10!H:I,2,FALSE)</f>
        <v>#N/A</v>
      </c>
      <c r="O127" s="56" t="e">
        <f ca="1">OFFSET(CumulativeDead!A127,-A127,MATCH(Country_Data!N127,CumulativeDead!B127:BT127,0))</f>
        <v>#N/A</v>
      </c>
      <c r="P127" s="52" t="e">
        <f ca="1">O127-E127</f>
        <v>#N/A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81435</v>
      </c>
      <c r="BK2">
        <f>SUMIF(ConfirmedRaw!$B:$B,$A2,ConfirmedRaw!BN:BN)</f>
        <v>81498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59138</v>
      </c>
      <c r="BK3">
        <f>SUMIF(ConfirmedRaw!$B:$B,$A3,ConfirmedRaw!BN:BN)</f>
        <v>63927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21638</v>
      </c>
      <c r="BK4">
        <f>SUMIF(ConfirmedRaw!$B:$B,$A4,ConfirmedRaw!BN:BN)</f>
        <v>23049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8961</v>
      </c>
      <c r="BK5">
        <f>SUMIF(ConfirmedRaw!$B:$B,$A5,ConfirmedRaw!BN:BN)</f>
        <v>8961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28768</v>
      </c>
      <c r="BK6">
        <f>SUMIF(ConfirmedRaw!$B:$B,$A6,ConfirmedRaw!BN:BN)</f>
        <v>35136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24873</v>
      </c>
      <c r="BK7">
        <f>SUMIF(ConfirmedRaw!$B:$B,$A7,ConfirmedRaw!BN:BN)</f>
        <v>29056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959</v>
      </c>
      <c r="AV8">
        <f>SUMIF(ConfirmedRaw!$B:$B,$A8,ConfirmedRaw!AY:AY)</f>
        <v>1136</v>
      </c>
      <c r="AW8">
        <f>SUMIF(ConfirmedRaw!$B:$B,$A8,ConfirmedRaw!AZ:AZ)</f>
        <v>1219</v>
      </c>
      <c r="AX8">
        <f>SUMIF(ConfirmedRaw!$B:$B,$A8,ConfirmedRaw!BA:BA)</f>
        <v>1794</v>
      </c>
      <c r="AY8">
        <f>SUMIF(ConfirmedRaw!$B:$B,$A8,ConfirmedRaw!BB:BB)</f>
        <v>2293</v>
      </c>
      <c r="AZ8">
        <f>SUMIF(ConfirmedRaw!$B:$B,$A8,ConfirmedRaw!BC:BC)</f>
        <v>2293</v>
      </c>
      <c r="BA8">
        <f>SUMIF(ConfirmedRaw!$B:$B,$A8,ConfirmedRaw!BD:BD)</f>
        <v>3681</v>
      </c>
      <c r="BB8">
        <f>SUMIF(ConfirmedRaw!$B:$B,$A8,ConfirmedRaw!BE:BE)</f>
        <v>4496</v>
      </c>
      <c r="BC8">
        <f>SUMIF(ConfirmedRaw!$B:$B,$A8,ConfirmedRaw!BF:BF)</f>
        <v>4532</v>
      </c>
      <c r="BD8">
        <f>SUMIF(ConfirmedRaw!$B:$B,$A8,ConfirmedRaw!BG:BG)</f>
        <v>6683</v>
      </c>
      <c r="BE8">
        <f>SUMIF(ConfirmedRaw!$B:$B,$A8,ConfirmedRaw!BH:BH)</f>
        <v>7715</v>
      </c>
      <c r="BF8">
        <f>SUMIF(ConfirmedRaw!$B:$B,$A8,ConfirmedRaw!BI:BI)</f>
        <v>9124</v>
      </c>
      <c r="BG8">
        <f>SUMIF(ConfirmedRaw!$B:$B,$A8,ConfirmedRaw!BJ:BJ)</f>
        <v>10970</v>
      </c>
      <c r="BH8">
        <f>SUMIF(ConfirmedRaw!$B:$B,$A8,ConfirmedRaw!BK:BK)</f>
        <v>12758</v>
      </c>
      <c r="BI8">
        <f>SUMIF(ConfirmedRaw!$B:$B,$A8,ConfirmedRaw!BL:BL)</f>
        <v>14463</v>
      </c>
      <c r="BJ8">
        <f>SUMIF(ConfirmedRaw!$B:$B,$A8,ConfirmedRaw!BM:BM)</f>
        <v>16243</v>
      </c>
      <c r="BK8">
        <f>SUMIF(ConfirmedRaw!$B:$B,$A8,ConfirmedRaw!BN:BN)</f>
        <v>20123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33276</v>
      </c>
      <c r="BK9">
        <f>SUMIF(ConfirmedRaw!$B:$B,$A9,ConfirmedRaw!BN:BN)</f>
        <v>43847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7474</v>
      </c>
      <c r="BK10">
        <f>SUMIF(ConfirmedRaw!$B:$B,$A10,ConfirmedRaw!BN:BN)</f>
        <v>8795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2385</v>
      </c>
      <c r="BK11">
        <f>SUMIF(ConfirmedRaw!$B:$B,$A11,ConfirmedRaw!BN:BN)</f>
        <v>2621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1934</v>
      </c>
      <c r="BK12">
        <f>SUMIF(ConfirmedRaw!$B:$B,$A12,ConfirmedRaw!BN:BN)</f>
        <v>2046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1514</v>
      </c>
      <c r="BK13">
        <f>SUMIF(ConfirmedRaw!$B:$B,$A13,ConfirmedRaw!BN:BN)</f>
        <v>1572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4217</v>
      </c>
      <c r="BK14">
        <f>SUMIF(ConfirmedRaw!$B:$B,$A14,ConfirmedRaw!BN:BN)</f>
        <v>4764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5745</v>
      </c>
      <c r="BK15">
        <f>SUMIF(ConfirmedRaw!$B:$B,$A15,ConfirmedRaw!BN:BN)</f>
        <v>6726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2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22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839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1101</v>
      </c>
      <c r="BK16">
        <f>SUMIF(ConfirmedRaw!$B:$B,$A16,ConfirmedRaw!BN:BN)</f>
        <v>1128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706</v>
      </c>
      <c r="AU17">
        <f>SUMIF(ConfirmedRaw!$B:$B,$A17,ConfirmedRaw!AX:AX)</f>
        <v>706</v>
      </c>
      <c r="AV17">
        <f>SUMIF(ConfirmedRaw!$B:$B,$A17,ConfirmedRaw!AY:AY)</f>
        <v>706</v>
      </c>
      <c r="AW17">
        <f>SUMIF(ConfirmedRaw!$B:$B,$A17,ConfirmedRaw!AZ:AZ)</f>
        <v>706</v>
      </c>
      <c r="AX17">
        <f>SUMIF(ConfirmedRaw!$B:$B,$A17,ConfirmedRaw!BA:BA)</f>
        <v>706</v>
      </c>
      <c r="AY17">
        <f>SUMIF(ConfirmedRaw!$B:$B,$A17,ConfirmedRaw!BB:BB)</f>
        <v>706</v>
      </c>
      <c r="AZ17">
        <f>SUMIF(ConfirmedRaw!$B:$B,$A17,ConfirmedRaw!BC:BC)</f>
        <v>706</v>
      </c>
      <c r="BA17">
        <f>SUMIF(ConfirmedRaw!$B:$B,$A17,ConfirmedRaw!BD:BD)</f>
        <v>706</v>
      </c>
      <c r="BB17">
        <f>SUMIF(ConfirmedRaw!$B:$B,$A17,ConfirmedRaw!BE:BE)</f>
        <v>706</v>
      </c>
      <c r="BC17">
        <f>SUMIF(ConfirmedRaw!$B:$B,$A17,ConfirmedRaw!BF:BF)</f>
        <v>706</v>
      </c>
      <c r="BD17">
        <f>SUMIF(ConfirmedRaw!$B:$B,$A17,ConfirmedRaw!BG:BG)</f>
        <v>706</v>
      </c>
      <c r="BE17">
        <f>SUMIF(ConfirmedRaw!$B:$B,$A17,ConfirmedRaw!BH:BH)</f>
        <v>706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712</v>
      </c>
      <c r="BJ17">
        <f>SUMIF(ConfirmedRaw!$B:$B,$A17,ConfirmedRaw!BM:BM)</f>
        <v>712</v>
      </c>
      <c r="BK17">
        <f>SUMIF(ConfirmedRaw!$B:$B,$A17,ConfirmedRaw!BN:BN)</f>
        <v>712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3401</v>
      </c>
      <c r="BK18">
        <f>SUMIF(ConfirmedRaw!$B:$B,$A18,ConfirmedRaw!BN:BN)</f>
        <v>3743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3582</v>
      </c>
      <c r="BK19">
        <f>SUMIF(ConfirmedRaw!$B:$B,$A19,ConfirmedRaw!BN:BN)</f>
        <v>4474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494</v>
      </c>
      <c r="BK20">
        <f>SUMIF(ConfirmedRaw!$B:$B,$A20,ConfirmedRaw!BN:BN)</f>
        <v>501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15</v>
      </c>
      <c r="AG21">
        <f>SUMIF(ConfirmedRaw!$B:$B,$A21,ConfirmedRaw!AJ:AJ)</f>
        <v>15</v>
      </c>
      <c r="AH21">
        <f>SUMIF(ConfirmedRaw!$B:$B,$A21,ConfirmedRaw!AK:AK)</f>
        <v>15</v>
      </c>
      <c r="AI21">
        <f>SUMIF(ConfirmedRaw!$B:$B,$A21,ConfirmedRaw!AL:AL)</f>
        <v>15</v>
      </c>
      <c r="AJ21">
        <f>SUMIF(ConfirmedRaw!$B:$B,$A21,ConfirmedRaw!AM:AM)</f>
        <v>15</v>
      </c>
      <c r="AK21">
        <f>SUMIF(ConfirmedRaw!$B:$B,$A21,ConfirmedRaw!AN:AN)</f>
        <v>15</v>
      </c>
      <c r="AL21">
        <f>SUMIF(ConfirmedRaw!$B:$B,$A21,ConfirmedRaw!AO:AO)</f>
        <v>15</v>
      </c>
      <c r="AM21">
        <f>SUMIF(ConfirmedRaw!$B:$B,$A21,ConfirmedRaw!AP:AP)</f>
        <v>15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1549</v>
      </c>
      <c r="BK21">
        <f>SUMIF(ConfirmedRaw!$B:$B,$A21,ConfirmedRaw!BN:BN)</f>
        <v>1682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455</v>
      </c>
      <c r="BK22">
        <f>SUMIF(ConfirmedRaw!$B:$B,$A22,ConfirmedRaw!BN:BN)</f>
        <v>509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1306</v>
      </c>
      <c r="BK23">
        <f>SUMIF(ConfirmedRaw!$B:$B,$A23,ConfirmedRaw!BN:BN)</f>
        <v>1518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1277</v>
      </c>
      <c r="BJ24">
        <f>SUMIF(ConfirmedRaw!$B:$B,$A24,ConfirmedRaw!BM:BM)</f>
        <v>1469</v>
      </c>
      <c r="BK24">
        <f>SUMIF(ConfirmedRaw!$B:$B,$A24,ConfirmedRaw!BN:BN)</f>
        <v>2088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624</v>
      </c>
      <c r="BK25">
        <f>SUMIF(ConfirmedRaw!$B:$B,$A25,ConfirmedRaw!BN:BN)</f>
        <v>695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195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334</v>
      </c>
      <c r="BK26">
        <f>SUMIF(ConfirmedRaw!$B:$B,$A26,ConfirmedRaw!BN:BN)</f>
        <v>377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1071</v>
      </c>
      <c r="BK27">
        <f>SUMIF(ConfirmedRaw!$B:$B,$A27,ConfirmedRaw!BN:BN)</f>
        <v>1442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626</v>
      </c>
      <c r="BK28">
        <f>SUMIF(ConfirmedRaw!$B:$B,$A28,ConfirmedRaw!BN:BN)</f>
        <v>700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1546</v>
      </c>
      <c r="BK29">
        <f>SUMIF(ConfirmedRaw!$B:$B,$A29,ConfirmedRaw!BN:BN)</f>
        <v>1924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1120</v>
      </c>
      <c r="BK30">
        <f>SUMIF(ConfirmedRaw!$B:$B,$A30,ConfirmedRaw!BN:BN)</f>
        <v>1236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414</v>
      </c>
      <c r="BK31">
        <f>SUMIF(ConfirmedRaw!$B:$B,$A31,ConfirmedRaw!BN:BN)</f>
        <v>442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568</v>
      </c>
      <c r="BK32">
        <f>SUMIF(ConfirmedRaw!$B:$B,$A32,ConfirmedRaw!BN:BN)</f>
        <v>588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1600</v>
      </c>
      <c r="BK33">
        <f>SUMIF(ConfirmedRaw!$B:$B,$A33,ConfirmedRaw!BN:BN)</f>
        <v>2060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233</v>
      </c>
      <c r="BK34">
        <f>SUMIF(ConfirmedRaw!$B:$B,$A34,ConfirmedRaw!BN:BN)</f>
        <v>266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906</v>
      </c>
      <c r="BK35">
        <f>SUMIF(ConfirmedRaw!$B:$B,$A35,ConfirmedRaw!BN:BN)</f>
        <v>1125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433</v>
      </c>
      <c r="BK36">
        <f>SUMIF(ConfirmedRaw!$B:$B,$A36,ConfirmedRaw!BN:BN)</f>
        <v>576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511</v>
      </c>
      <c r="BK37">
        <f>SUMIF(ConfirmedRaw!$B:$B,$A37,ConfirmedRaw!BN:BN)</f>
        <v>562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153</v>
      </c>
      <c r="BK38">
        <f>SUMIF(ConfirmedRaw!$B:$B,$A38,ConfirmedRaw!BN:BN)</f>
        <v>198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396</v>
      </c>
      <c r="BK39">
        <f>SUMIF(ConfirmedRaw!$B:$B,$A39,ConfirmedRaw!BN:BN)</f>
        <v>499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327</v>
      </c>
      <c r="BK40">
        <f>SUMIF(ConfirmedRaw!$B:$B,$A40,ConfirmedRaw!BN:BN)</f>
        <v>366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188</v>
      </c>
      <c r="BK41">
        <f>SUMIF(ConfirmedRaw!$B:$B,$A41,ConfirmedRaw!BN:BN)</f>
        <v>189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175</v>
      </c>
      <c r="BK42">
        <f>SUMIF(ConfirmedRaw!$B:$B,$A42,ConfirmedRaw!BN:BN)</f>
        <v>187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326</v>
      </c>
      <c r="BK43">
        <f>SUMIF(ConfirmedRaw!$B:$B,$A43,ConfirmedRaw!BN:BN)</f>
        <v>352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110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248</v>
      </c>
      <c r="BK44">
        <f>SUMIF(ConfirmedRaw!$B:$B,$A44,ConfirmedRaw!BN:BN)</f>
        <v>267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599</v>
      </c>
      <c r="BK45">
        <f>SUMIF(ConfirmedRaw!$B:$B,$A45,ConfirmedRaw!BN:BN)</f>
        <v>721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514</v>
      </c>
      <c r="BK46">
        <f>SUMIF(ConfirmedRaw!$B:$B,$A46,ConfirmedRaw!BN:BN)</f>
        <v>579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634</v>
      </c>
      <c r="BK47">
        <f>SUMIF(ConfirmedRaw!$B:$B,$A47,ConfirmedRaw!BN:BN)</f>
        <v>749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380</v>
      </c>
      <c r="BK48">
        <f>SUMIF(ConfirmedRaw!$B:$B,$A48,ConfirmedRaw!BN:BN)</f>
        <v>462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169</v>
      </c>
      <c r="BK49">
        <f>SUMIF(ConfirmedRaw!$B:$B,$A49,ConfirmedRaw!BN:BN)</f>
        <v>195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113</v>
      </c>
      <c r="BK50">
        <f>SUMIF(ConfirmedRaw!$B:$B,$A50,ConfirmedRaw!BN:BN)</f>
        <v>123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367</v>
      </c>
      <c r="BK51">
        <f>SUMIF(ConfirmedRaw!$B:$B,$A51,ConfirmedRaw!BN:BN)</f>
        <v>438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632</v>
      </c>
      <c r="BK52">
        <f>SUMIF(ConfirmedRaw!$B:$B,$A52,ConfirmedRaw!BN:BN)</f>
        <v>746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88</v>
      </c>
      <c r="BK53">
        <f>SUMIF(ConfirmedRaw!$B:$B,$A53,ConfirmedRaw!BN:BN)</f>
        <v>91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222</v>
      </c>
      <c r="BK54">
        <f>SUMIF(ConfirmedRaw!$B:$B,$A54,ConfirmedRaw!BN:BN)</f>
        <v>249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798</v>
      </c>
      <c r="BK55">
        <f>SUMIF(ConfirmedRaw!$B:$B,$A55,ConfirmedRaw!BN:BN)</f>
        <v>875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89</v>
      </c>
      <c r="BK56">
        <f>SUMIF(ConfirmedRaw!$B:$B,$A56,ConfirmedRaw!BN:BN)</f>
        <v>104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254</v>
      </c>
      <c r="BK57">
        <f>SUMIF(ConfirmedRaw!$B:$B,$A57,ConfirmedRaw!BN:BN)</f>
        <v>315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185</v>
      </c>
      <c r="BK58">
        <f>SUMIF(ConfirmedRaw!$B:$B,$A58,ConfirmedRaw!BN:BN)</f>
        <v>186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266</v>
      </c>
      <c r="BK59">
        <f>SUMIF(ConfirmedRaw!$B:$B,$A59,ConfirmedRaw!BN:BN)</f>
        <v>301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776</v>
      </c>
      <c r="BK60">
        <f>SUMIF(ConfirmedRaw!$B:$B,$A60,ConfirmedRaw!BN:BN)</f>
        <v>875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363</v>
      </c>
      <c r="BK61">
        <f>SUMIF(ConfirmedRaw!$B:$B,$A61,ConfirmedRaw!BN:BN)</f>
        <v>395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76</v>
      </c>
      <c r="BK62">
        <f>SUMIF(ConfirmedRaw!$B:$B,$A62,ConfirmedRaw!BN:BN)</f>
        <v>81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313</v>
      </c>
      <c r="BK63">
        <f>SUMIF(ConfirmedRaw!$B:$B,$A63,ConfirmedRaw!BN:BN)</f>
        <v>345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201</v>
      </c>
      <c r="BK64">
        <f>SUMIF(ConfirmedRaw!$B:$B,$A64,ConfirmedRaw!BN:BN)</f>
        <v>230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54</v>
      </c>
      <c r="BK65">
        <f>SUMIF(ConfirmedRaw!$B:$B,$A65,ConfirmedRaw!BN:BN)</f>
        <v>61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274</v>
      </c>
      <c r="BK66">
        <f>SUMIF(ConfirmedRaw!$B:$B,$A66,ConfirmedRaw!BN:BN)</f>
        <v>402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187</v>
      </c>
      <c r="BK67">
        <f>SUMIF(ConfirmedRaw!$B:$B,$A67,ConfirmedRaw!BN:BN)</f>
        <v>201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134</v>
      </c>
      <c r="BK68">
        <f>SUMIF(ConfirmedRaw!$B:$B,$A68,ConfirmedRaw!BN:BN)</f>
        <v>158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131</v>
      </c>
      <c r="BK69">
        <f>SUMIF(ConfirmedRaw!$B:$B,$A69,ConfirmedRaw!BN:BN)</f>
        <v>167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55</v>
      </c>
      <c r="BK70">
        <f>SUMIF(ConfirmedRaw!$B:$B,$A70,ConfirmedRaw!BN:BN)</f>
        <v>66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789</v>
      </c>
      <c r="BK71">
        <f>SUMIF(ConfirmedRaw!$B:$B,$A71,ConfirmedRaw!BN:BN)</f>
        <v>981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139</v>
      </c>
      <c r="BK72">
        <f>SUMIF(ConfirmedRaw!$B:$B,$A72,ConfirmedRaw!BN:BN)</f>
        <v>180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75</v>
      </c>
      <c r="BK73">
        <f>SUMIF(ConfirmedRaw!$B:$B,$A73,ConfirmedRaw!BN:BN)</f>
        <v>89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28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65</v>
      </c>
      <c r="BK74">
        <f>SUMIF(ConfirmedRaw!$B:$B,$A74,ConfirmedRaw!BN:BN)</f>
        <v>72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95</v>
      </c>
      <c r="BK75">
        <f>SUMIF(ConfirmedRaw!$B:$B,$A75,ConfirmedRaw!BN:BN)</f>
        <v>116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115</v>
      </c>
      <c r="BK76">
        <f>SUMIF(ConfirmedRaw!$B:$B,$A76,ConfirmedRaw!BN:BN)</f>
        <v>136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126</v>
      </c>
      <c r="BK77">
        <f>SUMIF(ConfirmedRaw!$B:$B,$A77,ConfirmedRaw!BN:BN)</f>
        <v>136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231</v>
      </c>
      <c r="BK78">
        <f>SUMIF(ConfirmedRaw!$B:$B,$A78,ConfirmedRaw!BN:BN)</f>
        <v>277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90</v>
      </c>
      <c r="BK79">
        <f>SUMIF(ConfirmedRaw!$B:$B,$A79,ConfirmedRaw!BN:BN)</f>
        <v>107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251</v>
      </c>
      <c r="BK80">
        <f>SUMIF(ConfirmedRaw!$B:$B,$A80,ConfirmedRaw!BN:BN)</f>
        <v>316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67</v>
      </c>
      <c r="BK81">
        <f>SUMIF(ConfirmedRaw!$B:$B,$A81,ConfirmedRaw!BN:BN)</f>
        <v>79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13</v>
      </c>
      <c r="BK82">
        <f>SUMIF(ConfirmedRaw!$B:$B,$A82,ConfirmedRaw!BN:BN)</f>
        <v>13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194</v>
      </c>
      <c r="BK83">
        <f>SUMIF(ConfirmedRaw!$B:$B,$A83,ConfirmedRaw!BN:BN)</f>
        <v>235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19</v>
      </c>
      <c r="BK84">
        <f>SUMIF(ConfirmedRaw!$B:$B,$A84,ConfirmedRaw!BN:BN)</f>
        <v>19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40</v>
      </c>
      <c r="BK85">
        <f>SUMIF(ConfirmedRaw!$B:$B,$A85,ConfirmedRaw!BN:BN)</f>
        <v>40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115</v>
      </c>
      <c r="BK86">
        <f>SUMIF(ConfirmedRaw!$B:$B,$A86,ConfirmedRaw!BN:BN)</f>
        <v>143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143</v>
      </c>
      <c r="BK87">
        <f>SUMIF(ConfirmedRaw!$B:$B,$A87,ConfirmedRaw!BN:BN)</f>
        <v>179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94</v>
      </c>
      <c r="BK88">
        <f>SUMIF(ConfirmedRaw!$B:$B,$A88,ConfirmedRaw!BN:BN)</f>
        <v>109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22</v>
      </c>
      <c r="BK89">
        <f>SUMIF(ConfirmedRaw!$B:$B,$A89,ConfirmedRaw!BN:BN)</f>
        <v>22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82</v>
      </c>
      <c r="BK90">
        <f>SUMIF(ConfirmedRaw!$B:$B,$A90,ConfirmedRaw!BN:BN)</f>
        <v>97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84</v>
      </c>
      <c r="BK91">
        <f>SUMIF(ConfirmedRaw!$B:$B,$A91,ConfirmedRaw!BN:BN)</f>
        <v>87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202</v>
      </c>
      <c r="BK92">
        <f>SUMIF(ConfirmedRaw!$B:$B,$A92,ConfirmedRaw!BN:BN)</f>
        <v>245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102</v>
      </c>
      <c r="BK94">
        <f>SUMIF(ConfirmedRaw!$B:$B,$A94,ConfirmedRaw!BN:BN)</f>
        <v>102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1236</v>
      </c>
      <c r="BK96">
        <f>SUMIF(ConfirmedRaw!$B:$B,$A96,ConfirmedRaw!BN:BN)</f>
        <v>1529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35</v>
      </c>
      <c r="BK97">
        <f>SUMIF(ConfirmedRaw!$B:$B,$A97,ConfirmedRaw!BN:BN)</f>
        <v>40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60</v>
      </c>
      <c r="BK98">
        <f>SUMIF(ConfirmedRaw!$B:$B,$A98,ConfirmedRaw!BN:BN)</f>
        <v>62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27</v>
      </c>
      <c r="BK99">
        <f>SUMIF(ConfirmedRaw!$B:$B,$A99,ConfirmedRaw!BN:BN)</f>
        <v>33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24</v>
      </c>
      <c r="BK100">
        <f>SUMIF(ConfirmedRaw!$B:$B,$A100,ConfirmedRaw!BN:BN)</f>
        <v>27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0</v>
      </c>
      <c r="AV101">
        <f>SUMIF(ConfirmedRaw!$B:$B,$A101,ConfirmedRaw!AY:AY)</f>
        <v>0</v>
      </c>
      <c r="AW101">
        <f>SUMIF(ConfirmedRaw!$B:$B,$A101,ConfirmedRaw!AZ:AZ)</f>
        <v>0</v>
      </c>
      <c r="AX101">
        <f>SUMIF(ConfirmedRaw!$B:$B,$A101,ConfirmedRaw!BA:BA)</f>
        <v>0</v>
      </c>
      <c r="AY101">
        <f>SUMIF(ConfirmedRaw!$B:$B,$A101,ConfirmedRaw!BB:BB)</f>
        <v>0</v>
      </c>
      <c r="AZ101">
        <f>SUMIF(ConfirmedRaw!$B:$B,$A101,ConfirmedRaw!BC:BC)</f>
        <v>0</v>
      </c>
      <c r="BA101">
        <f>SUMIF(ConfirmedRaw!$B:$B,$A101,ConfirmedRaw!BD:BD)</f>
        <v>0</v>
      </c>
      <c r="BB101">
        <f>SUMIF(ConfirmedRaw!$B:$B,$A101,ConfirmedRaw!BE:BE)</f>
        <v>0</v>
      </c>
      <c r="BC101">
        <f>SUMIF(ConfirmedRaw!$B:$B,$A101,ConfirmedRaw!BF:BF)</f>
        <v>0</v>
      </c>
      <c r="BD101">
        <f>SUMIF(ConfirmedRaw!$B:$B,$A101,ConfirmedRaw!BG:BG)</f>
        <v>0</v>
      </c>
      <c r="BE101">
        <f>SUMIF(ConfirmedRaw!$B:$B,$A101,ConfirmedRaw!BH:BH)</f>
        <v>0</v>
      </c>
      <c r="BF101">
        <f>SUMIF(ConfirmedRaw!$B:$B,$A101,ConfirmedRaw!BI:BI)</f>
        <v>0</v>
      </c>
      <c r="BG101">
        <f>SUMIF(ConfirmedRaw!$B:$B,$A101,ConfirmedRaw!BJ:BJ)</f>
        <v>0</v>
      </c>
      <c r="BH101">
        <f>SUMIF(ConfirmedRaw!$B:$B,$A101,ConfirmedRaw!BK:BK)</f>
        <v>0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73</v>
      </c>
      <c r="BK102">
        <f>SUMIF(ConfirmedRaw!$B:$B,$A102,ConfirmedRaw!BN:BN)</f>
        <v>73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75</v>
      </c>
      <c r="BK104">
        <f>SUMIF(ConfirmedRaw!$B:$B,$A104,ConfirmedRaw!BN:BN)</f>
        <v>99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40</v>
      </c>
      <c r="BK105">
        <f>SUMIF(ConfirmedRaw!$B:$B,$A105,ConfirmedRaw!BN:BN)</f>
        <v>56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30</v>
      </c>
      <c r="BK106">
        <f>SUMIF(ConfirmedRaw!$B:$B,$A106,ConfirmedRaw!BN:BN)</f>
        <v>36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26</v>
      </c>
      <c r="BK107">
        <f>SUMIF(ConfirmedRaw!$B:$B,$A107,ConfirmedRaw!BN:BN)</f>
        <v>30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23</v>
      </c>
      <c r="BK108">
        <f>SUMIF(ConfirmedRaw!$B:$B,$A108,ConfirmedRaw!BN:BN)</f>
        <v>23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30</v>
      </c>
      <c r="BK109">
        <f>SUMIF(ConfirmedRaw!$B:$B,$A109,ConfirmedRaw!BN:BN)</f>
        <v>40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113</v>
      </c>
      <c r="BK110">
        <f>SUMIF(ConfirmedRaw!$B:$B,$A110,ConfirmedRaw!BN:BN)</f>
        <v>133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1</v>
      </c>
      <c r="BK111">
        <f>SUMIF(ConfirmedRaw!$B:$B,$A111,ConfirmedRaw!BN:BN)</f>
        <v>3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2</v>
      </c>
      <c r="BK112">
        <f>SUMIF(ConfirmedRaw!$B:$B,$A112,ConfirmedRaw!BN:BN)</f>
        <v>2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14</v>
      </c>
      <c r="BK114">
        <f>SUMIF(ConfirmedRaw!$B:$B,$A114,ConfirmedRaw!BN:BN)</f>
        <v>25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11</v>
      </c>
      <c r="BK115">
        <f>SUMIF(ConfirmedRaw!$B:$B,$A115,ConfirmedRaw!BN:BN)</f>
        <v>11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2</v>
      </c>
      <c r="BK117">
        <f>SUMIF(ConfirmedRaw!$B:$B,$A117,ConfirmedRaw!BN:BN)</f>
        <v>4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19</v>
      </c>
      <c r="BK118">
        <f>SUMIF(ConfirmedRaw!$B:$B,$A118,ConfirmedRaw!BN:BN)</f>
        <v>20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1</v>
      </c>
      <c r="BK119">
        <f>SUMIF(ConfirmedRaw!$B:$B,$A119,ConfirmedRaw!BN:BN)</f>
        <v>1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112</v>
      </c>
      <c r="BK120">
        <f>SUMIF(ConfirmedRaw!$B:$B,$A120,ConfirmedRaw!BN:BN)</f>
        <v>127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15</v>
      </c>
      <c r="BK121">
        <f>SUMIF(ConfirmedRaw!$B:$B,$A121,ConfirmedRaw!BN:BN)</f>
        <v>16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37</v>
      </c>
      <c r="BK122">
        <f>SUMIF(ConfirmedRaw!$B:$B,$A122,ConfirmedRaw!BN:BN)</f>
        <v>51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10</v>
      </c>
      <c r="BK123">
        <f>SUMIF(ConfirmedRaw!$B:$B,$A123,ConfirmedRaw!BN:BN)</f>
        <v>10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1</v>
      </c>
      <c r="BK124">
        <f>SUMIF(ConfirmedRaw!$B:$B,$A124,ConfirmedRaw!BN:BN)</f>
        <v>2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2</v>
      </c>
      <c r="BK125">
        <f>SUMIF(ConfirmedRaw!$B:$B,$A125,ConfirmedRaw!BN:BN)</f>
        <v>2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16</v>
      </c>
      <c r="BK126">
        <f>SUMIF(ConfirmedRaw!$B:$B,$A126,ConfirmedRaw!BN:BN)</f>
        <v>18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5799</v>
      </c>
      <c r="BK2">
        <f>CumulativeConfirmed!BK2-CumulativeRecovered!BK2-CumulativeDead!BK2</f>
        <v>5410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46638</v>
      </c>
      <c r="BK3">
        <f>CumulativeConfirmed!BK3-CumulativeRecovered!BK3-CumulativeDead!BK3</f>
        <v>50826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12022</v>
      </c>
      <c r="BK4">
        <f>CumulativeConfirmed!BK4-CumulativeRecovered!BK4-CumulativeDead!BK4</f>
        <v>13306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5941</v>
      </c>
      <c r="BK5">
        <f>CumulativeConfirmed!BK5-CumulativeRecovered!BK5-CumulativeDead!BK5</f>
        <v>5941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24421</v>
      </c>
      <c r="BK6">
        <f>CumulativeConfirmed!BK6-CumulativeRecovered!BK6-CumulativeDead!BK6</f>
        <v>30250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24513</v>
      </c>
      <c r="BK7">
        <f>CumulativeConfirmed!BK7-CumulativeRecovered!BK7-CumulativeDead!BK7</f>
        <v>28667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936</v>
      </c>
      <c r="AV8">
        <f>CumulativeConfirmed!AV8-CumulativeRecovered!AV8-CumulativeDead!AV8</f>
        <v>1105</v>
      </c>
      <c r="AW8">
        <f>CumulativeConfirmed!AW8-CumulativeRecovered!AW8-CumulativeDead!AW8</f>
        <v>1188</v>
      </c>
      <c r="AX8">
        <f>CumulativeConfirmed!AX8-CumulativeRecovered!AX8-CumulativeDead!AX8</f>
        <v>1749</v>
      </c>
      <c r="AY8">
        <f>CumulativeConfirmed!AY8-CumulativeRecovered!AY8-CumulativeDead!AY8</f>
        <v>2233</v>
      </c>
      <c r="AZ8">
        <f>CumulativeConfirmed!AZ8-CumulativeRecovered!AZ8-CumulativeDead!AZ8</f>
        <v>2233</v>
      </c>
      <c r="BA8">
        <f>CumulativeConfirmed!BA8-CumulativeRecovered!BA8-CumulativeDead!BA8</f>
        <v>3590</v>
      </c>
      <c r="BB8">
        <f>CumulativeConfirmed!BB8-CumulativeRecovered!BB8-CumulativeDead!BB8</f>
        <v>4393</v>
      </c>
      <c r="BC8">
        <f>CumulativeConfirmed!BC8-CumulativeRecovered!BC8-CumulativeDead!BC8</f>
        <v>4429</v>
      </c>
      <c r="BD8">
        <f>CumulativeConfirmed!BD8-CumulativeRecovered!BD8-CumulativeDead!BD8</f>
        <v>6522</v>
      </c>
      <c r="BE8">
        <f>CumulativeConfirmed!BE8-CumulativeRecovered!BE8-CumulativeDead!BE8</f>
        <v>7528</v>
      </c>
      <c r="BF8">
        <f>CumulativeConfirmed!BF8-CumulativeRecovered!BF8-CumulativeDead!BF8</f>
        <v>8848</v>
      </c>
      <c r="BG8">
        <f>CumulativeConfirmed!BG8-CumulativeRecovered!BG8-CumulativeDead!BG8</f>
        <v>10586</v>
      </c>
      <c r="BH8">
        <f>CumulativeConfirmed!BH8-CumulativeRecovered!BH8-CumulativeDead!BH8</f>
        <v>12295</v>
      </c>
      <c r="BI8">
        <f>CumulativeConfirmed!BI8-CumulativeRecovered!BI8-CumulativeDead!BI8</f>
        <v>13888</v>
      </c>
      <c r="BJ8">
        <f>CumulativeConfirmed!BJ8-CumulativeRecovered!BJ8-CumulativeDead!BJ8</f>
        <v>13361</v>
      </c>
      <c r="BK8">
        <f>CumulativeConfirmed!BK8-CumulativeRecovered!BK8-CumulativeDead!BK8</f>
        <v>17061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32859</v>
      </c>
      <c r="BK9">
        <f>CumulativeConfirmed!BK9-CumulativeRecovered!BK9-CumulativeDead!BK9</f>
        <v>43112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7245</v>
      </c>
      <c r="BK10">
        <f>CumulativeConfirmed!BK10-CumulativeRecovered!BK10-CumulativeDead!BK10</f>
        <v>8544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2377</v>
      </c>
      <c r="BK11">
        <f>CumulativeConfirmed!BK11-CumulativeRecovered!BK11-CumulativeDead!BK11</f>
        <v>2610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1897</v>
      </c>
      <c r="BK12">
        <f>CumulativeConfirmed!BK12-CumulativeRecovered!BK12-CumulativeDead!BK12</f>
        <v>2005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1500</v>
      </c>
      <c r="BK13">
        <f>CumulativeConfirmed!BK13-CumulativeRecovered!BK13-CumulativeDead!BK13</f>
        <v>1547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4035</v>
      </c>
      <c r="BK14">
        <f>CumulativeConfirmed!BK14-CumulativeRecovered!BK14-CumulativeDead!BK14</f>
        <v>4548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561</v>
      </c>
      <c r="BA15">
        <f>CumulativeConfirmed!BA15-CumulativeRecovered!BA15-CumulativeDead!BA15</f>
        <v>772</v>
      </c>
      <c r="BB15">
        <f>CumulativeConfirmed!BB15-CumulativeRecovered!BB15-CumulativeDead!BB15</f>
        <v>1104</v>
      </c>
      <c r="BC15">
        <f>CumulativeConfirmed!BC15-CumulativeRecovered!BC15-CumulativeDead!BC15</f>
        <v>1301</v>
      </c>
      <c r="BD15">
        <f>CumulativeConfirmed!BD15-CumulativeRecovered!BD15-CumulativeDead!BD15</f>
        <v>1474</v>
      </c>
      <c r="BE15">
        <f>CumulativeConfirmed!BE15-CumulativeRecovered!BE15-CumulativeDead!BE15</f>
        <v>1836</v>
      </c>
      <c r="BF15">
        <f>CumulativeConfirmed!BF15-CumulativeRecovered!BF15-CumulativeDead!BF15</f>
        <v>2471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5396</v>
      </c>
      <c r="BK15">
        <f>CumulativeConfirmed!BK15-CumulativeRecovered!BK15-CumulativeDead!BK15</f>
        <v>6323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2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21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668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825</v>
      </c>
      <c r="BK16">
        <f>CumulativeConfirmed!BK16-CumulativeRecovered!BK16-CumulativeDead!BK16</f>
        <v>851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660</v>
      </c>
      <c r="AU17">
        <f>CumulativeConfirmed!AU17-CumulativeRecovered!AU17-CumulativeDead!AU17</f>
        <v>660</v>
      </c>
      <c r="AV17">
        <f>CumulativeConfirmed!AV17-CumulativeRecovered!AV17-CumulativeDead!AV17</f>
        <v>660</v>
      </c>
      <c r="AW17">
        <f>CumulativeConfirmed!AW17-CumulativeRecovered!AW17-CumulativeDead!AW17</f>
        <v>660</v>
      </c>
      <c r="AX17">
        <f>CumulativeConfirmed!AX17-CumulativeRecovered!AX17-CumulativeDead!AX17</f>
        <v>660</v>
      </c>
      <c r="AY17">
        <f>CumulativeConfirmed!AY17-CumulativeRecovered!AY17-CumulativeDead!AY17</f>
        <v>374</v>
      </c>
      <c r="AZ17">
        <f>CumulativeConfirmed!AZ17-CumulativeRecovered!AZ17-CumulativeDead!AZ17</f>
        <v>374</v>
      </c>
      <c r="BA17">
        <f>CumulativeConfirmed!BA17-CumulativeRecovered!BA17-CumulativeDead!BA17</f>
        <v>374</v>
      </c>
      <c r="BB17">
        <f>CumulativeConfirmed!BB17-CumulativeRecovered!BB17-CumulativeDead!BB17</f>
        <v>374</v>
      </c>
      <c r="BC17">
        <f>CumulativeConfirmed!BC17-CumulativeRecovered!BC17-CumulativeDead!BC17</f>
        <v>374</v>
      </c>
      <c r="BD17">
        <f>CumulativeConfirmed!BD17-CumulativeRecovered!BD17-CumulativeDead!BD17</f>
        <v>374</v>
      </c>
      <c r="BE17">
        <f>CumulativeConfirmed!BE17-CumulativeRecovered!BE17-CumulativeDead!BE17</f>
        <v>374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379</v>
      </c>
      <c r="BJ17">
        <f>CumulativeConfirmed!BJ17-CumulativeRecovered!BJ17-CumulativeDead!BJ17</f>
        <v>379</v>
      </c>
      <c r="BK17">
        <f>CumulativeConfirmed!BK17-CumulativeRecovered!BK17-CumulativeDead!BK17</f>
        <v>379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3063</v>
      </c>
      <c r="BK18">
        <f>CumulativeConfirmed!BK18-CumulativeRecovered!BK18-CumulativeDead!BK18</f>
        <v>3392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3557</v>
      </c>
      <c r="BK19">
        <f>CumulativeConfirmed!BK19-CumulativeRecovered!BK19-CumulativeDead!BK19</f>
        <v>4444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461</v>
      </c>
      <c r="BK20">
        <f>CumulativeConfirmed!BK20-CumulativeRecovered!BK20-CumulativeDead!BK20</f>
        <v>468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4</v>
      </c>
      <c r="AG21">
        <f>CumulativeConfirmed!AG21-CumulativeRecovered!AG21-CumulativeDead!AG21</f>
        <v>4</v>
      </c>
      <c r="AH21">
        <f>CumulativeConfirmed!AH21-CumulativeRecovered!AH21-CumulativeDead!AH21</f>
        <v>4</v>
      </c>
      <c r="AI21">
        <f>CumulativeConfirmed!AI21-CumulativeRecovered!AI21-CumulativeDead!AI21</f>
        <v>4</v>
      </c>
      <c r="AJ21">
        <f>CumulativeConfirmed!AJ21-CumulativeRecovered!AJ21-CumulativeDead!AJ21</f>
        <v>4</v>
      </c>
      <c r="AK21">
        <f>CumulativeConfirmed!AK21-CumulativeRecovered!AK21-CumulativeDead!AK21</f>
        <v>4</v>
      </c>
      <c r="AL21">
        <f>CumulativeConfirmed!AL21-CumulativeRecovered!AL21-CumulativeDead!AL21</f>
        <v>4</v>
      </c>
      <c r="AM21">
        <f>CumulativeConfirmed!AM21-CumulativeRecovered!AM21-CumulativeDead!AM21</f>
        <v>4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1454</v>
      </c>
      <c r="BK21">
        <f>CumulativeConfirmed!BK21-CumulativeRecovered!BK21-CumulativeDead!BK21</f>
        <v>1587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309</v>
      </c>
      <c r="BK22">
        <f>CumulativeConfirmed!BK22-CumulativeRecovered!BK22-CumulativeDead!BK22</f>
        <v>363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1157</v>
      </c>
      <c r="BK23">
        <f>CumulativeConfirmed!BK23-CumulativeRecovered!BK23-CumulativeDead!BK23</f>
        <v>1365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1248</v>
      </c>
      <c r="BJ24">
        <f>CumulativeConfirmed!BJ24-CumulativeRecovered!BJ24-CumulativeDead!BJ24</f>
        <v>1438</v>
      </c>
      <c r="BK24">
        <f>CumulativeConfirmed!BK24-CumulativeRecovered!BK24-CumulativeDead!BK24</f>
        <v>2053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590</v>
      </c>
      <c r="BK25">
        <f>CumulativeConfirmed!BK25-CumulativeRecovered!BK25-CumulativeDead!BK25</f>
        <v>659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151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183</v>
      </c>
      <c r="BK26">
        <f>CumulativeConfirmed!BK26-CumulativeRecovered!BK26-CumulativeDead!BK26</f>
        <v>226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1033</v>
      </c>
      <c r="BK27">
        <f>CumulativeConfirmed!BK27-CumulativeRecovered!BK27-CumulativeDead!BK27</f>
        <v>1404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615</v>
      </c>
      <c r="BK28">
        <f>CumulativeConfirmed!BK28-CumulativeRecovered!BK28-CumulativeDead!BK28</f>
        <v>689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1519</v>
      </c>
      <c r="BK29">
        <f>CumulativeConfirmed!BK29-CumulativeRecovered!BK29-CumulativeDead!BK29</f>
        <v>1888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1113</v>
      </c>
      <c r="BK30">
        <f>CumulativeConfirmed!BK30-CumulativeRecovered!BK30-CumulativeDead!BK30</f>
        <v>1229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412</v>
      </c>
      <c r="BK31">
        <f>CumulativeConfirmed!BK31-CumulativeRecovered!BK31-CumulativeDead!BK31</f>
        <v>439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531</v>
      </c>
      <c r="BK32">
        <f>CumulativeConfirmed!BK32-CumulativeRecovered!BK32-CumulativeDead!BK32</f>
        <v>551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1581</v>
      </c>
      <c r="BK33">
        <f>CumulativeConfirmed!BK33-CumulativeRecovered!BK33-CumulativeDead!BK33</f>
        <v>2032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156</v>
      </c>
      <c r="BK34">
        <f>CumulativeConfirmed!BK34-CumulativeRecovered!BK34-CumulativeDead!BK34</f>
        <v>186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897</v>
      </c>
      <c r="BK35">
        <f>CumulativeConfirmed!BK35-CumulativeRecovered!BK35-CumulativeDead!BK35</f>
        <v>1114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366</v>
      </c>
      <c r="BK36">
        <f>CumulativeConfirmed!BK36-CumulativeRecovered!BK36-CumulativeDead!BK36</f>
        <v>505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495</v>
      </c>
      <c r="BK37">
        <f>CumulativeConfirmed!BK37-CumulativeRecovered!BK37-CumulativeDead!BK37</f>
        <v>546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113</v>
      </c>
      <c r="BK38">
        <f>CumulativeConfirmed!BK38-CumulativeRecovered!BK38-CumulativeDead!BK38</f>
        <v>158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362</v>
      </c>
      <c r="BK39">
        <f>CumulativeConfirmed!BK39-CumulativeRecovered!BK39-CumulativeDead!BK39</f>
        <v>462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257</v>
      </c>
      <c r="BK40">
        <f>CumulativeConfirmed!BK40-CumulativeRecovered!BK40-CumulativeDead!BK40</f>
        <v>291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161</v>
      </c>
      <c r="BK41">
        <f>CumulativeConfirmed!BK41-CumulativeRecovered!BK41-CumulativeDead!BK41</f>
        <v>162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151</v>
      </c>
      <c r="BK42">
        <f>CumulativeConfirmed!BK42-CumulativeRecovered!BK42-CumulativeDead!BK42</f>
        <v>163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324</v>
      </c>
      <c r="BK43">
        <f>CumulativeConfirmed!BK43-CumulativeRecovered!BK43-CumulativeDead!BK43</f>
        <v>350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106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236</v>
      </c>
      <c r="BK44">
        <f>CumulativeConfirmed!BK44-CumulativeRecovered!BK44-CumulativeDead!BK44</f>
        <v>255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554</v>
      </c>
      <c r="BK45">
        <f>CumulativeConfirmed!BK45-CumulativeRecovered!BK45-CumulativeDead!BK45</f>
        <v>676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437</v>
      </c>
      <c r="BK46">
        <f>CumulativeConfirmed!BK46-CumulativeRecovered!BK46-CumulativeDead!BK46</f>
        <v>501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626</v>
      </c>
      <c r="BK47">
        <f>CumulativeConfirmed!BK47-CumulativeRecovered!BK47-CumulativeDead!BK47</f>
        <v>740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338</v>
      </c>
      <c r="BK48">
        <f>CumulativeConfirmed!BK48-CumulativeRecovered!BK48-CumulativeDead!BK48</f>
        <v>412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139</v>
      </c>
      <c r="BK49">
        <f>CumulativeConfirmed!BK49-CumulativeRecovered!BK49-CumulativeDead!BK49</f>
        <v>165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96</v>
      </c>
      <c r="BK50">
        <f>CumulativeConfirmed!BK50-CumulativeRecovered!BK50-CumulativeDead!BK50</f>
        <v>106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350</v>
      </c>
      <c r="BK51">
        <f>CumulativeConfirmed!BK51-CumulativeRecovered!BK51-CumulativeDead!BK51</f>
        <v>421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623</v>
      </c>
      <c r="BK52">
        <f>CumulativeConfirmed!BK52-CumulativeRecovered!BK52-CumulativeDead!BK52</f>
        <v>736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86</v>
      </c>
      <c r="BK53">
        <f>CumulativeConfirmed!BK53-CumulativeRecovered!BK53-CumulativeDead!BK53</f>
        <v>89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219</v>
      </c>
      <c r="BK54">
        <f>CumulativeConfirmed!BK54-CumulativeRecovered!BK54-CumulativeDead!BK54</f>
        <v>245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784</v>
      </c>
      <c r="BK55">
        <f>CumulativeConfirmed!BK55-CumulativeRecovered!BK55-CumulativeDead!BK55</f>
        <v>861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85</v>
      </c>
      <c r="BK56">
        <f>CumulativeConfirmed!BK56-CumulativeRecovered!BK56-CumulativeDead!BK56</f>
        <v>98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248</v>
      </c>
      <c r="BK57">
        <f>CumulativeConfirmed!BK57-CumulativeRecovered!BK57-CumulativeDead!BK57</f>
        <v>309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178</v>
      </c>
      <c r="BK58">
        <f>CumulativeConfirmed!BK58-CumulativeRecovered!BK58-CumulativeDead!BK58</f>
        <v>179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259</v>
      </c>
      <c r="BK59">
        <f>CumulativeConfirmed!BK59-CumulativeRecovered!BK59-CumulativeDead!BK59</f>
        <v>294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766</v>
      </c>
      <c r="BK60">
        <f>CumulativeConfirmed!BK60-CumulativeRecovered!BK60-CumulativeDead!BK60</f>
        <v>864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357</v>
      </c>
      <c r="BK61">
        <f>CumulativeConfirmed!BK61-CumulativeRecovered!BK61-CumulativeDead!BK61</f>
        <v>389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61</v>
      </c>
      <c r="BK62">
        <f>CumulativeConfirmed!BK62-CumulativeRecovered!BK62-CumulativeDead!BK62</f>
        <v>66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310</v>
      </c>
      <c r="BK63">
        <f>CumulativeConfirmed!BK63-CumulativeRecovered!BK63-CumulativeDead!BK63</f>
        <v>339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119</v>
      </c>
      <c r="BK64">
        <f>CumulativeConfirmed!BK64-CumulativeRecovered!BK64-CumulativeDead!BK64</f>
        <v>148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51</v>
      </c>
      <c r="BK65">
        <f>CumulativeConfirmed!BK65-CumulativeRecovered!BK65-CumulativeDead!BK65</f>
        <v>58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274</v>
      </c>
      <c r="BK66">
        <f>CumulativeConfirmed!BK66-CumulativeRecovered!BK66-CumulativeDead!BK66</f>
        <v>402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181</v>
      </c>
      <c r="BK67">
        <f>CumulativeConfirmed!BK67-CumulativeRecovered!BK67-CumulativeDead!BK67</f>
        <v>195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130</v>
      </c>
      <c r="BK68">
        <f>CumulativeConfirmed!BK68-CumulativeRecovered!BK68-CumulativeDead!BK68</f>
        <v>154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109</v>
      </c>
      <c r="BK69">
        <f>CumulativeConfirmed!BK69-CumulativeRecovered!BK69-CumulativeDead!BK69</f>
        <v>144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38</v>
      </c>
      <c r="BK70">
        <f>CumulativeConfirmed!BK70-CumulativeRecovered!BK70-CumulativeDead!BK70</f>
        <v>49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772</v>
      </c>
      <c r="BK71">
        <f>CumulativeConfirmed!BK71-CumulativeRecovered!BK71-CumulativeDead!BK71</f>
        <v>960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138</v>
      </c>
      <c r="BK72">
        <f>CumulativeConfirmed!BK72-CumulativeRecovered!BK72-CumulativeDead!BK72</f>
        <v>179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71</v>
      </c>
      <c r="BK73">
        <f>CumulativeConfirmed!BK73-CumulativeRecovered!BK73-CumulativeDead!BK73</f>
        <v>85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21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54</v>
      </c>
      <c r="BK74">
        <f>CumulativeConfirmed!BK74-CumulativeRecovered!BK74-CumulativeDead!BK74</f>
        <v>61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91</v>
      </c>
      <c r="BK75">
        <f>CumulativeConfirmed!BK75-CumulativeRecovered!BK75-CumulativeDead!BK75</f>
        <v>112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113</v>
      </c>
      <c r="BK76">
        <f>CumulativeConfirmed!BK76-CumulativeRecovered!BK76-CumulativeDead!BK76</f>
        <v>133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123</v>
      </c>
      <c r="BK77">
        <f>CumulativeConfirmed!BK77-CumulativeRecovered!BK77-CumulativeDead!BK77</f>
        <v>133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226</v>
      </c>
      <c r="BK78">
        <f>CumulativeConfirmed!BK78-CumulativeRecovered!BK78-CumulativeDead!BK78</f>
        <v>271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88</v>
      </c>
      <c r="BK79">
        <f>CumulativeConfirmed!BK79-CumulativeRecovered!BK79-CumulativeDead!BK79</f>
        <v>105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245</v>
      </c>
      <c r="BK80">
        <f>CumulativeConfirmed!BK80-CumulativeRecovered!BK80-CumulativeDead!BK80</f>
        <v>309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62</v>
      </c>
      <c r="BK81">
        <f>CumulativeConfirmed!BK81-CumulativeRecovered!BK81-CumulativeDead!BK81</f>
        <v>74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13</v>
      </c>
      <c r="BK82">
        <f>CumulativeConfirmed!BK82-CumulativeRecovered!BK82-CumulativeDead!BK82</f>
        <v>13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192</v>
      </c>
      <c r="BK83">
        <f>CumulativeConfirmed!BK83-CumulativeRecovered!BK83-CumulativeDead!BK83</f>
        <v>233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16</v>
      </c>
      <c r="BK84">
        <f>CumulativeConfirmed!BK84-CumulativeRecovered!BK84-CumulativeDead!BK84</f>
        <v>16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38</v>
      </c>
      <c r="BK85">
        <f>CumulativeConfirmed!BK85-CumulativeRecovered!BK85-CumulativeDead!BK85</f>
        <v>38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108</v>
      </c>
      <c r="BK86">
        <f>CumulativeConfirmed!BK86-CumulativeRecovered!BK86-CumulativeDead!BK86</f>
        <v>136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141</v>
      </c>
      <c r="BK87">
        <f>CumulativeConfirmed!BK87-CumulativeRecovered!BK87-CumulativeDead!BK87</f>
        <v>177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92</v>
      </c>
      <c r="BK88">
        <f>CumulativeConfirmed!BK88-CumulativeRecovered!BK88-CumulativeDead!BK88</f>
        <v>107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21</v>
      </c>
      <c r="BK89">
        <f>CumulativeConfirmed!BK89-CumulativeRecovered!BK89-CumulativeDead!BK89</f>
        <v>21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79</v>
      </c>
      <c r="BK90">
        <f>CumulativeConfirmed!BK90-CumulativeRecovered!BK90-CumulativeDead!BK90</f>
        <v>94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83</v>
      </c>
      <c r="BK91">
        <f>CumulativeConfirmed!BK91-CumulativeRecovered!BK91-CumulativeDead!BK91</f>
        <v>86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199</v>
      </c>
      <c r="BK92">
        <f>CumulativeConfirmed!BK92-CumulativeRecovered!BK92-CumulativeDead!BK92</f>
        <v>242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-6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102</v>
      </c>
      <c r="BK94">
        <f>CumulativeConfirmed!BK94-CumulativeRecovered!BK94-CumulativeDead!BK94</f>
        <v>102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1206</v>
      </c>
      <c r="BK96">
        <f>CumulativeConfirmed!BK96-CumulativeRecovered!BK96-CumulativeDead!BK96</f>
        <v>1492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34</v>
      </c>
      <c r="BK97">
        <f>CumulativeConfirmed!BK97-CumulativeRecovered!BK97-CumulativeDead!BK97</f>
        <v>39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60</v>
      </c>
      <c r="BK98">
        <f>CumulativeConfirmed!BK98-CumulativeRecovered!BK98-CumulativeDead!BK98</f>
        <v>62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22</v>
      </c>
      <c r="BK99">
        <f>CumulativeConfirmed!BK99-CumulativeRecovered!BK99-CumulativeDead!BK99</f>
        <v>27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24</v>
      </c>
      <c r="BK100">
        <f>CumulativeConfirmed!BK100-CumulativeRecovered!BK100-CumulativeDead!BK100</f>
        <v>27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0</v>
      </c>
      <c r="AV101">
        <f>CumulativeConfirmed!AV101-CumulativeRecovered!AV101-CumulativeDead!AV101</f>
        <v>0</v>
      </c>
      <c r="AW101">
        <f>CumulativeConfirmed!AW101-CumulativeRecovered!AW101-CumulativeDead!AW101</f>
        <v>0</v>
      </c>
      <c r="AX101">
        <f>CumulativeConfirmed!AX101-CumulativeRecovered!AX101-CumulativeDead!AX101</f>
        <v>0</v>
      </c>
      <c r="AY101">
        <f>CumulativeConfirmed!AY101-CumulativeRecovered!AY101-CumulativeDead!AY101</f>
        <v>0</v>
      </c>
      <c r="AZ101">
        <f>CumulativeConfirmed!AZ101-CumulativeRecovered!AZ101-CumulativeDead!AZ101</f>
        <v>0</v>
      </c>
      <c r="BA101">
        <f>CumulativeConfirmed!BA101-CumulativeRecovered!BA101-CumulativeDead!BA101</f>
        <v>0</v>
      </c>
      <c r="BB101">
        <f>CumulativeConfirmed!BB101-CumulativeRecovered!BB101-CumulativeDead!BB101</f>
        <v>0</v>
      </c>
      <c r="BC101">
        <f>CumulativeConfirmed!BC101-CumulativeRecovered!BC101-CumulativeDead!BC101</f>
        <v>0</v>
      </c>
      <c r="BD101">
        <f>CumulativeConfirmed!BD101-CumulativeRecovered!BD101-CumulativeDead!BD101</f>
        <v>0</v>
      </c>
      <c r="BE101">
        <f>CumulativeConfirmed!BE101-CumulativeRecovered!BE101-CumulativeDead!BE101</f>
        <v>0</v>
      </c>
      <c r="BF101">
        <f>CumulativeConfirmed!BF101-CumulativeRecovered!BF101-CumulativeDead!BF101</f>
        <v>0</v>
      </c>
      <c r="BG101">
        <f>CumulativeConfirmed!BG101-CumulativeRecovered!BG101-CumulativeDead!BG101</f>
        <v>0</v>
      </c>
      <c r="BH101">
        <f>CumulativeConfirmed!BH101-CumulativeRecovered!BH101-CumulativeDead!BH101</f>
        <v>0</v>
      </c>
      <c r="BI101">
        <f>CumulativeConfirmed!BI101-CumulativeRecovered!BI101-CumulativeDead!BI101</f>
        <v>0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69</v>
      </c>
      <c r="BK102">
        <f>CumulativeConfirmed!BK102-CumulativeRecovered!BK102-CumulativeDead!BK102</f>
        <v>69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66</v>
      </c>
      <c r="BK104">
        <f>CumulativeConfirmed!BK104-CumulativeRecovered!BK104-CumulativeDead!BK104</f>
        <v>90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40</v>
      </c>
      <c r="BK105">
        <f>CumulativeConfirmed!BK105-CumulativeRecovered!BK105-CumulativeDead!BK105</f>
        <v>56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29</v>
      </c>
      <c r="BK106">
        <f>CumulativeConfirmed!BK106-CumulativeRecovered!BK106-CumulativeDead!BK106</f>
        <v>35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26</v>
      </c>
      <c r="BK107">
        <f>CumulativeConfirmed!BK107-CumulativeRecovered!BK107-CumulativeDead!BK107</f>
        <v>30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22</v>
      </c>
      <c r="BK108">
        <f>CumulativeConfirmed!BK108-CumulativeRecovered!BK108-CumulativeDead!BK108</f>
        <v>22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28</v>
      </c>
      <c r="BK109">
        <f>CumulativeConfirmed!BK109-CumulativeRecovered!BK109-CumulativeDead!BK109</f>
        <v>37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111</v>
      </c>
      <c r="BK110">
        <f>CumulativeConfirmed!BK110-CumulativeRecovered!BK110-CumulativeDead!BK110</f>
        <v>131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1</v>
      </c>
      <c r="BK111">
        <f>CumulativeConfirmed!BK111-CumulativeRecovered!BK111-CumulativeDead!BK111</f>
        <v>3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2</v>
      </c>
      <c r="BK112">
        <f>CumulativeConfirmed!BK112-CumulativeRecovered!BK112-CumulativeDead!BK112</f>
        <v>2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13</v>
      </c>
      <c r="BK114">
        <f>CumulativeConfirmed!BK114-CumulativeRecovered!BK114-CumulativeDead!BK114</f>
        <v>24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7</v>
      </c>
      <c r="BK115">
        <f>CumulativeConfirmed!BK115-CumulativeRecovered!BK115-CumulativeDead!BK115</f>
        <v>7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2</v>
      </c>
      <c r="BK117">
        <f>CumulativeConfirmed!BK117-CumulativeRecovered!BK117-CumulativeDead!BK117</f>
        <v>4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18</v>
      </c>
      <c r="BK118">
        <f>CumulativeConfirmed!BK118-CumulativeRecovered!BK118-CumulativeDead!BK118</f>
        <v>19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1</v>
      </c>
      <c r="BK119">
        <f>CumulativeConfirmed!BK119-CumulativeRecovered!BK119-CumulativeDead!BK119</f>
        <v>1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111</v>
      </c>
      <c r="BK120">
        <f>CumulativeConfirmed!BK120-CumulativeRecovered!BK120-CumulativeDead!BK120</f>
        <v>126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15</v>
      </c>
      <c r="BK121">
        <f>CumulativeConfirmed!BK121-CumulativeRecovered!BK121-CumulativeDead!BK121</f>
        <v>16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37</v>
      </c>
      <c r="BK122">
        <f>CumulativeConfirmed!BK122-CumulativeRecovered!BK122-CumulativeDead!BK122</f>
        <v>51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10</v>
      </c>
      <c r="BK123">
        <f>CumulativeConfirmed!BK123-CumulativeRecovered!BK123-CumulativeDead!BK123</f>
        <v>10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1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1</v>
      </c>
      <c r="BK125">
        <f>CumulativeConfirmed!BK125-CumulativeRecovered!BK125-CumulativeDead!BK125</f>
        <v>1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15</v>
      </c>
      <c r="BK126">
        <f>CumulativeConfirmed!BK126-CumulativeRecovered!BK126-CumulativeDead!BK126</f>
        <v>17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AY2" activePane="bottomRight" state="frozen"/>
      <selection pane="topRight" activeCell="B1" sqref="B1"/>
      <selection pane="bottomLeft" activeCell="A2" sqref="A2"/>
      <selection pane="bottomRight" activeCell="BK2" sqref="BK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72362</v>
      </c>
      <c r="BK2">
        <f>SUMIF(RecoveredRaw!$B:$B,$A2,RecoveredRaw!BN:BN)</f>
        <v>72814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7024</v>
      </c>
      <c r="BK3">
        <f>SUMIF(RecoveredRaw!$B:$B,$A3,RecoveredRaw!BN:BN)</f>
        <v>7024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7931</v>
      </c>
      <c r="BK4">
        <f>SUMIF(RecoveredRaw!$B:$B,$A4,RecoveredRaw!BN:BN)</f>
        <v>7931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2909</v>
      </c>
      <c r="BK5">
        <f>SUMIF(RecoveredRaw!$B:$B,$A5,RecoveredRaw!BN:BN)</f>
        <v>2909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2575</v>
      </c>
      <c r="BK6">
        <f>SUMIF(RecoveredRaw!$B:$B,$A6,RecoveredRaw!BN:BN)</f>
        <v>2575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266</v>
      </c>
      <c r="BK7">
        <f>SUMIF(RecoveredRaw!$B:$B,$A7,RecoveredRaw!BN:BN)</f>
        <v>266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2206</v>
      </c>
      <c r="BK8">
        <f>SUMIF(RecoveredRaw!$B:$B,$A8,RecoveredRaw!BN:BN)</f>
        <v>2200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178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131</v>
      </c>
      <c r="BK10">
        <f>SUMIF(RecoveredRaw!$B:$B,$A10,RecoveredRaw!BN:BN)</f>
        <v>131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1</v>
      </c>
      <c r="BK11">
        <f>SUMIF(RecoveredRaw!$B:$B,$A11,RecoveredRaw!BN:BN)</f>
        <v>1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16</v>
      </c>
      <c r="BK12">
        <f>SUMIF(RecoveredRaw!$B:$B,$A12,RecoveredRaw!BN:BN)</f>
        <v>16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1</v>
      </c>
      <c r="BK13">
        <f>SUMIF(RecoveredRaw!$B:$B,$A13,RecoveredRaw!BN:BN)</f>
        <v>1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2</v>
      </c>
      <c r="BK14">
        <f>SUMIF(RecoveredRaw!$B:$B,$A14,RecoveredRaw!BN:BN)</f>
        <v>2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67</v>
      </c>
      <c r="BK15">
        <f>SUMIF(RecoveredRaw!$B:$B,$A15,RecoveredRaw!BN:BN)</f>
        <v>67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235</v>
      </c>
      <c r="BK16">
        <f>SUMIF(RecoveredRaw!$B:$B,$A16,RecoveredRaw!BN:BN)</f>
        <v>235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325</v>
      </c>
      <c r="BK17">
        <f>SUMIF(RecoveredRaw!$B:$B,$A17,RecoveredRaw!BN:BN)</f>
        <v>325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263</v>
      </c>
      <c r="BK18">
        <f>SUMIF(RecoveredRaw!$B:$B,$A18,RecoveredRaw!BN:BN)</f>
        <v>263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9</v>
      </c>
      <c r="BK19">
        <f>SUMIF(RecoveredRaw!$B:$B,$A19,RecoveredRaw!BN:BN)</f>
        <v>9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33</v>
      </c>
      <c r="BK20">
        <f>SUMIF(RecoveredRaw!$B:$B,$A20,RecoveredRaw!BN:BN)</f>
        <v>33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88</v>
      </c>
      <c r="BK21">
        <f>SUMIF(RecoveredRaw!$B:$B,$A21,RecoveredRaw!BN:BN)</f>
        <v>88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144</v>
      </c>
      <c r="BK22">
        <f>SUMIF(RecoveredRaw!$B:$B,$A22,RecoveredRaw!BN:BN)</f>
        <v>144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139</v>
      </c>
      <c r="BK23">
        <f>SUMIF(RecoveredRaw!$B:$B,$A23,RecoveredRaw!BN:BN)</f>
        <v>139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10</v>
      </c>
      <c r="BK24">
        <f>SUMIF(RecoveredRaw!$B:$B,$A24,RecoveredRaw!BN:BN)</f>
        <v>10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19</v>
      </c>
      <c r="BK25">
        <f>SUMIF(RecoveredRaw!$B:$B,$A25,RecoveredRaw!BN:BN)</f>
        <v>19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149</v>
      </c>
      <c r="BK26">
        <f>SUMIF(RecoveredRaw!$B:$B,$A26,RecoveredRaw!BN:BN)</f>
        <v>149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37</v>
      </c>
      <c r="BK27">
        <f>SUMIF(RecoveredRaw!$B:$B,$A27,RecoveredRaw!BN:BN)</f>
        <v>37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10</v>
      </c>
      <c r="BK28">
        <f>SUMIF(RecoveredRaw!$B:$B,$A28,RecoveredRaw!BN:BN)</f>
        <v>10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2</v>
      </c>
      <c r="BK29">
        <f>SUMIF(RecoveredRaw!$B:$B,$A29,RecoveredRaw!BN:BN)</f>
        <v>2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6</v>
      </c>
      <c r="BK30">
        <f>SUMIF(RecoveredRaw!$B:$B,$A30,RecoveredRaw!BN:BN)</f>
        <v>6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36</v>
      </c>
      <c r="BK32">
        <f>SUMIF(RecoveredRaw!$B:$B,$A32,RecoveredRaw!BN:BN)</f>
        <v>36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5</v>
      </c>
      <c r="BK33">
        <f>SUMIF(RecoveredRaw!$B:$B,$A33,RecoveredRaw!BN:BN)</f>
        <v>5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57</v>
      </c>
      <c r="BK34">
        <f>SUMIF(RecoveredRaw!$B:$B,$A34,RecoveredRaw!BN:BN)</f>
        <v>57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5</v>
      </c>
      <c r="BK35">
        <f>SUMIF(RecoveredRaw!$B:$B,$A35,RecoveredRaw!BN:BN)</f>
        <v>5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64</v>
      </c>
      <c r="BK36">
        <f>SUMIF(RecoveredRaw!$B:$B,$A36,RecoveredRaw!BN:BN)</f>
        <v>64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16</v>
      </c>
      <c r="BK37">
        <f>SUMIF(RecoveredRaw!$B:$B,$A37,RecoveredRaw!BN:BN)</f>
        <v>16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38</v>
      </c>
      <c r="BK38">
        <f>SUMIF(RecoveredRaw!$B:$B,$A38,RecoveredRaw!BN:BN)</f>
        <v>38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27</v>
      </c>
      <c r="BK39">
        <f>SUMIF(RecoveredRaw!$B:$B,$A39,RecoveredRaw!BN:BN)</f>
        <v>27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56</v>
      </c>
      <c r="BK40">
        <f>SUMIF(RecoveredRaw!$B:$B,$A40,RecoveredRaw!BN:BN)</f>
        <v>56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27</v>
      </c>
      <c r="BK41">
        <f>SUMIF(RecoveredRaw!$B:$B,$A41,RecoveredRaw!BN:BN)</f>
        <v>27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4</v>
      </c>
      <c r="BK42">
        <f>SUMIF(RecoveredRaw!$B:$B,$A42,RecoveredRaw!BN:BN)</f>
        <v>4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2</v>
      </c>
      <c r="BK43">
        <f>SUMIF(RecoveredRaw!$B:$B,$A43,RecoveredRaw!BN:BN)</f>
        <v>2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8</v>
      </c>
      <c r="BK44">
        <f>SUMIF(RecoveredRaw!$B:$B,$A44,RecoveredRaw!BN:BN)</f>
        <v>8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44</v>
      </c>
      <c r="BK45">
        <f>SUMIF(RecoveredRaw!$B:$B,$A45,RecoveredRaw!BN:BN)</f>
        <v>44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29</v>
      </c>
      <c r="BK46">
        <f>SUMIF(RecoveredRaw!$B:$B,$A46,RecoveredRaw!BN:BN)</f>
        <v>29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1</v>
      </c>
      <c r="BK47">
        <f>SUMIF(RecoveredRaw!$B:$B,$A47,RecoveredRaw!BN:BN)</f>
        <v>1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17</v>
      </c>
      <c r="BK48">
        <f>SUMIF(RecoveredRaw!$B:$B,$A48,RecoveredRaw!BN:BN)</f>
        <v>17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28</v>
      </c>
      <c r="BK49">
        <f>SUMIF(RecoveredRaw!$B:$B,$A49,RecoveredRaw!BN:BN)</f>
        <v>28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17</v>
      </c>
      <c r="BK50">
        <f>SUMIF(RecoveredRaw!$B:$B,$A50,RecoveredRaw!BN:BN)</f>
        <v>17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16</v>
      </c>
      <c r="BK51">
        <f>SUMIF(RecoveredRaw!$B:$B,$A51,RecoveredRaw!BN:BN)</f>
        <v>16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8</v>
      </c>
      <c r="BK52">
        <f>SUMIF(RecoveredRaw!$B:$B,$A52,RecoveredRaw!BN:BN)</f>
        <v>8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2</v>
      </c>
      <c r="BK53">
        <f>SUMIF(RecoveredRaw!$B:$B,$A53,RecoveredRaw!BN:BN)</f>
        <v>2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1</v>
      </c>
      <c r="BK54">
        <f>SUMIF(RecoveredRaw!$B:$B,$A54,RecoveredRaw!BN:BN)</f>
        <v>1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6</v>
      </c>
      <c r="BK55">
        <f>SUMIF(RecoveredRaw!$B:$B,$A55,RecoveredRaw!BN:BN)</f>
        <v>6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2</v>
      </c>
      <c r="BK56">
        <f>SUMIF(RecoveredRaw!$B:$B,$A56,RecoveredRaw!BN:BN)</f>
        <v>2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5</v>
      </c>
      <c r="BK57">
        <f>SUMIF(RecoveredRaw!$B:$B,$A57,RecoveredRaw!BN:BN)</f>
        <v>5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7</v>
      </c>
      <c r="BK58">
        <f>SUMIF(RecoveredRaw!$B:$B,$A58,RecoveredRaw!BN:BN)</f>
        <v>7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3</v>
      </c>
      <c r="BK59">
        <f>SUMIF(RecoveredRaw!$B:$B,$A59,RecoveredRaw!BN:BN)</f>
        <v>3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5</v>
      </c>
      <c r="BK60">
        <f>SUMIF(RecoveredRaw!$B:$B,$A60,RecoveredRaw!BN:BN)</f>
        <v>5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1</v>
      </c>
      <c r="BK61">
        <f>SUMIF(RecoveredRaw!$B:$B,$A61,RecoveredRaw!BN:BN)</f>
        <v>1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15</v>
      </c>
      <c r="BK62">
        <f>SUMIF(RecoveredRaw!$B:$B,$A62,RecoveredRaw!BN:BN)</f>
        <v>15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65</v>
      </c>
      <c r="BK64">
        <f>SUMIF(RecoveredRaw!$B:$B,$A64,RecoveredRaw!BN:BN)</f>
        <v>65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3</v>
      </c>
      <c r="BK65">
        <f>SUMIF(RecoveredRaw!$B:$B,$A65,RecoveredRaw!BN:BN)</f>
        <v>3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3</v>
      </c>
      <c r="BK67">
        <f>SUMIF(RecoveredRaw!$B:$B,$A67,RecoveredRaw!BN:BN)</f>
        <v>3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2</v>
      </c>
      <c r="BK68">
        <f>SUMIF(RecoveredRaw!$B:$B,$A68,RecoveredRaw!BN:BN)</f>
        <v>2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16</v>
      </c>
      <c r="BK69">
        <f>SUMIF(RecoveredRaw!$B:$B,$A69,RecoveredRaw!BN:BN)</f>
        <v>16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17</v>
      </c>
      <c r="BK70">
        <f>SUMIF(RecoveredRaw!$B:$B,$A70,RecoveredRaw!BN:BN)</f>
        <v>17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3</v>
      </c>
      <c r="BK71">
        <f>SUMIF(RecoveredRaw!$B:$B,$A71,RecoveredRaw!BN:BN)</f>
        <v>3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1</v>
      </c>
      <c r="BK72">
        <f>SUMIF(RecoveredRaw!$B:$B,$A72,RecoveredRaw!BN:BN)</f>
        <v>1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1</v>
      </c>
      <c r="BK73">
        <f>SUMIF(RecoveredRaw!$B:$B,$A73,RecoveredRaw!BN:BN)</f>
        <v>1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10</v>
      </c>
      <c r="BK74">
        <f>SUMIF(RecoveredRaw!$B:$B,$A74,RecoveredRaw!BN:BN)</f>
        <v>10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3</v>
      </c>
      <c r="BK75">
        <f>SUMIF(RecoveredRaw!$B:$B,$A75,RecoveredRaw!BN:BN)</f>
        <v>3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1</v>
      </c>
      <c r="BK76">
        <f>SUMIF(RecoveredRaw!$B:$B,$A76,RecoveredRaw!BN:BN)</f>
        <v>1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2</v>
      </c>
      <c r="BK77">
        <f>SUMIF(RecoveredRaw!$B:$B,$A77,RecoveredRaw!BN:BN)</f>
        <v>2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3</v>
      </c>
      <c r="BK78">
        <f>SUMIF(RecoveredRaw!$B:$B,$A78,RecoveredRaw!BN:BN)</f>
        <v>3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2</v>
      </c>
      <c r="BK79">
        <f>SUMIF(RecoveredRaw!$B:$B,$A79,RecoveredRaw!BN:BN)</f>
        <v>2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4</v>
      </c>
      <c r="BK80">
        <f>SUMIF(RecoveredRaw!$B:$B,$A80,RecoveredRaw!BN:BN)</f>
        <v>4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5</v>
      </c>
      <c r="BK81">
        <f>SUMIF(RecoveredRaw!$B:$B,$A81,RecoveredRaw!BN:BN)</f>
        <v>5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2</v>
      </c>
      <c r="BK83">
        <f>SUMIF(RecoveredRaw!$B:$B,$A83,RecoveredRaw!BN:BN)</f>
        <v>2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2</v>
      </c>
      <c r="BK84">
        <f>SUMIF(RecoveredRaw!$B:$B,$A84,RecoveredRaw!BN:BN)</f>
        <v>2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1</v>
      </c>
      <c r="BK85">
        <f>SUMIF(RecoveredRaw!$B:$B,$A85,RecoveredRaw!BN:BN)</f>
        <v>1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3</v>
      </c>
      <c r="BK86">
        <f>SUMIF(RecoveredRaw!$B:$B,$A86,RecoveredRaw!BN:BN)</f>
        <v>3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1</v>
      </c>
      <c r="BK87">
        <f>SUMIF(RecoveredRaw!$B:$B,$A87,RecoveredRaw!BN:BN)</f>
        <v>1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1</v>
      </c>
      <c r="BK88">
        <f>SUMIF(RecoveredRaw!$B:$B,$A88,RecoveredRaw!BN:BN)</f>
        <v>1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3</v>
      </c>
      <c r="BK90">
        <f>SUMIF(RecoveredRaw!$B:$B,$A90,RecoveredRaw!BN:BN)</f>
        <v>3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1</v>
      </c>
      <c r="BK91">
        <f>SUMIF(RecoveredRaw!$B:$B,$A91,RecoveredRaw!BN:BN)</f>
        <v>1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6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3</v>
      </c>
      <c r="BK99">
        <f>SUMIF(RecoveredRaw!$B:$B,$A99,RecoveredRaw!BN:BN)</f>
        <v>3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1</v>
      </c>
      <c r="BK102">
        <f>SUMIF(RecoveredRaw!$B:$B,$A102,RecoveredRaw!BN:BN)</f>
        <v>1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5</v>
      </c>
      <c r="BK104">
        <f>SUMIF(RecoveredRaw!$B:$B,$A104,RecoveredRaw!BN:BN)</f>
        <v>5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1</v>
      </c>
      <c r="BK108">
        <f>SUMIF(RecoveredRaw!$B:$B,$A108,RecoveredRaw!BN:BN)</f>
        <v>1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2</v>
      </c>
      <c r="BK109">
        <f>SUMIF(RecoveredRaw!$B:$B,$A109,RecoveredRaw!BN:BN)</f>
        <v>2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1</v>
      </c>
      <c r="BK110">
        <f>SUMIF(RecoveredRaw!$B:$B,$A110,RecoveredRaw!BN:BN)</f>
        <v>1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1</v>
      </c>
      <c r="BK114">
        <f>SUMIF(RecoveredRaw!$B:$B,$A114,RecoveredRaw!BN:BN)</f>
        <v>1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4</v>
      </c>
      <c r="BK115">
        <f>SUMIF(RecoveredRaw!$B:$B,$A115,RecoveredRaw!BN:BN)</f>
        <v>4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1</v>
      </c>
      <c r="BK120">
        <f>SUMIF(RecoveredRaw!$B:$B,$A120,RecoveredRaw!BN:BN)</f>
        <v>1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1</v>
      </c>
      <c r="BK124">
        <f>SUMIF(RecoveredRaw!$B:$B,$A124,RecoveredRaw!BN:BN)</f>
        <v>1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1</v>
      </c>
      <c r="BK126">
        <f>SUMIF(RecoveredRaw!$B:$B,$A126,RecoveredRaw!BN:BN)</f>
        <v>1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pane xSplit="1" ySplit="1" topLeftCell="AM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3274</v>
      </c>
      <c r="BK2">
        <f>SUMIF(DeadRaw!$B:$B,$A2,DeadRaw!BN:BN)</f>
        <v>3274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5476</v>
      </c>
      <c r="BK3">
        <f>SUMIF(DeadRaw!$B:$B,$A3,DeadRaw!BN:BN)</f>
        <v>6077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1685</v>
      </c>
      <c r="BK4">
        <f>SUMIF(DeadRaw!$B:$B,$A4,DeadRaw!BN:BN)</f>
        <v>1812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111</v>
      </c>
      <c r="BK5">
        <f>SUMIF(DeadRaw!$B:$B,$A5,DeadRaw!BN:BN)</f>
        <v>111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1772</v>
      </c>
      <c r="BK6">
        <f>SUMIF(DeadRaw!$B:$B,$A6,DeadRaw!BN:BN)</f>
        <v>2311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94</v>
      </c>
      <c r="BK7">
        <f>SUMIF(DeadRaw!$B:$B,$A7,DeadRaw!BN:BN)</f>
        <v>123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149</v>
      </c>
      <c r="BE8">
        <v>175</v>
      </c>
      <c r="BF8">
        <v>264</v>
      </c>
      <c r="BG8">
        <v>372</v>
      </c>
      <c r="BH8">
        <f>SUMIF(DeadRaw!$B:$B,$A8,DeadRaw!BK:BK)</f>
        <v>451</v>
      </c>
      <c r="BI8">
        <f>SUMIF(DeadRaw!$B:$B,$A8,DeadRaw!BL:BL)</f>
        <v>563</v>
      </c>
      <c r="BJ8">
        <f>SUMIF(DeadRaw!$B:$B,$A8,DeadRaw!BM:BM)</f>
        <v>676</v>
      </c>
      <c r="BK8">
        <f>SUMIF(DeadRaw!$B:$B,$A8,DeadRaw!BN:BN)</f>
        <v>862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417</v>
      </c>
      <c r="BK9">
        <f>SUMIF(DeadRaw!$B:$B,$A9,DeadRaw!BN:BN)</f>
        <v>557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98</v>
      </c>
      <c r="BK10">
        <f>SUMIF(DeadRaw!$B:$B,$A10,DeadRaw!BN:BN)</f>
        <v>120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7</v>
      </c>
      <c r="BK11">
        <f>SUMIF(DeadRaw!$B:$B,$A11,DeadRaw!BN:BN)</f>
        <v>10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21</v>
      </c>
      <c r="BK12">
        <f>SUMIF(DeadRaw!$B:$B,$A12,DeadRaw!BN:BN)</f>
        <v>25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13</v>
      </c>
      <c r="BK13">
        <f>SUMIF(DeadRaw!$B:$B,$A13,DeadRaw!BN:BN)</f>
        <v>24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180</v>
      </c>
      <c r="BK14">
        <f>SUMIF(DeadRaw!$B:$B,$A14,DeadRaw!BN:BN)</f>
        <v>214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v>10</v>
      </c>
      <c r="BA15">
        <v>11</v>
      </c>
      <c r="BB15">
        <f>SUMIF(DeadRaw!$B:$B,$A15,DeadRaw!BE:BE)</f>
        <v>21</v>
      </c>
      <c r="BC15">
        <v>35</v>
      </c>
      <c r="BD15">
        <f>SUMIF(DeadRaw!$B:$B,$A15,DeadRaw!BG:BG)</f>
        <v>56</v>
      </c>
      <c r="BE15">
        <v>71</v>
      </c>
      <c r="BF15">
        <v>104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282</v>
      </c>
      <c r="BK15">
        <f>SUMIF(DeadRaw!$B:$B,$A15,DeadRaw!BN:BN)</f>
        <v>336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41</v>
      </c>
      <c r="BK16">
        <f>SUMIF(DeadRaw!$B:$B,$A16,DeadRaw!BN:BN)</f>
        <v>42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8</v>
      </c>
      <c r="BJ17">
        <f>SUMIF(DeadRaw!$B:$B,$A17,DeadRaw!BM:BM)</f>
        <v>8</v>
      </c>
      <c r="BK17">
        <f>SUMIF(DeadRaw!$B:$B,$A17,DeadRaw!BN:BN)</f>
        <v>8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75</v>
      </c>
      <c r="BK18">
        <f>SUMIF(DeadRaw!$B:$B,$A18,DeadRaw!BN:BN)</f>
        <v>88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16</v>
      </c>
      <c r="BK19">
        <f>SUMIF(DeadRaw!$B:$B,$A19,DeadRaw!BN:BN)</f>
        <v>21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7</v>
      </c>
      <c r="BK21">
        <f>SUMIF(DeadRaw!$B:$B,$A21,DeadRaw!BN:BN)</f>
        <v>7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2</v>
      </c>
      <c r="BK22">
        <f>SUMIF(DeadRaw!$B:$B,$A22,DeadRaw!BN:BN)</f>
        <v>2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10</v>
      </c>
      <c r="BK23">
        <f>SUMIF(DeadRaw!$B:$B,$A23,DeadRaw!BN:BN)</f>
        <v>14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21</v>
      </c>
      <c r="BK24">
        <f>SUMIF(DeadRaw!$B:$B,$A24,DeadRaw!BN:BN)</f>
        <v>25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15</v>
      </c>
      <c r="BK25">
        <f>SUMIF(DeadRaw!$B:$B,$A25,DeadRaw!BN:BN)</f>
        <v>17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2</v>
      </c>
      <c r="BK26">
        <f>SUMIF(DeadRaw!$B:$B,$A26,DeadRaw!BN:BN)</f>
        <v>2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1</v>
      </c>
      <c r="BK27">
        <f>SUMIF(DeadRaw!$B:$B,$A27,DeadRaw!BN:BN)</f>
        <v>1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1</v>
      </c>
      <c r="BK28">
        <f>SUMIF(DeadRaw!$B:$B,$A28,DeadRaw!BN:BN)</f>
        <v>1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25</v>
      </c>
      <c r="BK29">
        <f>SUMIF(DeadRaw!$B:$B,$A29,DeadRaw!BN:BN)</f>
        <v>34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1</v>
      </c>
      <c r="BK30">
        <f>SUMIF(DeadRaw!$B:$B,$A30,DeadRaw!BN:BN)</f>
        <v>1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2</v>
      </c>
      <c r="BK31">
        <f>SUMIF(DeadRaw!$B:$B,$A31,DeadRaw!BN:BN)</f>
        <v>3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1</v>
      </c>
      <c r="BK32">
        <f>SUMIF(DeadRaw!$B:$B,$A32,DeadRaw!BN:BN)</f>
        <v>1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14</v>
      </c>
      <c r="BK33">
        <f>SUMIF(DeadRaw!$B:$B,$A33,DeadRaw!BN:BN)</f>
        <v>23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20</v>
      </c>
      <c r="BK34">
        <f>SUMIF(DeadRaw!$B:$B,$A34,DeadRaw!BN:BN)</f>
        <v>23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4</v>
      </c>
      <c r="BK35">
        <f>SUMIF(DeadRaw!$B:$B,$A35,DeadRaw!BN:BN)</f>
        <v>6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3</v>
      </c>
      <c r="BK36">
        <f>SUMIF(DeadRaw!$B:$B,$A36,DeadRaw!BN:BN)</f>
        <v>7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2</v>
      </c>
      <c r="BK38">
        <f>SUMIF(DeadRaw!$B:$B,$A38,DeadRaw!BN:BN)</f>
        <v>2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7</v>
      </c>
      <c r="BK39">
        <f>SUMIF(DeadRaw!$B:$B,$A39,DeadRaw!BN:BN)</f>
        <v>10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14</v>
      </c>
      <c r="BK40">
        <f>SUMIF(DeadRaw!$B:$B,$A40,DeadRaw!BN:BN)</f>
        <v>19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20</v>
      </c>
      <c r="BK42">
        <f>SUMIF(DeadRaw!$B:$B,$A42,DeadRaw!BN:BN)</f>
        <v>20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4</v>
      </c>
      <c r="BK44">
        <f>SUMIF(DeadRaw!$B:$B,$A44,DeadRaw!BN:BN)</f>
        <v>4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1</v>
      </c>
      <c r="BK45">
        <f>SUMIF(DeadRaw!$B:$B,$A45,DeadRaw!BN:BN)</f>
        <v>1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48</v>
      </c>
      <c r="BK46">
        <f>SUMIF(DeadRaw!$B:$B,$A46,DeadRaw!BN:BN)</f>
        <v>49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7</v>
      </c>
      <c r="BK47">
        <f>SUMIF(DeadRaw!$B:$B,$A47,DeadRaw!BN:BN)</f>
        <v>8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25</v>
      </c>
      <c r="BK48">
        <f>SUMIF(DeadRaw!$B:$B,$A48,DeadRaw!BN:BN)</f>
        <v>33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2</v>
      </c>
      <c r="BK49">
        <f>SUMIF(DeadRaw!$B:$B,$A49,DeadRaw!BN:BN)</f>
        <v>2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1</v>
      </c>
      <c r="BK51">
        <f>SUMIF(DeadRaw!$B:$B,$A51,DeadRaw!BN:BN)</f>
        <v>1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1</v>
      </c>
      <c r="BK52">
        <f>SUMIF(DeadRaw!$B:$B,$A52,DeadRaw!BN:BN)</f>
        <v>2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2</v>
      </c>
      <c r="BK54">
        <f>SUMIF(DeadRaw!$B:$B,$A54,DeadRaw!BN:BN)</f>
        <v>3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8</v>
      </c>
      <c r="BK55">
        <f>SUMIF(DeadRaw!$B:$B,$A55,DeadRaw!BN:BN)</f>
        <v>8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2</v>
      </c>
      <c r="BK56">
        <f>SUMIF(DeadRaw!$B:$B,$A56,DeadRaw!BN:BN)</f>
        <v>4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1</v>
      </c>
      <c r="BK57">
        <f>SUMIF(DeadRaw!$B:$B,$A57,DeadRaw!BN:BN)</f>
        <v>1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4</v>
      </c>
      <c r="BK59">
        <f>SUMIF(DeadRaw!$B:$B,$A59,DeadRaw!BN:BN)</f>
        <v>4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5</v>
      </c>
      <c r="BK60">
        <f>SUMIF(DeadRaw!$B:$B,$A60,DeadRaw!BN:BN)</f>
        <v>6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5</v>
      </c>
      <c r="BK61">
        <f>SUMIF(DeadRaw!$B:$B,$A61,DeadRaw!BN:BN)</f>
        <v>5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3</v>
      </c>
      <c r="BK63">
        <f>SUMIF(DeadRaw!$B:$B,$A63,DeadRaw!BN:BN)</f>
        <v>6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17</v>
      </c>
      <c r="BK64">
        <f>SUMIF(DeadRaw!$B:$B,$A64,DeadRaw!BN:BN)</f>
        <v>17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3</v>
      </c>
      <c r="BK67">
        <f>SUMIF(DeadRaw!$B:$B,$A67,DeadRaw!BN:BN)</f>
        <v>3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2</v>
      </c>
      <c r="BK68">
        <f>SUMIF(DeadRaw!$B:$B,$A68,DeadRaw!BN:BN)</f>
        <v>2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6</v>
      </c>
      <c r="BK69">
        <f>SUMIF(DeadRaw!$B:$B,$A69,DeadRaw!BN:BN)</f>
        <v>7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14</v>
      </c>
      <c r="BK71">
        <f>SUMIF(DeadRaw!$B:$B,$A71,DeadRaw!BN:BN)</f>
        <v>18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3</v>
      </c>
      <c r="BK73">
        <f>SUMIF(DeadRaw!$B:$B,$A73,DeadRaw!BN:BN)</f>
        <v>3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1</v>
      </c>
      <c r="BK74">
        <f>SUMIF(DeadRaw!$B:$B,$A74,DeadRaw!BN:BN)</f>
        <v>1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1</v>
      </c>
      <c r="BK75">
        <f>SUMIF(DeadRaw!$B:$B,$A75,DeadRaw!BN:BN)</f>
        <v>1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1</v>
      </c>
      <c r="BK76">
        <f>SUMIF(DeadRaw!$B:$B,$A76,DeadRaw!BN:BN)</f>
        <v>2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1</v>
      </c>
      <c r="BK77">
        <f>SUMIF(DeadRaw!$B:$B,$A77,DeadRaw!BN:BN)</f>
        <v>1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2</v>
      </c>
      <c r="BK78">
        <f>SUMIF(DeadRaw!$B:$B,$A78,DeadRaw!BN:BN)</f>
        <v>3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2</v>
      </c>
      <c r="BK80">
        <f>SUMIF(DeadRaw!$B:$B,$A80,DeadRaw!BN:BN)</f>
        <v>3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1</v>
      </c>
      <c r="BK84">
        <f>SUMIF(DeadRaw!$B:$B,$A84,DeadRaw!BN:BN)</f>
        <v>1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1</v>
      </c>
      <c r="BK85">
        <f>SUMIF(DeadRaw!$B:$B,$A85,DeadRaw!BN:BN)</f>
        <v>1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4</v>
      </c>
      <c r="BK86">
        <f>SUMIF(DeadRaw!$B:$B,$A86,DeadRaw!BN:BN)</f>
        <v>4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1</v>
      </c>
      <c r="BK87">
        <f>SUMIF(DeadRaw!$B:$B,$A87,DeadRaw!BN:BN)</f>
        <v>1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1</v>
      </c>
      <c r="BK88">
        <f>SUMIF(DeadRaw!$B:$B,$A88,DeadRaw!BN:BN)</f>
        <v>1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1</v>
      </c>
      <c r="BK89">
        <f>SUMIF(DeadRaw!$B:$B,$A89,DeadRaw!BN:BN)</f>
        <v>1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3</v>
      </c>
      <c r="BK92">
        <f>SUMIF(DeadRaw!$B:$B,$A92,DeadRaw!BN:BN)</f>
        <v>3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30</v>
      </c>
      <c r="BK96">
        <f>SUMIF(DeadRaw!$B:$B,$A96,DeadRaw!BN:BN)</f>
        <v>37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1</v>
      </c>
      <c r="BK97">
        <f>SUMIF(DeadRaw!$B:$B,$A97,DeadRaw!BN:BN)</f>
        <v>1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2</v>
      </c>
      <c r="BK99">
        <f>SUMIF(DeadRaw!$B:$B,$A99,DeadRaw!BN:BN)</f>
        <v>3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0</v>
      </c>
      <c r="BE101">
        <f>SUMIF(DeadRaw!$B:$B,$A101,DeadRaw!BH:BH)</f>
        <v>0</v>
      </c>
      <c r="BF101">
        <f>SUMIF(DeadRaw!$B:$B,$A101,DeadRaw!BI:BI)</f>
        <v>0</v>
      </c>
      <c r="BG101">
        <f>SUMIF(DeadRaw!$B:$B,$A101,DeadRaw!BJ:BJ)</f>
        <v>0</v>
      </c>
      <c r="BH101">
        <f>SUMIF(DeadRaw!$B:$B,$A101,DeadRaw!BK:BK)</f>
        <v>0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3</v>
      </c>
      <c r="BK102">
        <f>SUMIF(DeadRaw!$B:$B,$A102,DeadRaw!BN:BN)</f>
        <v>3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4</v>
      </c>
      <c r="BK104">
        <f>SUMIF(DeadRaw!$B:$B,$A104,DeadRaw!BN:BN)</f>
        <v>4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1</v>
      </c>
      <c r="BK106">
        <f>SUMIF(DeadRaw!$B:$B,$A106,DeadRaw!BN:BN)</f>
        <v>1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1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1</v>
      </c>
      <c r="BK110">
        <f>SUMIF(DeadRaw!$B:$B,$A110,DeadRaw!BN:BN)</f>
        <v>1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1</v>
      </c>
      <c r="BK118">
        <f>SUMIF(DeadRaw!$B:$B,$A118,DeadRaw!BN:BN)</f>
        <v>1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1</v>
      </c>
      <c r="BK125">
        <f>SUMIF(DeadRaw!$B:$B,$A125,DeadRaw!BN:BN)</f>
        <v>1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511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521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522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523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524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525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526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527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531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532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533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534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535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536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537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538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539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554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555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556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557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558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561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562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563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564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565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580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N239"/>
  <sheetViews>
    <sheetView workbookViewId="0">
      <selection sqref="A1:CA1000"/>
    </sheetView>
  </sheetViews>
  <sheetFormatPr defaultRowHeight="14.4" x14ac:dyDescent="0.3"/>
  <sheetData>
    <row r="1" spans="1:66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</row>
    <row r="2" spans="1:66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</row>
    <row r="3" spans="1:66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</row>
    <row r="4" spans="1:66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</row>
    <row r="5" spans="1:66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</row>
    <row r="6" spans="1:66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</row>
    <row r="7" spans="1:66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</row>
    <row r="8" spans="1:66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</row>
    <row r="9" spans="1:66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</row>
    <row r="10" spans="1:66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</row>
    <row r="11" spans="1:66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</row>
    <row r="12" spans="1:66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</row>
    <row r="13" spans="1:66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</row>
    <row r="15" spans="1:66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</row>
    <row r="17" spans="1:66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</row>
    <row r="18" spans="1:66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</row>
    <row r="19" spans="1:66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</row>
    <row r="20" spans="1:66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1:66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</row>
    <row r="22" spans="1:66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</row>
    <row r="23" spans="1:66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1:66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</row>
    <row r="26" spans="1:66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</row>
    <row r="27" spans="1:66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</row>
    <row r="28" spans="1:66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</row>
    <row r="29" spans="1:66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</row>
    <row r="30" spans="1:66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</row>
    <row r="31" spans="1:66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</row>
    <row r="32" spans="1:66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</row>
    <row r="33" spans="1:66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</row>
    <row r="34" spans="1:66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</row>
    <row r="35" spans="1:66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:66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</row>
    <row r="37" spans="1:66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</row>
    <row r="38" spans="1:66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</row>
    <row r="39" spans="1:66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:66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</row>
    <row r="41" spans="1:66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:66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</row>
    <row r="43" spans="1:66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</row>
    <row r="44" spans="1:66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</row>
    <row r="45" spans="1:66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</row>
    <row r="46" spans="1:66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</row>
    <row r="47" spans="1:66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</row>
    <row r="48" spans="1:66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</row>
    <row r="49" spans="1:66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</row>
    <row r="51" spans="1:66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</row>
    <row r="52" spans="1:66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</row>
    <row r="53" spans="1:66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</row>
    <row r="54" spans="1:66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</row>
    <row r="55" spans="1:66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</row>
    <row r="56" spans="1:66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</row>
    <row r="57" spans="1:66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</row>
    <row r="58" spans="1:66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</row>
    <row r="59" spans="1:66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</row>
    <row r="60" spans="1:66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</row>
    <row r="61" spans="1:66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</row>
    <row r="62" spans="1:66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</row>
    <row r="63" spans="1:66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</row>
    <row r="64" spans="1:66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</row>
    <row r="65" spans="1:66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</row>
    <row r="66" spans="1:66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</row>
    <row r="67" spans="1:66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</row>
    <row r="68" spans="1:66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</row>
    <row r="69" spans="1:66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</row>
    <row r="70" spans="1:66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</row>
    <row r="71" spans="1:66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</row>
    <row r="72" spans="1:66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</row>
    <row r="73" spans="1:66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</row>
    <row r="75" spans="1:66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</row>
    <row r="76" spans="1:66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</row>
    <row r="77" spans="1:66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</row>
    <row r="78" spans="1:66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</row>
    <row r="79" spans="1:66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</row>
    <row r="80" spans="1:66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</row>
    <row r="82" spans="1:66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</row>
    <row r="83" spans="1:66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</row>
    <row r="84" spans="1:66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</row>
    <row r="85" spans="1:66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</row>
    <row r="86" spans="1:66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</row>
    <row r="87" spans="1:66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</row>
    <row r="88" spans="1:66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</row>
    <row r="89" spans="1:66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</row>
    <row r="90" spans="1:66" x14ac:dyDescent="0.3">
      <c r="A90" t="s">
        <v>248</v>
      </c>
      <c r="B90" t="s">
        <v>340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</row>
    <row r="91" spans="1:66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</row>
    <row r="92" spans="1:66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</row>
    <row r="93" spans="1:66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</row>
    <row r="94" spans="1:66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</row>
    <row r="95" spans="1:66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</row>
    <row r="97" spans="1:66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</row>
    <row r="98" spans="1:66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</row>
    <row r="99" spans="1:66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</row>
    <row r="100" spans="1:66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</row>
    <row r="101" spans="1:66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</row>
    <row r="109" spans="1:66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</row>
    <row r="112" spans="1:66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</row>
    <row r="118" spans="1:66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</row>
    <row r="119" spans="1:66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</row>
    <row r="120" spans="1:66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</row>
    <row r="121" spans="1:66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</row>
    <row r="123" spans="1:66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</row>
    <row r="124" spans="1:66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</row>
    <row r="125" spans="1:66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</row>
    <row r="126" spans="1:66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</row>
    <row r="128" spans="1:66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2:66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2:66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2:66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</row>
    <row r="132" spans="2:66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</row>
    <row r="133" spans="2:66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</row>
    <row r="134" spans="2:66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</row>
    <row r="135" spans="2:66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</row>
    <row r="136" spans="2:66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</row>
    <row r="137" spans="2:66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</row>
    <row r="138" spans="2:66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</row>
    <row r="139" spans="2:66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</row>
    <row r="140" spans="2:66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</row>
    <row r="141" spans="2:66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</row>
    <row r="142" spans="2:66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2:66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</row>
    <row r="144" spans="2:66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2:66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</row>
    <row r="146" spans="2:66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2:66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2:66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2:66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</row>
    <row r="150" spans="2:66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2:66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2:66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</row>
    <row r="153" spans="2:66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</row>
    <row r="154" spans="2:66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2:66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</row>
    <row r="156" spans="2:66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</row>
    <row r="157" spans="2:66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</row>
    <row r="158" spans="2:66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</row>
    <row r="159" spans="2:66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</row>
    <row r="160" spans="2:66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</row>
    <row r="161" spans="1:66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</row>
    <row r="162" spans="1:66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</row>
    <row r="163" spans="1:66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</row>
    <row r="164" spans="1:66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</row>
    <row r="165" spans="1:66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</row>
    <row r="166" spans="1:66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</row>
    <row r="167" spans="1:66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</row>
    <row r="168" spans="1:66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</row>
    <row r="169" spans="1:66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</row>
    <row r="170" spans="1:66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</row>
    <row r="171" spans="1:66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</row>
    <row r="172" spans="1:66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</row>
    <row r="173" spans="1:66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</row>
    <row r="174" spans="1:66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</row>
    <row r="175" spans="1:66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</row>
    <row r="176" spans="1:66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</row>
    <row r="177" spans="2:66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</row>
    <row r="178" spans="2:66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</row>
    <row r="179" spans="2:66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</row>
    <row r="180" spans="2:66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</row>
    <row r="181" spans="2:66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</row>
    <row r="182" spans="2:66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</row>
    <row r="183" spans="2:66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</row>
    <row r="184" spans="2:66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</row>
    <row r="185" spans="2:66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</row>
    <row r="186" spans="2:66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</row>
    <row r="187" spans="2:66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</row>
    <row r="188" spans="2:66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</row>
    <row r="189" spans="2:66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</row>
    <row r="190" spans="2:66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</row>
    <row r="191" spans="2:66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</row>
    <row r="192" spans="2:66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</row>
    <row r="193" spans="2:66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</row>
    <row r="194" spans="2:66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</row>
    <row r="195" spans="2:66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</row>
    <row r="196" spans="2:66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</row>
    <row r="197" spans="2:66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</row>
    <row r="198" spans="2:66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</row>
    <row r="199" spans="2:66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</row>
    <row r="200" spans="2:66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</row>
    <row r="201" spans="2:66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2:66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2:66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</row>
    <row r="204" spans="2:66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</row>
    <row r="205" spans="2:66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</row>
    <row r="206" spans="2:66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</row>
    <row r="207" spans="2:66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</row>
    <row r="208" spans="2:66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</row>
    <row r="209" spans="1:66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</row>
    <row r="210" spans="1:66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</row>
    <row r="211" spans="1:66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</row>
    <row r="212" spans="1:66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</row>
    <row r="213" spans="1:66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</row>
    <row r="214" spans="1:66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</row>
    <row r="215" spans="1:66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</row>
    <row r="216" spans="1:66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</row>
    <row r="217" spans="1:66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</row>
    <row r="218" spans="1:66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</row>
    <row r="219" spans="1:66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</row>
    <row r="220" spans="1:66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</row>
    <row r="221" spans="1:66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</row>
    <row r="222" spans="1:66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</row>
    <row r="223" spans="1:66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</row>
    <row r="224" spans="1:66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</row>
    <row r="225" spans="1:66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</row>
    <row r="226" spans="1:66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</row>
    <row r="227" spans="1:66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</row>
    <row r="228" spans="1:66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</row>
    <row r="229" spans="1:66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</row>
    <row r="230" spans="1:66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</row>
    <row r="231" spans="1:66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</row>
    <row r="232" spans="1:66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</row>
    <row r="233" spans="1:66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</row>
    <row r="234" spans="1:66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</row>
    <row r="235" spans="1:66" x14ac:dyDescent="0.3">
      <c r="B235" t="s">
        <v>562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</row>
    <row r="236" spans="1:66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</row>
    <row r="237" spans="1:66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</row>
    <row r="238" spans="1:66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</row>
    <row r="239" spans="1:66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N239"/>
  <sheetViews>
    <sheetView workbookViewId="0">
      <selection activeCell="G14" sqref="G14"/>
    </sheetView>
  </sheetViews>
  <sheetFormatPr defaultRowHeight="14.4" x14ac:dyDescent="0.3"/>
  <cols>
    <col min="5" max="62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</row>
    <row r="3" spans="1:66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</row>
    <row r="4" spans="1:66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</row>
    <row r="5" spans="1:66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</row>
    <row r="6" spans="1:66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</row>
    <row r="7" spans="1:66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</row>
    <row r="8" spans="1:66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</row>
    <row r="9" spans="1:66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</row>
    <row r="10" spans="1:66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</row>
    <row r="11" spans="1:66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</row>
    <row r="12" spans="1:66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</row>
    <row r="13" spans="1:66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</row>
    <row r="14" spans="1:66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</row>
    <row r="15" spans="1:66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</row>
    <row r="16" spans="1:66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</row>
    <row r="17" spans="1:66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</row>
    <row r="18" spans="1:66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</row>
    <row r="19" spans="1:66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</row>
    <row r="20" spans="1:66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</row>
    <row r="21" spans="1:66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</row>
    <row r="22" spans="1:66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</row>
    <row r="23" spans="1:66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</row>
    <row r="24" spans="1:66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</row>
    <row r="25" spans="1:66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</row>
    <row r="26" spans="1:66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</row>
    <row r="27" spans="1:66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</row>
    <row r="28" spans="1:66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</row>
    <row r="29" spans="1:66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</row>
    <row r="30" spans="1:66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</row>
    <row r="31" spans="1:66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</row>
    <row r="32" spans="1:66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</row>
    <row r="33" spans="1:66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</row>
    <row r="34" spans="1:66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</row>
    <row r="35" spans="1:66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</row>
    <row r="36" spans="1:66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</row>
    <row r="37" spans="1:66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</row>
    <row r="38" spans="1:66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</row>
    <row r="39" spans="1:66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</row>
    <row r="40" spans="1:66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</row>
    <row r="41" spans="1:66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</row>
    <row r="42" spans="1:66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</row>
    <row r="43" spans="1:66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</row>
    <row r="44" spans="1:66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</row>
    <row r="45" spans="1:66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</row>
    <row r="46" spans="1:66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</row>
    <row r="47" spans="1:66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</row>
    <row r="48" spans="1:66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</row>
    <row r="49" spans="1:66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</row>
    <row r="50" spans="1:66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</row>
    <row r="51" spans="1:66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</row>
    <row r="52" spans="1:66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</row>
    <row r="53" spans="1:66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</row>
    <row r="54" spans="1:66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</row>
    <row r="55" spans="1:66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</row>
    <row r="56" spans="1:66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</row>
    <row r="57" spans="1:66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</row>
    <row r="58" spans="1:66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</row>
    <row r="59" spans="1:66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</row>
    <row r="60" spans="1:66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</row>
    <row r="61" spans="1:66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</row>
    <row r="62" spans="1:66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</row>
    <row r="63" spans="1:66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</row>
    <row r="64" spans="1:66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</row>
    <row r="65" spans="1:66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</row>
    <row r="66" spans="1:66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</row>
    <row r="67" spans="1:66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</row>
    <row r="68" spans="1:66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</row>
    <row r="69" spans="1:66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</row>
    <row r="70" spans="1:66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</row>
    <row r="71" spans="1:66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</row>
    <row r="72" spans="1:66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</row>
    <row r="73" spans="1:66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</row>
    <row r="74" spans="1:66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</row>
    <row r="75" spans="1:66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</row>
    <row r="76" spans="1:66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</row>
    <row r="77" spans="1:66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</row>
    <row r="78" spans="1:66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</row>
    <row r="79" spans="1:66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</row>
    <row r="80" spans="1:66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</row>
    <row r="81" spans="1:66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</row>
    <row r="82" spans="1:66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</row>
    <row r="83" spans="1:66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</row>
    <row r="84" spans="1:66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</row>
    <row r="85" spans="1:66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</row>
    <row r="86" spans="1:66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</row>
    <row r="87" spans="1:66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</row>
    <row r="88" spans="1:66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</row>
    <row r="89" spans="1:66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</row>
    <row r="90" spans="1:66" x14ac:dyDescent="0.3">
      <c r="A90" t="s">
        <v>248</v>
      </c>
      <c r="B90" t="s">
        <v>340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</row>
    <row r="91" spans="1:66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</row>
    <row r="92" spans="1:66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</row>
    <row r="93" spans="1:66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</row>
    <row r="94" spans="1:66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</row>
    <row r="95" spans="1:66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</row>
    <row r="96" spans="1:66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</row>
    <row r="97" spans="1:66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</row>
    <row r="98" spans="1:66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</row>
    <row r="99" spans="1:66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</row>
    <row r="100" spans="1:66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</row>
    <row r="101" spans="1:66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</row>
    <row r="102" spans="1:66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</row>
    <row r="103" spans="1:66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</row>
    <row r="104" spans="1:66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</row>
    <row r="105" spans="1:66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</row>
    <row r="106" spans="1:66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</row>
    <row r="107" spans="1:66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</row>
    <row r="108" spans="1:66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</row>
    <row r="109" spans="1:66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</row>
    <row r="110" spans="1:66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</row>
    <row r="111" spans="1:66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</row>
    <row r="112" spans="1:66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</row>
    <row r="113" spans="1:66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</row>
    <row r="114" spans="1:66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</row>
    <row r="115" spans="1:66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</row>
    <row r="116" spans="1:66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</row>
    <row r="117" spans="1:66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</row>
    <row r="118" spans="1:66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</row>
    <row r="119" spans="1:66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</row>
    <row r="120" spans="1:66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</row>
    <row r="121" spans="1:66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</row>
    <row r="122" spans="1:66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</row>
    <row r="123" spans="1:66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</row>
    <row r="124" spans="1:66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</row>
    <row r="125" spans="1:66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</row>
    <row r="126" spans="1:66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</row>
    <row r="127" spans="1:66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</row>
    <row r="128" spans="1:66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</row>
    <row r="129" spans="2:66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</row>
    <row r="130" spans="2:66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</row>
    <row r="131" spans="2:66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</row>
    <row r="132" spans="2:66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</row>
    <row r="133" spans="2:66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</row>
    <row r="134" spans="2:66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</row>
    <row r="135" spans="2:66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</row>
    <row r="136" spans="2:66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</row>
    <row r="137" spans="2:66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</row>
    <row r="138" spans="2:66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83</v>
      </c>
      <c r="BB138">
        <v>109</v>
      </c>
      <c r="BC138">
        <v>131</v>
      </c>
      <c r="BD138">
        <v>161</v>
      </c>
      <c r="BE138">
        <v>193</v>
      </c>
      <c r="BF138">
        <v>251</v>
      </c>
      <c r="BG138">
        <v>255</v>
      </c>
      <c r="BH138">
        <v>337</v>
      </c>
      <c r="BI138">
        <v>433</v>
      </c>
      <c r="BJ138">
        <v>677</v>
      </c>
      <c r="BK138">
        <v>705</v>
      </c>
      <c r="BL138">
        <v>883</v>
      </c>
      <c r="BM138">
        <v>1071</v>
      </c>
      <c r="BN138">
        <v>1442</v>
      </c>
    </row>
    <row r="139" spans="2:66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</row>
    <row r="140" spans="2:66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</row>
    <row r="141" spans="2:66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</row>
    <row r="142" spans="2:66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</row>
    <row r="143" spans="2:66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</row>
    <row r="144" spans="2:66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</row>
    <row r="145" spans="2:66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</row>
    <row r="146" spans="2:66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</row>
    <row r="147" spans="2:66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</row>
    <row r="148" spans="2:66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</row>
    <row r="149" spans="2:66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</row>
    <row r="150" spans="2:66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</row>
    <row r="151" spans="2:66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</row>
    <row r="152" spans="2:66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</row>
    <row r="153" spans="2:66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</row>
    <row r="154" spans="2:66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</row>
    <row r="155" spans="2:66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</row>
    <row r="156" spans="2:66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</row>
    <row r="157" spans="2:66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</row>
    <row r="158" spans="2:66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</row>
    <row r="159" spans="2:66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</row>
    <row r="160" spans="2:66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</row>
    <row r="161" spans="1:66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</row>
    <row r="162" spans="1:66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</row>
    <row r="163" spans="1:66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</row>
    <row r="164" spans="1:66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</row>
    <row r="165" spans="1:66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</row>
    <row r="166" spans="1:66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</row>
    <row r="167" spans="1:66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</row>
    <row r="168" spans="1:66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</row>
    <row r="169" spans="1:66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</row>
    <row r="170" spans="1:66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</row>
    <row r="171" spans="1:66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</row>
    <row r="172" spans="1:66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</row>
    <row r="173" spans="1:66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</row>
    <row r="174" spans="1:66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</row>
    <row r="175" spans="1:66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</row>
    <row r="176" spans="1:66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</row>
    <row r="177" spans="2:66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</row>
    <row r="178" spans="2:66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</row>
    <row r="179" spans="2:66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</row>
    <row r="180" spans="2:66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</row>
    <row r="181" spans="2:66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</row>
    <row r="182" spans="2:66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</row>
    <row r="183" spans="2:66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</row>
    <row r="184" spans="2:66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</row>
    <row r="185" spans="2:66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</row>
    <row r="186" spans="2:66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</row>
    <row r="187" spans="2:66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</row>
    <row r="188" spans="2:66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</row>
    <row r="189" spans="2:66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</row>
    <row r="190" spans="2:66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</row>
    <row r="191" spans="2:66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</row>
    <row r="192" spans="2:66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</row>
    <row r="193" spans="2:66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</row>
    <row r="194" spans="2:66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</row>
    <row r="195" spans="2:66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</row>
    <row r="196" spans="2:66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</row>
    <row r="197" spans="2:66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</row>
    <row r="198" spans="2:66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</row>
    <row r="199" spans="2:66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</row>
    <row r="200" spans="2:66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</row>
    <row r="201" spans="2:66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</row>
    <row r="202" spans="2:66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</row>
    <row r="203" spans="2:66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</row>
    <row r="204" spans="2:66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</row>
    <row r="205" spans="2:66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</row>
    <row r="206" spans="2:66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</row>
    <row r="207" spans="2:66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</row>
    <row r="208" spans="2:66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</row>
    <row r="209" spans="1:66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</row>
    <row r="210" spans="1:66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</row>
    <row r="211" spans="1:66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</row>
    <row r="212" spans="1:66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</row>
    <row r="213" spans="1:66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</row>
    <row r="214" spans="1:66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</row>
    <row r="215" spans="1:66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</row>
    <row r="216" spans="1:66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</row>
    <row r="217" spans="1:66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</row>
    <row r="218" spans="1:66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</row>
    <row r="219" spans="1:66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</row>
    <row r="220" spans="1:66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</row>
    <row r="221" spans="1:66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</row>
    <row r="222" spans="1:66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</row>
    <row r="223" spans="1:66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</row>
    <row r="224" spans="1:66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</row>
    <row r="225" spans="1:66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</row>
    <row r="226" spans="1:66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</row>
    <row r="227" spans="1:66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</row>
    <row r="228" spans="1:66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</row>
    <row r="229" spans="1:66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</row>
    <row r="230" spans="1:66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</row>
    <row r="231" spans="1:66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</row>
    <row r="232" spans="1:66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</row>
    <row r="233" spans="1:66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</row>
    <row r="234" spans="1:66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</row>
    <row r="235" spans="1:66" x14ac:dyDescent="0.3">
      <c r="B235" t="s">
        <v>562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</row>
    <row r="236" spans="1:66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</row>
    <row r="237" spans="1:66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</row>
    <row r="238" spans="1:66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</row>
    <row r="239" spans="1:66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Deaths_since_10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2020-03-25T08:45:53Z</dcterms:modified>
</cp:coreProperties>
</file>