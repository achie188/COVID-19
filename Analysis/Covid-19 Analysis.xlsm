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CA0F25D2-57FE-4FD5-B375-8A0415D5ABDD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state="hidden" r:id="rId10"/>
    <sheet name="CumulativeRecovered" sheetId="18" state="hidden" r:id="rId11"/>
    <sheet name="CumulativeDead" sheetId="19" state="hidden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Country_Rates!$C$3:$M$3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image_jpg">Projections!$A$1:$U$53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E41" i="23"/>
  <c r="F41" i="23"/>
  <c r="G41" i="23"/>
  <c r="C42" i="23"/>
  <c r="B42" i="23" s="1" a="1"/>
  <c r="B42" i="23" s="1"/>
  <c r="D42" i="23"/>
  <c r="E42" i="23"/>
  <c r="F42" i="23"/>
  <c r="G42" i="23"/>
  <c r="C43" i="23"/>
  <c r="B43" i="23" s="1" a="1"/>
  <c r="B43" i="23" s="1"/>
  <c r="D43" i="23"/>
  <c r="E43" i="23"/>
  <c r="F43" i="23"/>
  <c r="G43" i="23"/>
  <c r="C44" i="23"/>
  <c r="B44" i="23" s="1" a="1"/>
  <c r="B44" i="23" s="1"/>
  <c r="D44" i="23"/>
  <c r="E44" i="23"/>
  <c r="F44" i="23"/>
  <c r="G44" i="23"/>
  <c r="C45" i="23"/>
  <c r="B45" i="23" s="1" a="1"/>
  <c r="B45" i="23" s="1"/>
  <c r="D45" i="23"/>
  <c r="E45" i="23"/>
  <c r="F45" i="23"/>
  <c r="G45" i="23"/>
  <c r="C46" i="23"/>
  <c r="B46" i="23" s="1" a="1"/>
  <c r="B46" i="23" s="1"/>
  <c r="D46" i="23"/>
  <c r="E46" i="23"/>
  <c r="F46" i="23"/>
  <c r="G46" i="23"/>
  <c r="C47" i="23"/>
  <c r="B47" i="23" s="1" a="1"/>
  <c r="B47" i="23" s="1"/>
  <c r="D47" i="23"/>
  <c r="E47" i="23"/>
  <c r="F47" i="23"/>
  <c r="G47" i="23"/>
  <c r="C48" i="23"/>
  <c r="B48" i="23" s="1" a="1"/>
  <c r="B48" i="23" s="1"/>
  <c r="D48" i="23"/>
  <c r="E48" i="23"/>
  <c r="F48" i="23"/>
  <c r="G48" i="23"/>
  <c r="C49" i="23"/>
  <c r="B49" i="23" s="1" a="1"/>
  <c r="B49" i="23" s="1"/>
  <c r="D49" i="23"/>
  <c r="E49" i="23"/>
  <c r="F49" i="23"/>
  <c r="G49" i="23"/>
  <c r="C50" i="23"/>
  <c r="B50" i="23" s="1" a="1"/>
  <c r="B50" i="23" s="1"/>
  <c r="D50" i="23"/>
  <c r="E50" i="23"/>
  <c r="F50" i="23"/>
  <c r="G50" i="23"/>
  <c r="C51" i="23"/>
  <c r="B51" i="23" s="1" a="1"/>
  <c r="B51" i="23" s="1"/>
  <c r="D51" i="23"/>
  <c r="E51" i="23"/>
  <c r="F51" i="23"/>
  <c r="G51" i="23"/>
  <c r="C52" i="23"/>
  <c r="B52" i="23" s="1" a="1"/>
  <c r="B52" i="23" s="1"/>
  <c r="D52" i="23"/>
  <c r="E52" i="23"/>
  <c r="F52" i="23"/>
  <c r="G52" i="23"/>
  <c r="C53" i="23"/>
  <c r="B53" i="23" s="1" a="1"/>
  <c r="B53" i="23" s="1"/>
  <c r="D53" i="23"/>
  <c r="E53" i="23"/>
  <c r="F53" i="23"/>
  <c r="G53" i="23"/>
  <c r="C54" i="23"/>
  <c r="B54" i="23" s="1" a="1"/>
  <c r="B54" i="23" s="1"/>
  <c r="D54" i="23"/>
  <c r="E54" i="23"/>
  <c r="F54" i="23"/>
  <c r="G54" i="23"/>
  <c r="C55" i="23"/>
  <c r="B55" i="23" s="1" a="1"/>
  <c r="B55" i="23" s="1"/>
  <c r="D55" i="23"/>
  <c r="E55" i="23"/>
  <c r="F55" i="23"/>
  <c r="G55" i="23"/>
  <c r="C56" i="23"/>
  <c r="B56" i="23" s="1" a="1"/>
  <c r="B56" i="23" s="1"/>
  <c r="D56" i="23"/>
  <c r="E56" i="23"/>
  <c r="F56" i="23"/>
  <c r="G56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B30" i="21" a="1"/>
  <c r="B30" i="21" s="1"/>
  <c r="C30" i="21"/>
  <c r="D30" i="21"/>
  <c r="C31" i="21"/>
  <c r="B31" i="21" s="1" a="1"/>
  <c r="B31" i="21" s="1"/>
  <c r="D31" i="21"/>
  <c r="B32" i="21" a="1"/>
  <c r="B32" i="21" s="1"/>
  <c r="C32" i="21"/>
  <c r="D32" i="21"/>
  <c r="C33" i="21"/>
  <c r="B33" i="21" s="1" a="1"/>
  <c r="B33" i="21" s="1"/>
  <c r="D33" i="21"/>
  <c r="B34" i="21" a="1"/>
  <c r="B34" i="21" s="1"/>
  <c r="C34" i="21"/>
  <c r="D34" i="21"/>
  <c r="C35" i="21"/>
  <c r="B35" i="21" s="1" a="1"/>
  <c r="B35" i="21" s="1"/>
  <c r="D35" i="21"/>
  <c r="B36" i="21" a="1"/>
  <c r="B36" i="21" s="1"/>
  <c r="C36" i="21"/>
  <c r="D36" i="21"/>
  <c r="C37" i="21"/>
  <c r="B37" i="21" s="1" a="1"/>
  <c r="B37" i="21" s="1"/>
  <c r="D37" i="21"/>
  <c r="B38" i="21" a="1"/>
  <c r="B38" i="21" s="1"/>
  <c r="C38" i="21"/>
  <c r="D38" i="21"/>
  <c r="C39" i="21"/>
  <c r="B39" i="21" s="1" a="1"/>
  <c r="B39" i="21" s="1"/>
  <c r="D39" i="21"/>
  <c r="B40" i="21" a="1"/>
  <c r="B40" i="21" s="1"/>
  <c r="C40" i="21"/>
  <c r="D40" i="21"/>
  <c r="C41" i="21"/>
  <c r="B41" i="21" s="1" a="1"/>
  <c r="B41" i="21" s="1"/>
  <c r="D41" i="21"/>
  <c r="B42" i="21" a="1"/>
  <c r="B42" i="21" s="1"/>
  <c r="C42" i="21"/>
  <c r="D42" i="21"/>
  <c r="C43" i="21"/>
  <c r="B43" i="21" s="1" a="1"/>
  <c r="B43" i="21" s="1"/>
  <c r="D43" i="21"/>
  <c r="B44" i="21" a="1"/>
  <c r="B44" i="21" s="1"/>
  <c r="C44" i="21"/>
  <c r="D44" i="21"/>
  <c r="C45" i="21"/>
  <c r="B45" i="21" s="1" a="1"/>
  <c r="B45" i="21" s="1"/>
  <c r="D45" i="21"/>
  <c r="B46" i="21" a="1"/>
  <c r="B46" i="21" s="1"/>
  <c r="C46" i="21"/>
  <c r="D46" i="21"/>
  <c r="C47" i="21"/>
  <c r="B47" i="21" s="1" a="1"/>
  <c r="B47" i="21" s="1"/>
  <c r="D47" i="21"/>
  <c r="B48" i="21" a="1"/>
  <c r="B48" i="21" s="1"/>
  <c r="C48" i="21"/>
  <c r="D48" i="21"/>
  <c r="C49" i="21"/>
  <c r="B49" i="21" s="1" a="1"/>
  <c r="B49" i="21" s="1"/>
  <c r="D49" i="21"/>
  <c r="B50" i="21" a="1"/>
  <c r="B50" i="21" s="1"/>
  <c r="C50" i="21"/>
  <c r="D50" i="21"/>
  <c r="C51" i="21"/>
  <c r="B51" i="21" s="1" a="1"/>
  <c r="B51" i="21" s="1"/>
  <c r="D51" i="21"/>
  <c r="B52" i="21" a="1"/>
  <c r="B52" i="21" s="1"/>
  <c r="C52" i="21"/>
  <c r="D52" i="21"/>
  <c r="C53" i="21"/>
  <c r="B53" i="21" s="1" a="1"/>
  <c r="B53" i="21" s="1"/>
  <c r="D53" i="21"/>
  <c r="B54" i="21" a="1"/>
  <c r="B54" i="21" s="1"/>
  <c r="C54" i="21"/>
  <c r="D54" i="21"/>
  <c r="C55" i="21"/>
  <c r="B55" i="21" s="1" a="1"/>
  <c r="B55" i="21" s="1"/>
  <c r="D55" i="21"/>
  <c r="B56" i="21" a="1"/>
  <c r="B56" i="21" s="1"/>
  <c r="C56" i="21"/>
  <c r="D56" i="21"/>
  <c r="C57" i="21"/>
  <c r="B57" i="21" s="1" a="1"/>
  <c r="B57" i="21" s="1"/>
  <c r="D57" i="21"/>
  <c r="B58" i="21" a="1"/>
  <c r="B58" i="21" s="1"/>
  <c r="C58" i="21"/>
  <c r="D58" i="21"/>
  <c r="C59" i="21"/>
  <c r="B59" i="21" s="1" a="1"/>
  <c r="B59" i="21" s="1"/>
  <c r="D59" i="21"/>
  <c r="B60" i="21" a="1"/>
  <c r="B60" i="21" s="1"/>
  <c r="C60" i="21"/>
  <c r="D60" i="21"/>
  <c r="C61" i="21"/>
  <c r="B61" i="21" s="1" a="1"/>
  <c r="B61" i="21" s="1"/>
  <c r="D61" i="21"/>
  <c r="B62" i="21" a="1"/>
  <c r="B62" i="21" s="1"/>
  <c r="C62" i="21"/>
  <c r="D62" i="21"/>
  <c r="C63" i="21"/>
  <c r="B63" i="21" s="1" a="1"/>
  <c r="B63" i="21" s="1"/>
  <c r="D63" i="21"/>
  <c r="B64" i="21" a="1"/>
  <c r="B64" i="21" s="1"/>
  <c r="C64" i="21"/>
  <c r="D64" i="21"/>
  <c r="C65" i="21"/>
  <c r="B65" i="21" s="1" a="1"/>
  <c r="B65" i="21" s="1"/>
  <c r="D65" i="21"/>
  <c r="B66" i="21" a="1"/>
  <c r="B66" i="21" s="1"/>
  <c r="C66" i="21"/>
  <c r="D66" i="21"/>
  <c r="C67" i="21"/>
  <c r="B67" i="21" s="1" a="1"/>
  <c r="B67" i="21" s="1"/>
  <c r="D67" i="21"/>
  <c r="B68" i="21" a="1"/>
  <c r="B68" i="21" s="1"/>
  <c r="C68" i="21"/>
  <c r="D68" i="21"/>
  <c r="C69" i="21"/>
  <c r="B69" i="21" s="1" a="1"/>
  <c r="B69" i="21" s="1"/>
  <c r="D69" i="21"/>
  <c r="B70" i="21" a="1"/>
  <c r="B70" i="21" s="1"/>
  <c r="C70" i="21"/>
  <c r="D70" i="21"/>
  <c r="C71" i="21"/>
  <c r="B71" i="21" s="1" a="1"/>
  <c r="B71" i="21" s="1"/>
  <c r="D71" i="21"/>
  <c r="B72" i="21" a="1"/>
  <c r="B72" i="21" s="1"/>
  <c r="C72" i="21"/>
  <c r="D72" i="21"/>
  <c r="C73" i="21"/>
  <c r="B73" i="21" s="1" a="1"/>
  <c r="B73" i="21" s="1"/>
  <c r="D73" i="21"/>
  <c r="B74" i="21" a="1"/>
  <c r="B74" i="21" s="1"/>
  <c r="C74" i="21"/>
  <c r="D74" i="21"/>
  <c r="B75" i="21" a="1"/>
  <c r="B75" i="21" s="1"/>
  <c r="C75" i="21"/>
  <c r="D75" i="21"/>
  <c r="C76" i="21"/>
  <c r="B76" i="21" s="1" a="1"/>
  <c r="B76" i="21" s="1"/>
  <c r="D76" i="21"/>
  <c r="B77" i="21" a="1"/>
  <c r="B77" i="21" s="1"/>
  <c r="C77" i="21"/>
  <c r="D77" i="21"/>
  <c r="B78" i="21" a="1"/>
  <c r="B78" i="21" s="1"/>
  <c r="C78" i="21"/>
  <c r="D78" i="21"/>
  <c r="C79" i="21"/>
  <c r="B79" i="21" s="1" a="1"/>
  <c r="B79" i="21" s="1"/>
  <c r="D79" i="21"/>
  <c r="C80" i="21"/>
  <c r="B80" i="21" s="1" a="1"/>
  <c r="B80" i="21" s="1"/>
  <c r="D80" i="21"/>
  <c r="B81" i="21" a="1"/>
  <c r="B81" i="21" s="1"/>
  <c r="C81" i="21"/>
  <c r="D81" i="21"/>
  <c r="B82" i="21" a="1"/>
  <c r="B82" i="21" s="1"/>
  <c r="C82" i="21"/>
  <c r="D82" i="21"/>
  <c r="B83" i="21" a="1"/>
  <c r="B83" i="21" s="1"/>
  <c r="C83" i="21"/>
  <c r="D83" i="21"/>
  <c r="C84" i="21"/>
  <c r="B84" i="21" s="1" a="1"/>
  <c r="B84" i="21" s="1"/>
  <c r="D84" i="21"/>
  <c r="B85" i="21" a="1"/>
  <c r="B85" i="21" s="1"/>
  <c r="C85" i="21"/>
  <c r="D85" i="21"/>
  <c r="B86" i="21" a="1"/>
  <c r="B86" i="21" s="1"/>
  <c r="C86" i="21"/>
  <c r="D86" i="21"/>
  <c r="C87" i="21"/>
  <c r="B87" i="21" s="1" a="1"/>
  <c r="B87" i="21" s="1"/>
  <c r="D87" i="21"/>
  <c r="C88" i="21"/>
  <c r="B88" i="21" s="1" a="1"/>
  <c r="B88" i="21" s="1"/>
  <c r="D88" i="21"/>
  <c r="B89" i="21" a="1"/>
  <c r="B89" i="21" s="1"/>
  <c r="C89" i="21"/>
  <c r="D89" i="21"/>
  <c r="B90" i="21" a="1"/>
  <c r="B90" i="21" s="1"/>
  <c r="C90" i="21"/>
  <c r="D90" i="21"/>
  <c r="E90" i="21"/>
  <c r="F90" i="21"/>
  <c r="G90" i="21"/>
  <c r="C91" i="21"/>
  <c r="B91" i="21" s="1" a="1"/>
  <c r="B91" i="21" s="1"/>
  <c r="D91" i="21"/>
  <c r="E91" i="21"/>
  <c r="F91" i="21"/>
  <c r="G91" i="21"/>
  <c r="B92" i="21" a="1"/>
  <c r="B92" i="21" s="1"/>
  <c r="C92" i="21"/>
  <c r="D92" i="21"/>
  <c r="E92" i="21"/>
  <c r="F92" i="21"/>
  <c r="G92" i="21"/>
  <c r="B93" i="21" a="1"/>
  <c r="B93" i="21"/>
  <c r="C93" i="21"/>
  <c r="D93" i="21"/>
  <c r="E93" i="21"/>
  <c r="F93" i="21"/>
  <c r="G93" i="21"/>
  <c r="C94" i="21"/>
  <c r="B94" i="21" s="1" a="1"/>
  <c r="B94" i="21" s="1"/>
  <c r="D94" i="21"/>
  <c r="E94" i="21"/>
  <c r="F94" i="21"/>
  <c r="G94" i="21"/>
  <c r="B95" i="21" a="1"/>
  <c r="B95" i="21" s="1"/>
  <c r="C95" i="21"/>
  <c r="D95" i="21"/>
  <c r="E95" i="21"/>
  <c r="F95" i="21"/>
  <c r="G95" i="21"/>
  <c r="B96" i="21" a="1"/>
  <c r="B96" i="21" s="1"/>
  <c r="C96" i="21"/>
  <c r="D96" i="21"/>
  <c r="E96" i="21"/>
  <c r="F96" i="21"/>
  <c r="G96" i="21"/>
  <c r="B97" i="21" a="1"/>
  <c r="B97" i="21" s="1"/>
  <c r="C97" i="21"/>
  <c r="D97" i="21"/>
  <c r="E97" i="21"/>
  <c r="F97" i="21"/>
  <c r="G97" i="21"/>
  <c r="C98" i="21"/>
  <c r="B98" i="21" s="1" a="1"/>
  <c r="B98" i="21" s="1"/>
  <c r="D98" i="21"/>
  <c r="E98" i="21"/>
  <c r="F98" i="21"/>
  <c r="G98" i="21"/>
  <c r="C99" i="21"/>
  <c r="B99" i="21" s="1" a="1"/>
  <c r="B99" i="21" s="1"/>
  <c r="D99" i="21"/>
  <c r="E99" i="21"/>
  <c r="F99" i="21"/>
  <c r="G99" i="21"/>
  <c r="B100" i="21" a="1"/>
  <c r="B100" i="21" s="1"/>
  <c r="C100" i="21"/>
  <c r="D100" i="21"/>
  <c r="E100" i="21"/>
  <c r="F100" i="21"/>
  <c r="G100" i="21"/>
  <c r="B101" i="21" a="1"/>
  <c r="B101" i="21"/>
  <c r="C101" i="21"/>
  <c r="D101" i="21"/>
  <c r="E101" i="21"/>
  <c r="F101" i="21"/>
  <c r="G101" i="21"/>
  <c r="C102" i="21"/>
  <c r="B102" i="21" s="1" a="1"/>
  <c r="B102" i="21" s="1"/>
  <c r="D102" i="21"/>
  <c r="E102" i="21"/>
  <c r="F102" i="21"/>
  <c r="G102" i="21"/>
  <c r="B103" i="21" a="1"/>
  <c r="B103" i="21" s="1"/>
  <c r="C103" i="21"/>
  <c r="D103" i="21"/>
  <c r="E103" i="21"/>
  <c r="F103" i="21"/>
  <c r="G103" i="21"/>
  <c r="B104" i="21" a="1"/>
  <c r="B104" i="21" s="1"/>
  <c r="C104" i="21"/>
  <c r="D104" i="21"/>
  <c r="E104" i="21"/>
  <c r="F104" i="21"/>
  <c r="G104" i="21"/>
  <c r="B105" i="21" a="1"/>
  <c r="B105" i="21" s="1"/>
  <c r="C105" i="21"/>
  <c r="D105" i="21"/>
  <c r="E105" i="21"/>
  <c r="F105" i="21"/>
  <c r="G105" i="21"/>
  <c r="C106" i="21"/>
  <c r="B106" i="21" s="1" a="1"/>
  <c r="B106" i="21" s="1"/>
  <c r="D106" i="21"/>
  <c r="E106" i="21"/>
  <c r="F106" i="21"/>
  <c r="G106" i="21"/>
  <c r="C107" i="21"/>
  <c r="B107" i="21" s="1" a="1"/>
  <c r="B107" i="21" s="1"/>
  <c r="D107" i="21"/>
  <c r="E107" i="21"/>
  <c r="F107" i="21"/>
  <c r="G107" i="21"/>
  <c r="B108" i="21" a="1"/>
  <c r="B108" i="21" s="1"/>
  <c r="C108" i="21"/>
  <c r="D108" i="21"/>
  <c r="E108" i="21"/>
  <c r="F108" i="21"/>
  <c r="G108" i="21"/>
  <c r="B109" i="21" a="1"/>
  <c r="B109" i="21"/>
  <c r="C109" i="21"/>
  <c r="D109" i="21"/>
  <c r="E109" i="21"/>
  <c r="F109" i="21"/>
  <c r="G109" i="21"/>
  <c r="C110" i="21"/>
  <c r="B110" i="21" s="1" a="1"/>
  <c r="B110" i="21" s="1"/>
  <c r="D110" i="21"/>
  <c r="E110" i="21"/>
  <c r="F110" i="21"/>
  <c r="G110" i="21"/>
  <c r="B111" i="21" a="1"/>
  <c r="B111" i="21" s="1"/>
  <c r="C111" i="21"/>
  <c r="D111" i="21"/>
  <c r="E111" i="21"/>
  <c r="F111" i="21"/>
  <c r="G111" i="21"/>
  <c r="B112" i="21" a="1"/>
  <c r="B112" i="21" s="1"/>
  <c r="C112" i="21"/>
  <c r="D112" i="21"/>
  <c r="E112" i="21"/>
  <c r="F112" i="21"/>
  <c r="G112" i="21"/>
  <c r="B113" i="21" a="1"/>
  <c r="B113" i="21" s="1"/>
  <c r="C113" i="21"/>
  <c r="D113" i="21"/>
  <c r="E113" i="21"/>
  <c r="F113" i="21"/>
  <c r="G113" i="21"/>
  <c r="C114" i="21"/>
  <c r="B114" i="21" s="1" a="1"/>
  <c r="B114" i="21" s="1"/>
  <c r="D114" i="21"/>
  <c r="E114" i="21"/>
  <c r="F114" i="21"/>
  <c r="G114" i="21"/>
  <c r="C115" i="21"/>
  <c r="B115" i="21" s="1" a="1"/>
  <c r="B115" i="21" s="1"/>
  <c r="D115" i="21"/>
  <c r="E115" i="21"/>
  <c r="F115" i="21"/>
  <c r="G115" i="21"/>
  <c r="B116" i="21" a="1"/>
  <c r="B116" i="21" s="1"/>
  <c r="C116" i="21"/>
  <c r="D116" i="21"/>
  <c r="E116" i="21"/>
  <c r="F116" i="21"/>
  <c r="G116" i="21"/>
  <c r="B117" i="21" a="1"/>
  <c r="B117" i="21"/>
  <c r="C117" i="21"/>
  <c r="D117" i="21"/>
  <c r="E117" i="21"/>
  <c r="F117" i="21"/>
  <c r="G117" i="21"/>
  <c r="C118" i="21"/>
  <c r="B118" i="21" s="1" a="1"/>
  <c r="B118" i="21" s="1"/>
  <c r="D118" i="21"/>
  <c r="E118" i="21"/>
  <c r="F118" i="21"/>
  <c r="G118" i="21"/>
  <c r="B119" i="21" a="1"/>
  <c r="B119" i="21" s="1"/>
  <c r="C119" i="21"/>
  <c r="D119" i="21"/>
  <c r="E119" i="21"/>
  <c r="F119" i="21"/>
  <c r="G119" i="21"/>
  <c r="B120" i="21" a="1"/>
  <c r="B120" i="21" s="1"/>
  <c r="C120" i="21"/>
  <c r="D120" i="21"/>
  <c r="E120" i="21"/>
  <c r="F120" i="21"/>
  <c r="G120" i="21"/>
  <c r="B121" i="21" a="1"/>
  <c r="B121" i="21" s="1"/>
  <c r="C121" i="21"/>
  <c r="D121" i="21"/>
  <c r="E121" i="21"/>
  <c r="F121" i="21"/>
  <c r="G121" i="21"/>
  <c r="C122" i="21"/>
  <c r="B122" i="21" s="1" a="1"/>
  <c r="B122" i="21" s="1"/>
  <c r="D122" i="21"/>
  <c r="E122" i="21"/>
  <c r="F122" i="21"/>
  <c r="G122" i="21"/>
  <c r="C123" i="21"/>
  <c r="B123" i="21" s="1" a="1"/>
  <c r="B123" i="21" s="1"/>
  <c r="D123" i="21"/>
  <c r="E123" i="21"/>
  <c r="F123" i="21"/>
  <c r="G123" i="21"/>
  <c r="B124" i="21" a="1"/>
  <c r="B124" i="21" s="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C126" i="21"/>
  <c r="B126" i="21" s="1" a="1"/>
  <c r="B126" i="21" s="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 s="1"/>
  <c r="C128" i="21"/>
  <c r="D128" i="21"/>
  <c r="E128" i="21"/>
  <c r="F128" i="21"/>
  <c r="G128" i="21"/>
  <c r="C129" i="21"/>
  <c r="B129" i="21" s="1" a="1"/>
  <c r="B129" i="21" s="1"/>
  <c r="D129" i="21"/>
  <c r="E129" i="21"/>
  <c r="F129" i="21"/>
  <c r="G129" i="21"/>
  <c r="B130" i="21"/>
  <c r="C130" i="21"/>
  <c r="B130" i="21" s="1" a="1"/>
  <c r="D130" i="21"/>
  <c r="E130" i="21"/>
  <c r="F130" i="21"/>
  <c r="G130" i="21"/>
  <c r="C131" i="21"/>
  <c r="B131" i="21" s="1" a="1"/>
  <c r="B131" i="21" s="1"/>
  <c r="D131" i="21"/>
  <c r="E131" i="21"/>
  <c r="F131" i="21"/>
  <c r="G131" i="21"/>
  <c r="B132" i="21" a="1"/>
  <c r="B132" i="21" s="1"/>
  <c r="C132" i="21"/>
  <c r="D132" i="21"/>
  <c r="E132" i="21"/>
  <c r="F132" i="21"/>
  <c r="G132" i="21"/>
  <c r="B133" i="21" a="1"/>
  <c r="B133" i="21"/>
  <c r="C133" i="21"/>
  <c r="D133" i="21"/>
  <c r="E133" i="21"/>
  <c r="F133" i="21"/>
  <c r="G133" i="21"/>
  <c r="C134" i="21"/>
  <c r="B134" i="21" s="1" a="1"/>
  <c r="B134" i="21" s="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 s="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 s="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B142" i="21" a="1"/>
  <c r="B142" i="21" s="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C144" i="21"/>
  <c r="B144" i="21" s="1" a="1"/>
  <c r="B144" i="21" s="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B146" i="21" a="1"/>
  <c r="B146" i="21" s="1"/>
  <c r="C146" i="2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B148" i="21" a="1"/>
  <c r="B148" i="21" s="1"/>
  <c r="C148" i="2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C153" i="21"/>
  <c r="B153" i="21" s="1" a="1"/>
  <c r="B153" i="21" s="1"/>
  <c r="D153" i="21"/>
  <c r="E153" i="21"/>
  <c r="F153" i="21"/>
  <c r="G153" i="21"/>
  <c r="B154" i="21" a="1"/>
  <c r="B154" i="21" s="1"/>
  <c r="C154" i="2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B156" i="21" a="1"/>
  <c r="B156" i="21" s="1"/>
  <c r="C156" i="2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B158" i="21" a="1"/>
  <c r="B158" i="21" s="1"/>
  <c r="C158" i="21"/>
  <c r="D158" i="21"/>
  <c r="E158" i="21"/>
  <c r="F158" i="21"/>
  <c r="G158" i="21"/>
  <c r="B159" i="21" a="1"/>
  <c r="B159" i="21" s="1"/>
  <c r="C159" i="2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B162" i="21" a="1"/>
  <c r="B162" i="21" s="1"/>
  <c r="C162" i="2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B164" i="21" a="1"/>
  <c r="B164" i="21" s="1"/>
  <c r="C164" i="2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B166" i="21" a="1"/>
  <c r="B166" i="21" s="1"/>
  <c r="C166" i="21"/>
  <c r="D166" i="21"/>
  <c r="E166" i="21"/>
  <c r="F166" i="21"/>
  <c r="G166" i="21"/>
  <c r="B167" i="21" a="1"/>
  <c r="B167" i="21" s="1"/>
  <c r="C167" i="2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C169" i="21"/>
  <c r="B169" i="21" s="1" a="1"/>
  <c r="B169" i="21" s="1"/>
  <c r="D169" i="21"/>
  <c r="E169" i="21"/>
  <c r="F169" i="21"/>
  <c r="G169" i="21"/>
  <c r="B170" i="21" a="1"/>
  <c r="B170" i="21" s="1"/>
  <c r="C170" i="21"/>
  <c r="D170" i="21"/>
  <c r="E170" i="21"/>
  <c r="F170" i="21"/>
  <c r="G170" i="21"/>
  <c r="C171" i="21"/>
  <c r="B171" i="21" s="1" a="1"/>
  <c r="B171" i="21" s="1"/>
  <c r="D171" i="21"/>
  <c r="E171" i="21"/>
  <c r="F171" i="21"/>
  <c r="G171" i="21"/>
  <c r="B172" i="21" a="1"/>
  <c r="B172" i="21" s="1"/>
  <c r="C172" i="21"/>
  <c r="D172" i="21"/>
  <c r="E172" i="21"/>
  <c r="F172" i="21"/>
  <c r="G172" i="21"/>
  <c r="C173" i="21"/>
  <c r="B173" i="21" s="1" a="1"/>
  <c r="B173" i="21" s="1"/>
  <c r="D173" i="21"/>
  <c r="E173" i="21"/>
  <c r="F173" i="21"/>
  <c r="G173" i="21"/>
  <c r="B174" i="21" a="1"/>
  <c r="B174" i="21" s="1"/>
  <c r="C174" i="21"/>
  <c r="D174" i="21"/>
  <c r="E174" i="21"/>
  <c r="F174" i="21"/>
  <c r="G174" i="21"/>
  <c r="B175" i="21" a="1"/>
  <c r="B175" i="21" s="1"/>
  <c r="C175" i="21"/>
  <c r="D175" i="21"/>
  <c r="E175" i="21"/>
  <c r="F175" i="21"/>
  <c r="G175" i="21"/>
  <c r="C176" i="21"/>
  <c r="B176" i="21" s="1" a="1"/>
  <c r="B176" i="21" s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B178" i="21" a="1"/>
  <c r="B178" i="21" s="1"/>
  <c r="C178" i="2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B180" i="21" a="1"/>
  <c r="B180" i="21" s="1"/>
  <c r="C180" i="2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B182" i="21" a="1"/>
  <c r="B182" i="21" s="1"/>
  <c r="C182" i="21"/>
  <c r="D182" i="21"/>
  <c r="E182" i="21"/>
  <c r="F182" i="21"/>
  <c r="G182" i="21"/>
  <c r="B183" i="21" a="1"/>
  <c r="B183" i="21" s="1"/>
  <c r="C183" i="2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B186" i="21" a="1"/>
  <c r="B186" i="21" s="1"/>
  <c r="C186" i="2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B188" i="21" a="1"/>
  <c r="B188" i="21" s="1"/>
  <c r="C188" i="21"/>
  <c r="D188" i="21"/>
  <c r="E188" i="21"/>
  <c r="F188" i="21"/>
  <c r="G188" i="21"/>
  <c r="C189" i="21"/>
  <c r="B189" i="21" s="1" a="1"/>
  <c r="B189" i="21" s="1"/>
  <c r="D189" i="21"/>
  <c r="E189" i="21"/>
  <c r="F189" i="21"/>
  <c r="G189" i="21"/>
  <c r="B190" i="21" a="1"/>
  <c r="B190" i="21" s="1"/>
  <c r="C190" i="21"/>
  <c r="D190" i="21"/>
  <c r="E190" i="21"/>
  <c r="F190" i="21"/>
  <c r="G190" i="21"/>
  <c r="B191" i="21" a="1"/>
  <c r="B191" i="21" s="1"/>
  <c r="C191" i="2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B194" i="21" a="1"/>
  <c r="B194" i="21" s="1"/>
  <c r="C194" i="2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B196" i="21" a="1"/>
  <c r="B196" i="21" s="1"/>
  <c r="C196" i="2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B198" i="21" a="1"/>
  <c r="B198" i="21" s="1"/>
  <c r="C198" i="21"/>
  <c r="D198" i="21"/>
  <c r="E198" i="21"/>
  <c r="F198" i="21"/>
  <c r="G198" i="21"/>
  <c r="B199" i="21" a="1"/>
  <c r="B199" i="21" s="1"/>
  <c r="C199" i="2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B53" i="8" a="1"/>
  <c r="B53" i="8" s="1"/>
  <c r="C53" i="8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C5" i="23"/>
  <c r="B5" i="23" s="1" a="1"/>
  <c r="B5" i="23" s="1"/>
  <c r="L5" i="20" l="1"/>
  <c r="L19" i="20"/>
  <c r="L7" i="20"/>
  <c r="L6" i="20"/>
  <c r="L4" i="20"/>
  <c r="L17" i="20"/>
  <c r="L18" i="20"/>
  <c r="L10" i="20"/>
  <c r="L14" i="20"/>
  <c r="L11" i="20"/>
  <c r="L9" i="20"/>
  <c r="L16" i="20"/>
  <c r="L12" i="20"/>
  <c r="L30" i="20"/>
  <c r="L21" i="20"/>
  <c r="L20" i="20"/>
  <c r="L26" i="20"/>
  <c r="L15" i="20"/>
  <c r="L24" i="20"/>
  <c r="L32" i="20"/>
  <c r="L25" i="20"/>
  <c r="L33" i="20"/>
  <c r="L31" i="20"/>
  <c r="L28" i="20"/>
  <c r="L22" i="20"/>
  <c r="L41" i="20"/>
  <c r="L29" i="20"/>
  <c r="L23" i="20"/>
  <c r="L38" i="20"/>
  <c r="L27" i="20"/>
  <c r="L35" i="20"/>
  <c r="L42" i="20"/>
  <c r="L37" i="20"/>
  <c r="L13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8" i="20"/>
  <c r="BK2" i="18"/>
  <c r="C7" i="15"/>
  <c r="D4" i="14" l="1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E62" i="14" s="1"/>
  <c r="D63" i="14"/>
  <c r="D64" i="14"/>
  <c r="D65" i="14"/>
  <c r="E65" i="14" s="1"/>
  <c r="D66" i="14"/>
  <c r="D67" i="14"/>
  <c r="D68" i="14"/>
  <c r="D69" i="14"/>
  <c r="D70" i="14"/>
  <c r="E70" i="14" s="1"/>
  <c r="D71" i="14"/>
  <c r="D72" i="14"/>
  <c r="D73" i="14"/>
  <c r="E73" i="14" s="1"/>
  <c r="D74" i="14"/>
  <c r="E74" i="14" s="1"/>
  <c r="D75" i="14"/>
  <c r="D76" i="14"/>
  <c r="D77" i="14"/>
  <c r="D78" i="14"/>
  <c r="D79" i="14"/>
  <c r="D80" i="14"/>
  <c r="D81" i="14"/>
  <c r="E81" i="14" s="1"/>
  <c r="D82" i="14"/>
  <c r="E82" i="14" s="1"/>
  <c r="D83" i="14"/>
  <c r="D84" i="14"/>
  <c r="E84" i="14" s="1"/>
  <c r="D85" i="14"/>
  <c r="D86" i="14"/>
  <c r="D87" i="14"/>
  <c r="D88" i="14"/>
  <c r="D89" i="14"/>
  <c r="E89" i="14" s="1"/>
  <c r="D90" i="14"/>
  <c r="E90" i="14" s="1"/>
  <c r="D91" i="14"/>
  <c r="E91" i="14" s="1"/>
  <c r="D92" i="14"/>
  <c r="D93" i="14"/>
  <c r="D94" i="14"/>
  <c r="D95" i="14"/>
  <c r="E95" i="14" s="1"/>
  <c r="D96" i="14"/>
  <c r="D97" i="14"/>
  <c r="E97" i="14" s="1"/>
  <c r="D98" i="14"/>
  <c r="E98" i="14" s="1"/>
  <c r="D99" i="14"/>
  <c r="E99" i="14" s="1"/>
  <c r="D100" i="14"/>
  <c r="E100" i="14" s="1"/>
  <c r="D101" i="14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D121" i="14"/>
  <c r="E121" i="14" s="1"/>
  <c r="D122" i="14"/>
  <c r="E122" i="14" s="1"/>
  <c r="D123" i="14"/>
  <c r="E123" i="14" s="1"/>
  <c r="D124" i="14"/>
  <c r="E124" i="14" s="1"/>
  <c r="D125" i="14"/>
  <c r="E125" i="14" s="1"/>
  <c r="D3" i="14"/>
  <c r="E53" i="14"/>
  <c r="E85" i="14"/>
  <c r="E93" i="14"/>
  <c r="E101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O21" i="14" s="1"/>
  <c r="N22" i="14"/>
  <c r="O22" i="14" s="1"/>
  <c r="N23" i="14"/>
  <c r="N24" i="14"/>
  <c r="N25" i="14"/>
  <c r="N26" i="14"/>
  <c r="O26" i="14" s="1"/>
  <c r="N27" i="14"/>
  <c r="O27" i="14" s="1"/>
  <c r="N28" i="14"/>
  <c r="N29" i="14"/>
  <c r="N30" i="14"/>
  <c r="O30" i="14" s="1"/>
  <c r="N31" i="14"/>
  <c r="O31" i="14" s="1"/>
  <c r="N32" i="14"/>
  <c r="O32" i="14" s="1"/>
  <c r="N33" i="14"/>
  <c r="N34" i="14"/>
  <c r="N35" i="14"/>
  <c r="O35" i="14" s="1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O59" i="14" s="1"/>
  <c r="N60" i="14"/>
  <c r="N61" i="14"/>
  <c r="O61" i="14" s="1"/>
  <c r="N62" i="14"/>
  <c r="O62" i="14" s="1"/>
  <c r="N63" i="14"/>
  <c r="O63" i="14" s="1"/>
  <c r="N64" i="14"/>
  <c r="N65" i="14"/>
  <c r="O65" i="14" s="1"/>
  <c r="N66" i="14"/>
  <c r="O66" i="14" s="1"/>
  <c r="N67" i="14"/>
  <c r="O67" i="14" s="1"/>
  <c r="N68" i="14"/>
  <c r="O68" i="14" s="1"/>
  <c r="N69" i="14"/>
  <c r="O69" i="14" s="1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N84" i="14"/>
  <c r="O84" i="14" s="1"/>
  <c r="N85" i="14"/>
  <c r="O85" i="14" s="1"/>
  <c r="N86" i="14"/>
  <c r="O86" i="14" s="1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N127" i="14"/>
  <c r="O127" i="14" s="1"/>
  <c r="P127" i="14" s="1"/>
  <c r="O44" i="14"/>
  <c r="O60" i="14"/>
  <c r="O20" i="14"/>
  <c r="O28" i="14"/>
  <c r="O36" i="14"/>
  <c r="O76" i="14"/>
  <c r="O83" i="14"/>
  <c r="O92" i="14"/>
  <c r="J4" i="23" l="1"/>
  <c r="C4" i="23"/>
  <c r="H29" i="20" s="1"/>
  <c r="J3" i="23"/>
  <c r="C3" i="23"/>
  <c r="H62" i="20" s="1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55" i="20" l="1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G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E5" i="2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F4" i="21" l="1"/>
  <c r="D4" i="21"/>
  <c r="G5" i="21"/>
  <c r="A7" i="21"/>
  <c r="E6" i="21"/>
  <c r="G6" i="21" s="1"/>
  <c r="E4" i="21"/>
  <c r="G4" i="21" s="1"/>
  <c r="F6" i="21"/>
  <c r="P4" i="23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H5" i="13" s="1"/>
  <c r="M127" i="14"/>
  <c r="M6" i="20"/>
  <c r="A8" i="21" l="1"/>
  <c r="E7" i="21"/>
  <c r="G7" i="21" s="1"/>
  <c r="F7" i="21"/>
  <c r="C24" i="13"/>
  <c r="C23" i="13"/>
  <c r="C16" i="13"/>
  <c r="C19" i="13"/>
  <c r="G5" i="13"/>
  <c r="Q4" i="23"/>
  <c r="G2" i="21"/>
  <c r="M3" i="2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23" i="20"/>
  <c r="M15" i="20"/>
  <c r="M30" i="20"/>
  <c r="M16" i="20"/>
  <c r="M43" i="20"/>
  <c r="M24" i="20"/>
  <c r="M25" i="20"/>
  <c r="M26" i="20"/>
  <c r="M53" i="20"/>
  <c r="M18" i="20"/>
  <c r="M55" i="20"/>
  <c r="C5" i="8"/>
  <c r="B5" i="8" s="1" a="1"/>
  <c r="B5" i="8" s="1"/>
  <c r="C2" i="13"/>
  <c r="B49" i="15" s="1"/>
  <c r="AT9" i="18"/>
  <c r="C3" i="8"/>
  <c r="C4" i="8"/>
  <c r="G8" i="13" l="1"/>
  <c r="H13" i="13"/>
  <c r="A9" i="21"/>
  <c r="E8" i="21"/>
  <c r="G8" i="21" s="1"/>
  <c r="F8" i="21"/>
  <c r="D3" i="8"/>
  <c r="D4" i="8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N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BB15" i="19"/>
  <c r="BD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O2" i="14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D4" i="23" l="1"/>
  <c r="E4" i="23"/>
  <c r="F4" i="23"/>
  <c r="A10" i="21"/>
  <c r="E9" i="21"/>
  <c r="F9" i="21"/>
  <c r="O11" i="14"/>
  <c r="O47" i="14"/>
  <c r="O39" i="14"/>
  <c r="O3" i="21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8" i="20" s="1"/>
  <c r="G63" i="14"/>
  <c r="G55" i="14"/>
  <c r="F24" i="20" s="1"/>
  <c r="G47" i="14"/>
  <c r="F15" i="20" s="1"/>
  <c r="G39" i="14"/>
  <c r="F30" i="20" s="1"/>
  <c r="G31" i="14"/>
  <c r="F49" i="20" s="1"/>
  <c r="G23" i="14"/>
  <c r="F13" i="20" s="1"/>
  <c r="G15" i="14"/>
  <c r="F14" i="20" s="1"/>
  <c r="G7" i="14"/>
  <c r="F11" i="20" s="1"/>
  <c r="G120" i="14"/>
  <c r="G112" i="14"/>
  <c r="G104" i="14"/>
  <c r="G96" i="14"/>
  <c r="G88" i="14"/>
  <c r="G80" i="14"/>
  <c r="G72" i="14"/>
  <c r="F34" i="20" s="1"/>
  <c r="G64" i="14"/>
  <c r="G56" i="14"/>
  <c r="G48" i="14"/>
  <c r="F20" i="20" s="1"/>
  <c r="G40" i="14"/>
  <c r="F44" i="20" s="1"/>
  <c r="G32" i="14"/>
  <c r="G24" i="14"/>
  <c r="F18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7" i="20" s="1"/>
  <c r="G25" i="14"/>
  <c r="F47" i="20" s="1"/>
  <c r="G17" i="14"/>
  <c r="F59" i="20" s="1"/>
  <c r="G9" i="14"/>
  <c r="F9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6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2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0" i="20" s="1"/>
  <c r="G6" i="14"/>
  <c r="F12" i="20" s="1"/>
  <c r="G2" i="14"/>
  <c r="F60" i="20" s="1"/>
  <c r="G3" i="14"/>
  <c r="F21" i="20" s="1"/>
  <c r="A2" i="8"/>
  <c r="A3" i="8" s="1"/>
  <c r="G4" i="23" l="1"/>
  <c r="G9" i="21"/>
  <c r="A11" i="21"/>
  <c r="E10" i="21"/>
  <c r="G10" i="21" s="1"/>
  <c r="F10" i="21"/>
  <c r="P3" i="2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F40" i="20"/>
  <c r="F39" i="20"/>
  <c r="F17" i="20"/>
  <c r="C8" i="13"/>
  <c r="A4" i="8"/>
  <c r="P53" i="14"/>
  <c r="P62" i="14"/>
  <c r="P65" i="14"/>
  <c r="P70" i="14"/>
  <c r="P73" i="14"/>
  <c r="P74" i="14"/>
  <c r="P81" i="14"/>
  <c r="P82" i="14"/>
  <c r="P84" i="14"/>
  <c r="P85" i="14"/>
  <c r="P89" i="14"/>
  <c r="P90" i="14"/>
  <c r="P91" i="14"/>
  <c r="P93" i="14"/>
  <c r="P95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C126" i="14"/>
  <c r="E3" i="21" l="1"/>
  <c r="F3" i="21"/>
  <c r="D3" i="21"/>
  <c r="A12" i="21"/>
  <c r="E11" i="21"/>
  <c r="F11" i="21"/>
  <c r="D126" i="14"/>
  <c r="E126" i="14" s="1"/>
  <c r="F61" i="20"/>
  <c r="L61" i="20"/>
  <c r="F62" i="20"/>
  <c r="L62" i="20"/>
  <c r="N126" i="14"/>
  <c r="O126" i="14" s="1"/>
  <c r="A5" i="8"/>
  <c r="H4" i="13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F12" i="21"/>
  <c r="G3" i="21"/>
  <c r="C4" i="1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G12" i="21" l="1"/>
  <c r="A7" i="8"/>
  <c r="A14" i="21"/>
  <c r="E13" i="21"/>
  <c r="G13" i="21" s="1"/>
  <c r="F13" i="21"/>
  <c r="H14" i="13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22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22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G16" i="13" l="1"/>
  <c r="A15" i="21"/>
  <c r="E14" i="21"/>
  <c r="F14" i="21"/>
  <c r="A8" i="8"/>
  <c r="A5" i="23"/>
  <c r="E56" i="14"/>
  <c r="P56" i="14" s="1"/>
  <c r="E88" i="14"/>
  <c r="P88" i="14" s="1"/>
  <c r="E94" i="14"/>
  <c r="P94" i="14" s="1"/>
  <c r="E79" i="14"/>
  <c r="P79" i="14" s="1"/>
  <c r="E75" i="14"/>
  <c r="P75" i="14" s="1"/>
  <c r="I14" i="13"/>
  <c r="H16" i="13"/>
  <c r="I13" i="13"/>
  <c r="I16" i="13" s="1"/>
  <c r="J5" i="13"/>
  <c r="J14" i="13" s="1"/>
  <c r="E45" i="14"/>
  <c r="P45" i="14" s="1"/>
  <c r="E47" i="14"/>
  <c r="P47" i="14" s="1"/>
  <c r="E76" i="14"/>
  <c r="P76" i="14" s="1"/>
  <c r="E16" i="14"/>
  <c r="P16" i="14" s="1"/>
  <c r="E39" i="14"/>
  <c r="P39" i="14" s="1"/>
  <c r="E25" i="14"/>
  <c r="P25" i="14" s="1"/>
  <c r="E40" i="14"/>
  <c r="P40" i="14" s="1"/>
  <c r="E57" i="14"/>
  <c r="P57" i="14" s="1"/>
  <c r="E24" i="14"/>
  <c r="P24" i="14" s="1"/>
  <c r="E21" i="14"/>
  <c r="P21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9" i="14"/>
  <c r="P9" i="14" s="1"/>
  <c r="E6" i="14"/>
  <c r="P6" i="14" s="1"/>
  <c r="E42" i="14"/>
  <c r="P42" i="14" s="1"/>
  <c r="E61" i="14"/>
  <c r="P61" i="14" s="1"/>
  <c r="E3" i="14"/>
  <c r="P3" i="14" s="1"/>
  <c r="E18" i="14"/>
  <c r="P18" i="14" s="1"/>
  <c r="E83" i="14"/>
  <c r="P83" i="14" s="1"/>
  <c r="E66" i="14"/>
  <c r="P66" i="14" s="1"/>
  <c r="E51" i="14"/>
  <c r="P51" i="14" s="1"/>
  <c r="E14" i="14"/>
  <c r="P14" i="14" s="1"/>
  <c r="E41" i="14"/>
  <c r="P41" i="14" s="1"/>
  <c r="E27" i="14"/>
  <c r="P27" i="14" s="1"/>
  <c r="E13" i="14"/>
  <c r="P13" i="14" s="1"/>
  <c r="E15" i="14"/>
  <c r="P15" i="14" s="1"/>
  <c r="E49" i="14"/>
  <c r="P49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26" i="14"/>
  <c r="P26" i="14" s="1"/>
  <c r="E110" i="14"/>
  <c r="P110" i="14" s="1"/>
  <c r="E50" i="14"/>
  <c r="P50" i="14" s="1"/>
  <c r="E22" i="14"/>
  <c r="P22" i="14" s="1"/>
  <c r="E20" i="14"/>
  <c r="P20" i="14" s="1"/>
  <c r="E55" i="14"/>
  <c r="P55" i="14" s="1"/>
  <c r="E4" i="14"/>
  <c r="P4" i="14" s="1"/>
  <c r="E52" i="14"/>
  <c r="P52" i="14" s="1"/>
  <c r="E29" i="14"/>
  <c r="P29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17" i="14"/>
  <c r="P17" i="14" s="1"/>
  <c r="E77" i="14"/>
  <c r="P77" i="14" s="1"/>
  <c r="E19" i="14"/>
  <c r="P19" i="14" s="1"/>
  <c r="E38" i="14"/>
  <c r="P38" i="14" s="1"/>
  <c r="E96" i="14"/>
  <c r="P96" i="14" s="1"/>
  <c r="E10" i="14"/>
  <c r="P10" i="14" s="1"/>
  <c r="B69" i="22"/>
  <c r="E69" i="14" s="1"/>
  <c r="P69" i="14" s="1"/>
  <c r="B92" i="22"/>
  <c r="E92" i="14" s="1"/>
  <c r="P92" i="14" s="1"/>
  <c r="B68" i="22"/>
  <c r="E68" i="14" s="1"/>
  <c r="P68" i="14" s="1"/>
  <c r="B64" i="22"/>
  <c r="E64" i="14" s="1"/>
  <c r="P64" i="14" s="1"/>
  <c r="B72" i="22"/>
  <c r="E72" i="14" s="1"/>
  <c r="P72" i="14" s="1"/>
  <c r="B59" i="22"/>
  <c r="E59" i="14" s="1"/>
  <c r="P59" i="14" s="1"/>
  <c r="B67" i="22"/>
  <c r="E67" i="14" s="1"/>
  <c r="P67" i="14" s="1"/>
  <c r="B2" i="22"/>
  <c r="E2" i="14" s="1"/>
  <c r="P2" i="14" s="1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C15" i="13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D2" i="8"/>
  <c r="A6" i="23" l="1"/>
  <c r="E5" i="23"/>
  <c r="F5" i="23"/>
  <c r="A16" i="21"/>
  <c r="E15" i="21"/>
  <c r="G15" i="21" s="1"/>
  <c r="F15" i="21"/>
  <c r="A9" i="8"/>
  <c r="G14" i="21"/>
  <c r="J13" i="13"/>
  <c r="C9" i="13"/>
  <c r="K5" i="13"/>
  <c r="G3" i="13"/>
  <c r="C36" i="15"/>
  <c r="D33" i="20"/>
  <c r="M66" i="14"/>
  <c r="D25" i="20"/>
  <c r="M45" i="14"/>
  <c r="D63" i="20"/>
  <c r="M75" i="14"/>
  <c r="D4" i="20"/>
  <c r="M67" i="14"/>
  <c r="D56" i="20"/>
  <c r="M41" i="14"/>
  <c r="D8" i="20"/>
  <c r="M71" i="14"/>
  <c r="D44" i="20"/>
  <c r="M52" i="14"/>
  <c r="D24" i="20"/>
  <c r="M55" i="14"/>
  <c r="D18" i="20"/>
  <c r="M47" i="14"/>
  <c r="D39" i="20"/>
  <c r="M49" i="14"/>
  <c r="D37" i="20"/>
  <c r="M72" i="14"/>
  <c r="D43" i="20"/>
  <c r="M48" i="14"/>
  <c r="D6" i="20"/>
  <c r="M39" i="14"/>
  <c r="D26" i="20"/>
  <c r="M46" i="14"/>
  <c r="D55" i="20"/>
  <c r="M26" i="14"/>
  <c r="D15" i="20"/>
  <c r="M34" i="14"/>
  <c r="D30" i="20"/>
  <c r="M37" i="14"/>
  <c r="D28" i="20"/>
  <c r="M58" i="14"/>
  <c r="D19" i="20"/>
  <c r="M61" i="14"/>
  <c r="D47" i="20"/>
  <c r="M38" i="14"/>
  <c r="D23" i="20"/>
  <c r="M51" i="14"/>
  <c r="D51" i="20"/>
  <c r="M42" i="14"/>
  <c r="D50" i="20"/>
  <c r="M44" i="14"/>
  <c r="D16" i="20"/>
  <c r="M40" i="14"/>
  <c r="D53" i="20"/>
  <c r="D42" i="20"/>
  <c r="L1" i="8"/>
  <c r="L4" i="13"/>
  <c r="G5" i="23" l="1"/>
  <c r="H21" i="20" s="1"/>
  <c r="A7" i="23"/>
  <c r="E6" i="23"/>
  <c r="F6" i="23"/>
  <c r="A10" i="8"/>
  <c r="A17" i="21"/>
  <c r="E16" i="21"/>
  <c r="G16" i="21" s="1"/>
  <c r="F16" i="21"/>
  <c r="K14" i="13"/>
  <c r="K13" i="13"/>
  <c r="G6" i="13"/>
  <c r="G7" i="13" s="1"/>
  <c r="G25" i="13"/>
  <c r="L5" i="13"/>
  <c r="H6" i="13"/>
  <c r="I6" i="13"/>
  <c r="J6" i="13"/>
  <c r="K6" i="13"/>
  <c r="L6" i="13"/>
  <c r="E16" i="20"/>
  <c r="E47" i="20"/>
  <c r="E15" i="20"/>
  <c r="E53" i="20"/>
  <c r="E30" i="20"/>
  <c r="E18" i="20"/>
  <c r="E23" i="20"/>
  <c r="E6" i="20"/>
  <c r="E56" i="20"/>
  <c r="E33" i="20"/>
  <c r="E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8" i="20"/>
  <c r="E25" i="20"/>
  <c r="M1" i="8"/>
  <c r="M4" i="13"/>
  <c r="H7" i="13" l="1"/>
  <c r="G6" i="23"/>
  <c r="H60" i="20" s="1"/>
  <c r="E7" i="23"/>
  <c r="F7" i="23"/>
  <c r="A18" i="21"/>
  <c r="E17" i="21"/>
  <c r="G17" i="21" s="1"/>
  <c r="F17" i="21"/>
  <c r="A11" i="8"/>
  <c r="K7" i="13"/>
  <c r="I7" i="13"/>
  <c r="J7" i="13"/>
  <c r="L7" i="13"/>
  <c r="G14" i="13"/>
  <c r="L14" i="13"/>
  <c r="L13" i="13"/>
  <c r="M5" i="13"/>
  <c r="I15" i="13"/>
  <c r="L15" i="13"/>
  <c r="K15" i="13"/>
  <c r="J15" i="13"/>
  <c r="M6" i="13"/>
  <c r="N1" i="8"/>
  <c r="N4" i="13"/>
  <c r="G7" i="23" l="1"/>
  <c r="A12" i="8"/>
  <c r="A19" i="21"/>
  <c r="E18" i="21"/>
  <c r="F18" i="21"/>
  <c r="M7" i="13"/>
  <c r="M8" i="13" s="1"/>
  <c r="K8" i="13"/>
  <c r="J8" i="13"/>
  <c r="H8" i="13"/>
  <c r="I8" i="13"/>
  <c r="L8" i="13"/>
  <c r="M14" i="13"/>
  <c r="M13" i="13"/>
  <c r="M15" i="13"/>
  <c r="N5" i="13"/>
  <c r="N14" i="13" s="1"/>
  <c r="N6" i="13"/>
  <c r="O1" i="8"/>
  <c r="O4" i="13"/>
  <c r="A20" i="21" l="1"/>
  <c r="E19" i="21"/>
  <c r="G19" i="21" s="1"/>
  <c r="F19" i="21"/>
  <c r="G18" i="21"/>
  <c r="A13" i="8"/>
  <c r="N7" i="13"/>
  <c r="N8" i="13" s="1"/>
  <c r="N13" i="13"/>
  <c r="M17" i="13"/>
  <c r="N15" i="13"/>
  <c r="O5" i="13"/>
  <c r="O6" i="13"/>
  <c r="P1" i="8"/>
  <c r="P4" i="13"/>
  <c r="A14" i="8" l="1"/>
  <c r="A21" i="21"/>
  <c r="E20" i="21"/>
  <c r="G20" i="21" s="1"/>
  <c r="F20" i="21"/>
  <c r="O7" i="13"/>
  <c r="O8" i="13" s="1"/>
  <c r="O14" i="13"/>
  <c r="O13" i="13"/>
  <c r="N17" i="13"/>
  <c r="O15" i="13"/>
  <c r="P5" i="13"/>
  <c r="P14" i="13" s="1"/>
  <c r="P6" i="13"/>
  <c r="Q1" i="8"/>
  <c r="Q4" i="13"/>
  <c r="A22" i="21" l="1"/>
  <c r="E21" i="21"/>
  <c r="F21" i="21"/>
  <c r="A15" i="8"/>
  <c r="P7" i="13"/>
  <c r="P13" i="13"/>
  <c r="O17" i="13"/>
  <c r="P15" i="13"/>
  <c r="Q5" i="13"/>
  <c r="Q6" i="13"/>
  <c r="R1" i="8"/>
  <c r="R4" i="13"/>
  <c r="Q7" i="13" l="1"/>
  <c r="Q8" i="13" s="1"/>
  <c r="G21" i="21"/>
  <c r="A16" i="8"/>
  <c r="A23" i="21"/>
  <c r="E22" i="21"/>
  <c r="G22" i="21" s="1"/>
  <c r="F22" i="21"/>
  <c r="P8" i="13"/>
  <c r="Q14" i="13"/>
  <c r="Q16" i="13" s="1"/>
  <c r="Q13" i="13"/>
  <c r="P17" i="13"/>
  <c r="Q15" i="13"/>
  <c r="R5" i="13"/>
  <c r="R14" i="13" s="1"/>
  <c r="R6" i="13"/>
  <c r="S1" i="8"/>
  <c r="S4" i="13"/>
  <c r="A17" i="8" l="1"/>
  <c r="F16" i="8"/>
  <c r="A24" i="21"/>
  <c r="E23" i="21"/>
  <c r="F23" i="21"/>
  <c r="R7" i="13"/>
  <c r="R8" i="13" s="1"/>
  <c r="R13" i="13"/>
  <c r="R15" i="13"/>
  <c r="R17" i="13" s="1"/>
  <c r="Q17" i="13"/>
  <c r="S5" i="13"/>
  <c r="S14" i="13" s="1"/>
  <c r="S6" i="13"/>
  <c r="T1" i="8"/>
  <c r="T4" i="13"/>
  <c r="G23" i="21" l="1"/>
  <c r="A25" i="21"/>
  <c r="E24" i="21"/>
  <c r="G24" i="21" s="1"/>
  <c r="F24" i="21"/>
  <c r="A18" i="8"/>
  <c r="S7" i="13"/>
  <c r="S8" i="13" s="1"/>
  <c r="S13" i="13"/>
  <c r="S15" i="13"/>
  <c r="S17" i="13" s="1"/>
  <c r="T5" i="13"/>
  <c r="T6" i="13"/>
  <c r="U1" i="8"/>
  <c r="U4" i="13"/>
  <c r="F15" i="8" l="1"/>
  <c r="F17" i="8"/>
  <c r="A26" i="21"/>
  <c r="E25" i="21"/>
  <c r="F25" i="21"/>
  <c r="A19" i="8"/>
  <c r="F18" i="8"/>
  <c r="T7" i="13"/>
  <c r="T8" i="13" s="1"/>
  <c r="T13" i="13"/>
  <c r="T14" i="13"/>
  <c r="T15" i="13"/>
  <c r="T17" i="13" s="1"/>
  <c r="U5" i="13"/>
  <c r="U6" i="13"/>
  <c r="V1" i="8"/>
  <c r="V4" i="13"/>
  <c r="G25" i="21" l="1"/>
  <c r="A27" i="21"/>
  <c r="E26" i="21"/>
  <c r="G26" i="21" s="1"/>
  <c r="F26" i="21"/>
  <c r="A20" i="8"/>
  <c r="E19" i="8"/>
  <c r="F19" i="8"/>
  <c r="U7" i="13"/>
  <c r="U8" i="13" s="1"/>
  <c r="U13" i="13"/>
  <c r="U14" i="13"/>
  <c r="U15" i="13"/>
  <c r="U17" i="13" s="1"/>
  <c r="V5" i="13"/>
  <c r="V6" i="13"/>
  <c r="W1" i="8"/>
  <c r="W4" i="13"/>
  <c r="G19" i="8" l="1"/>
  <c r="A21" i="8"/>
  <c r="E20" i="8"/>
  <c r="F20" i="8"/>
  <c r="A28" i="21"/>
  <c r="E27" i="21"/>
  <c r="F27" i="21"/>
  <c r="V7" i="13"/>
  <c r="V13" i="13"/>
  <c r="V14" i="13"/>
  <c r="V15" i="13"/>
  <c r="W5" i="13"/>
  <c r="W14" i="13" s="1"/>
  <c r="W6" i="13"/>
  <c r="X1" i="8"/>
  <c r="X4" i="13"/>
  <c r="G20" i="8" l="1"/>
  <c r="G27" i="21"/>
  <c r="A29" i="21"/>
  <c r="E28" i="21"/>
  <c r="F28" i="21"/>
  <c r="A22" i="8"/>
  <c r="F21" i="8"/>
  <c r="V8" i="13"/>
  <c r="W7" i="13"/>
  <c r="W13" i="13"/>
  <c r="W15" i="13"/>
  <c r="W17" i="13" s="1"/>
  <c r="V17" i="13"/>
  <c r="X5" i="13"/>
  <c r="X14" i="13" s="1"/>
  <c r="X6" i="13"/>
  <c r="Y1" i="8"/>
  <c r="Y4" i="13"/>
  <c r="A23" i="8" l="1"/>
  <c r="E22" i="8"/>
  <c r="F22" i="8"/>
  <c r="G28" i="21"/>
  <c r="A30" i="21"/>
  <c r="E29" i="21"/>
  <c r="G29" i="21" s="1"/>
  <c r="F29" i="21"/>
  <c r="X7" i="13"/>
  <c r="X8" i="13" s="1"/>
  <c r="W8" i="13"/>
  <c r="X13" i="13"/>
  <c r="X15" i="13"/>
  <c r="X17" i="13" s="1"/>
  <c r="Y5" i="13"/>
  <c r="Y6" i="13"/>
  <c r="Z1" i="8"/>
  <c r="Z4" i="13"/>
  <c r="G22" i="8" l="1"/>
  <c r="E18" i="8"/>
  <c r="G18" i="8" s="1"/>
  <c r="A31" i="21"/>
  <c r="E30" i="21"/>
  <c r="G30" i="21" s="1"/>
  <c r="F30" i="21"/>
  <c r="A24" i="8"/>
  <c r="E23" i="8"/>
  <c r="F23" i="8"/>
  <c r="Y7" i="13"/>
  <c r="Y8" i="13" s="1"/>
  <c r="Y14" i="13"/>
  <c r="Y13" i="13"/>
  <c r="Y15" i="13"/>
  <c r="Z5" i="13"/>
  <c r="Z14" i="13" s="1"/>
  <c r="Z6" i="13"/>
  <c r="AA1" i="8"/>
  <c r="E21" i="8" s="1"/>
  <c r="G21" i="8" s="1"/>
  <c r="AA4" i="13"/>
  <c r="G23" i="8" l="1"/>
  <c r="A25" i="8"/>
  <c r="E24" i="8"/>
  <c r="F24" i="8"/>
  <c r="A32" i="21"/>
  <c r="E31" i="21"/>
  <c r="G31" i="21" s="1"/>
  <c r="F31" i="21"/>
  <c r="Z7" i="13"/>
  <c r="Z13" i="13"/>
  <c r="Z15" i="13"/>
  <c r="Y17" i="13"/>
  <c r="AA5" i="13"/>
  <c r="AA6" i="13"/>
  <c r="AB1" i="8"/>
  <c r="AB4" i="13"/>
  <c r="G24" i="8" l="1"/>
  <c r="A33" i="21"/>
  <c r="E32" i="21"/>
  <c r="F32" i="21"/>
  <c r="A26" i="8"/>
  <c r="E25" i="8"/>
  <c r="F25" i="8"/>
  <c r="Z8" i="13"/>
  <c r="AA7" i="13"/>
  <c r="AA8" i="13" s="1"/>
  <c r="AA13" i="13"/>
  <c r="AA14" i="13"/>
  <c r="AA15" i="13"/>
  <c r="AA17" i="13" s="1"/>
  <c r="Z17" i="13"/>
  <c r="AB5" i="13"/>
  <c r="AB13" i="13" s="1"/>
  <c r="AB6" i="13"/>
  <c r="AC1" i="8"/>
  <c r="AC4" i="13"/>
  <c r="G25" i="8" l="1"/>
  <c r="A27" i="8"/>
  <c r="E26" i="8"/>
  <c r="F26" i="8"/>
  <c r="G32" i="21"/>
  <c r="A34" i="21"/>
  <c r="E33" i="21"/>
  <c r="F33" i="21"/>
  <c r="AB7" i="13"/>
  <c r="AB8" i="13" s="1"/>
  <c r="AB14" i="13"/>
  <c r="AB15" i="13"/>
  <c r="AB17" i="13" s="1"/>
  <c r="AC5" i="13"/>
  <c r="AC13" i="13" s="1"/>
  <c r="AC6" i="13"/>
  <c r="AD1" i="8"/>
  <c r="AD4" i="13"/>
  <c r="A35" i="21" l="1"/>
  <c r="E34" i="21"/>
  <c r="G34" i="21" s="1"/>
  <c r="F34" i="21"/>
  <c r="A28" i="8"/>
  <c r="E27" i="8"/>
  <c r="F27" i="8"/>
  <c r="G33" i="21"/>
  <c r="G26" i="8"/>
  <c r="AC7" i="13"/>
  <c r="AC8" i="13" s="1"/>
  <c r="AC14" i="13"/>
  <c r="AC15" i="13"/>
  <c r="AC17" i="13" s="1"/>
  <c r="AD5" i="13"/>
  <c r="AD13" i="13" s="1"/>
  <c r="AD6" i="13"/>
  <c r="AE1" i="8"/>
  <c r="AE4" i="13"/>
  <c r="A36" i="21" l="1"/>
  <c r="E35" i="21"/>
  <c r="F35" i="21"/>
  <c r="G27" i="8"/>
  <c r="A29" i="8"/>
  <c r="E28" i="8"/>
  <c r="F28" i="8"/>
  <c r="AD7" i="13"/>
  <c r="AD14" i="13"/>
  <c r="AD15" i="13"/>
  <c r="AE5" i="13"/>
  <c r="AE13" i="13" s="1"/>
  <c r="AE6" i="13"/>
  <c r="AF1" i="8"/>
  <c r="AF4" i="13"/>
  <c r="A30" i="8" l="1"/>
  <c r="E29" i="8"/>
  <c r="F29" i="8"/>
  <c r="A37" i="21"/>
  <c r="E36" i="21"/>
  <c r="G36" i="21" s="1"/>
  <c r="F36" i="21"/>
  <c r="G28" i="8"/>
  <c r="G35" i="21"/>
  <c r="AD8" i="13"/>
  <c r="AE7" i="13"/>
  <c r="AE14" i="13"/>
  <c r="AE15" i="13"/>
  <c r="AE17" i="13" s="1"/>
  <c r="AD17" i="13"/>
  <c r="AF5" i="13"/>
  <c r="AF13" i="13" s="1"/>
  <c r="AF6" i="13"/>
  <c r="AG1" i="8"/>
  <c r="AG4" i="13"/>
  <c r="G29" i="8" l="1"/>
  <c r="A38" i="21"/>
  <c r="E37" i="21"/>
  <c r="F37" i="21"/>
  <c r="A31" i="8"/>
  <c r="AF7" i="13"/>
  <c r="AF8" i="13" s="1"/>
  <c r="AE8" i="13"/>
  <c r="AF14" i="13"/>
  <c r="AF15" i="13"/>
  <c r="AG5" i="13"/>
  <c r="AG6" i="13"/>
  <c r="AH1" i="8"/>
  <c r="AH4" i="13"/>
  <c r="A32" i="8" l="1"/>
  <c r="E31" i="8"/>
  <c r="F31" i="8"/>
  <c r="G37" i="21"/>
  <c r="A39" i="21"/>
  <c r="E38" i="21"/>
  <c r="G38" i="21" s="1"/>
  <c r="F38" i="21"/>
  <c r="AG7" i="13"/>
  <c r="AG13" i="13"/>
  <c r="AG14" i="13"/>
  <c r="AG15" i="13"/>
  <c r="AG17" i="13" s="1"/>
  <c r="AF17" i="13"/>
  <c r="AH5" i="13"/>
  <c r="AH13" i="13" s="1"/>
  <c r="AH6" i="13"/>
  <c r="AI1" i="8"/>
  <c r="AI4" i="13"/>
  <c r="A33" i="8" l="1"/>
  <c r="E32" i="8"/>
  <c r="F32" i="8"/>
  <c r="A40" i="21"/>
  <c r="E39" i="21"/>
  <c r="F39" i="21"/>
  <c r="F30" i="8"/>
  <c r="G31" i="8"/>
  <c r="AH7" i="13"/>
  <c r="AH8" i="13" s="1"/>
  <c r="AG8" i="13"/>
  <c r="AH14" i="13"/>
  <c r="AH15" i="13"/>
  <c r="AH17" i="13" s="1"/>
  <c r="AI5" i="13"/>
  <c r="AI13" i="13" s="1"/>
  <c r="AI6" i="13"/>
  <c r="AJ1" i="8"/>
  <c r="AJ4" i="13"/>
  <c r="G32" i="8" l="1"/>
  <c r="A34" i="8"/>
  <c r="E33" i="8"/>
  <c r="F33" i="8"/>
  <c r="G39" i="21"/>
  <c r="A41" i="21"/>
  <c r="E40" i="21"/>
  <c r="F40" i="21"/>
  <c r="G24" i="20"/>
  <c r="AI7" i="13"/>
  <c r="AI14" i="13"/>
  <c r="AI15" i="13"/>
  <c r="AI17" i="13" s="1"/>
  <c r="AJ5" i="13"/>
  <c r="AJ13" i="13" s="1"/>
  <c r="AJ6" i="13"/>
  <c r="AK1" i="8"/>
  <c r="AK4" i="13"/>
  <c r="G33" i="8" l="1"/>
  <c r="G40" i="21"/>
  <c r="A42" i="21"/>
  <c r="E41" i="21"/>
  <c r="F41" i="21"/>
  <c r="A35" i="8"/>
  <c r="E34" i="8"/>
  <c r="F34" i="8"/>
  <c r="AI8" i="13"/>
  <c r="AJ7" i="13"/>
  <c r="AJ14" i="13"/>
  <c r="AJ15" i="13"/>
  <c r="AK5" i="13"/>
  <c r="AK13" i="13" s="1"/>
  <c r="AK6" i="13"/>
  <c r="AL1" i="8"/>
  <c r="AL4" i="13"/>
  <c r="G34" i="8" l="1"/>
  <c r="A36" i="8"/>
  <c r="E35" i="8"/>
  <c r="F35" i="8"/>
  <c r="G41" i="21"/>
  <c r="A43" i="21"/>
  <c r="E42" i="21"/>
  <c r="F42" i="21"/>
  <c r="AJ8" i="13"/>
  <c r="AK7" i="13"/>
  <c r="AK8" i="13" s="1"/>
  <c r="AK14" i="13"/>
  <c r="AL6" i="13"/>
  <c r="AK15" i="13"/>
  <c r="AK17" i="13" s="1"/>
  <c r="AJ17" i="13"/>
  <c r="AL5" i="13"/>
  <c r="AM1" i="8"/>
  <c r="AM4" i="13"/>
  <c r="G35" i="8" l="1"/>
  <c r="G42" i="21"/>
  <c r="A44" i="21"/>
  <c r="E43" i="21"/>
  <c r="F43" i="21"/>
  <c r="A37" i="8"/>
  <c r="E36" i="8"/>
  <c r="F36" i="8"/>
  <c r="AL7" i="13"/>
  <c r="AN8" i="13" s="1"/>
  <c r="AL13" i="13"/>
  <c r="AL14" i="13"/>
  <c r="AL15" i="13"/>
  <c r="AL17" i="13" s="1"/>
  <c r="AM5" i="13"/>
  <c r="AM13" i="13" s="1"/>
  <c r="AM6" i="13"/>
  <c r="AN1" i="8"/>
  <c r="AN4" i="13"/>
  <c r="G36" i="8" l="1"/>
  <c r="A38" i="8"/>
  <c r="E37" i="8"/>
  <c r="F37" i="8"/>
  <c r="G43" i="21"/>
  <c r="A45" i="21"/>
  <c r="E44" i="21"/>
  <c r="F44" i="21"/>
  <c r="AS8" i="13"/>
  <c r="AO8" i="13"/>
  <c r="AU8" i="13"/>
  <c r="AT8" i="13"/>
  <c r="AL8" i="13"/>
  <c r="AM8" i="13"/>
  <c r="AQ8" i="13"/>
  <c r="AR8" i="13"/>
  <c r="AP8" i="13"/>
  <c r="AM7" i="13"/>
  <c r="AW8" i="13" s="1"/>
  <c r="AV8" i="13"/>
  <c r="AM14" i="13"/>
  <c r="AM15" i="13"/>
  <c r="AM17" i="13" s="1"/>
  <c r="AN5" i="13"/>
  <c r="AN6" i="13"/>
  <c r="G32" i="20"/>
  <c r="AO1" i="8"/>
  <c r="AO4" i="13"/>
  <c r="G44" i="21" l="1"/>
  <c r="A39" i="8"/>
  <c r="E38" i="8"/>
  <c r="F38" i="8"/>
  <c r="A46" i="21"/>
  <c r="E45" i="21"/>
  <c r="F45" i="21"/>
  <c r="G37" i="8"/>
  <c r="AN7" i="13"/>
  <c r="AN13" i="13"/>
  <c r="AN14" i="13"/>
  <c r="AN15" i="13"/>
  <c r="AN17" i="13" s="1"/>
  <c r="AO5" i="13"/>
  <c r="AO13" i="13" s="1"/>
  <c r="AO6" i="13"/>
  <c r="AP1" i="8"/>
  <c r="AP4" i="13"/>
  <c r="G38" i="8" l="1"/>
  <c r="A40" i="8"/>
  <c r="E39" i="8"/>
  <c r="F39" i="8"/>
  <c r="G45" i="21"/>
  <c r="A47" i="21"/>
  <c r="E46" i="21"/>
  <c r="G46" i="21" s="1"/>
  <c r="F46" i="21"/>
  <c r="AX8" i="13"/>
  <c r="AO7" i="13"/>
  <c r="AO14" i="13"/>
  <c r="AO15" i="13"/>
  <c r="AO17" i="13" s="1"/>
  <c r="AP5" i="13"/>
  <c r="AP6" i="13"/>
  <c r="G5" i="20"/>
  <c r="AQ1" i="8"/>
  <c r="AQ4" i="13"/>
  <c r="G39" i="8" l="1"/>
  <c r="A41" i="8"/>
  <c r="E40" i="8"/>
  <c r="F40" i="8"/>
  <c r="A48" i="21"/>
  <c r="E47" i="21"/>
  <c r="G47" i="21" s="1"/>
  <c r="F47" i="21"/>
  <c r="AY8" i="13"/>
  <c r="AP7" i="13"/>
  <c r="AP13" i="13"/>
  <c r="AP14" i="13"/>
  <c r="AP15" i="13"/>
  <c r="AP17" i="13" s="1"/>
  <c r="AQ5" i="13"/>
  <c r="AQ13" i="13" s="1"/>
  <c r="AQ6" i="13"/>
  <c r="AR1" i="8"/>
  <c r="AR4" i="13"/>
  <c r="A49" i="21" l="1"/>
  <c r="E48" i="21"/>
  <c r="G48" i="21" s="1"/>
  <c r="F48" i="21"/>
  <c r="G40" i="8"/>
  <c r="A42" i="8"/>
  <c r="E41" i="8"/>
  <c r="F41" i="8"/>
  <c r="AQ7" i="13"/>
  <c r="AQ14" i="13"/>
  <c r="AQ15" i="13"/>
  <c r="AQ17" i="13" s="1"/>
  <c r="AR5" i="13"/>
  <c r="AR6" i="13"/>
  <c r="AS1" i="8"/>
  <c r="AS4" i="13"/>
  <c r="A43" i="8" l="1"/>
  <c r="E42" i="8"/>
  <c r="F42" i="8"/>
  <c r="G41" i="8"/>
  <c r="A50" i="21"/>
  <c r="E49" i="21"/>
  <c r="F49" i="21"/>
  <c r="AR7" i="13"/>
  <c r="AR13" i="13"/>
  <c r="AR14" i="13"/>
  <c r="AR15" i="13"/>
  <c r="AR17" i="13" s="1"/>
  <c r="AS5" i="13"/>
  <c r="AS13" i="13" s="1"/>
  <c r="AS6" i="13"/>
  <c r="AT1" i="8"/>
  <c r="G22" i="20"/>
  <c r="AT4" i="13"/>
  <c r="G49" i="21" l="1"/>
  <c r="A51" i="21"/>
  <c r="E50" i="21"/>
  <c r="F50" i="21"/>
  <c r="G42" i="8"/>
  <c r="G40" i="20" s="1"/>
  <c r="A44" i="8"/>
  <c r="E43" i="8"/>
  <c r="F43" i="8"/>
  <c r="AS7" i="13"/>
  <c r="AS14" i="13"/>
  <c r="AS15" i="13"/>
  <c r="AS17" i="13" s="1"/>
  <c r="AT5" i="13"/>
  <c r="AT6" i="13"/>
  <c r="AU1" i="8"/>
  <c r="AU4" i="13"/>
  <c r="G43" i="8" l="1"/>
  <c r="A45" i="8"/>
  <c r="E44" i="8"/>
  <c r="F44" i="8"/>
  <c r="G50" i="21"/>
  <c r="A52" i="21"/>
  <c r="E51" i="21"/>
  <c r="G51" i="21" s="1"/>
  <c r="F51" i="21"/>
  <c r="AT7" i="13"/>
  <c r="AT13" i="13"/>
  <c r="AT14" i="13"/>
  <c r="AT15" i="13"/>
  <c r="AT17" i="13" s="1"/>
  <c r="AU5" i="13"/>
  <c r="AU6" i="13"/>
  <c r="AV1" i="8"/>
  <c r="AV4" i="13"/>
  <c r="G44" i="8" l="1"/>
  <c r="A53" i="21"/>
  <c r="E52" i="21"/>
  <c r="F52" i="21"/>
  <c r="A46" i="8"/>
  <c r="E45" i="8"/>
  <c r="F45" i="8"/>
  <c r="AU7" i="13"/>
  <c r="AU13" i="13"/>
  <c r="AU14" i="13"/>
  <c r="AU15" i="13"/>
  <c r="AU17" i="13" s="1"/>
  <c r="AV5" i="13"/>
  <c r="AV13" i="13" s="1"/>
  <c r="AV6" i="13"/>
  <c r="AW1" i="8"/>
  <c r="G29" i="20"/>
  <c r="AW4" i="13"/>
  <c r="G45" i="8" l="1"/>
  <c r="A47" i="8"/>
  <c r="E46" i="8"/>
  <c r="F46" i="8"/>
  <c r="G52" i="21"/>
  <c r="A54" i="21"/>
  <c r="E53" i="21"/>
  <c r="F53" i="21"/>
  <c r="AV7" i="13"/>
  <c r="AV14" i="13"/>
  <c r="AV15" i="13"/>
  <c r="AV17" i="13" s="1"/>
  <c r="AW5" i="13"/>
  <c r="AW6" i="13"/>
  <c r="AX1" i="8"/>
  <c r="G27" i="20"/>
  <c r="AX4" i="13"/>
  <c r="G53" i="21" l="1"/>
  <c r="A55" i="21"/>
  <c r="E54" i="21"/>
  <c r="G54" i="21" s="1"/>
  <c r="F54" i="21"/>
  <c r="G46" i="8"/>
  <c r="A48" i="8"/>
  <c r="E47" i="8"/>
  <c r="F47" i="8"/>
  <c r="AW7" i="13"/>
  <c r="AW14" i="13"/>
  <c r="AW13" i="13"/>
  <c r="AW15" i="13"/>
  <c r="AW17" i="13" s="1"/>
  <c r="AX5" i="13"/>
  <c r="AX6" i="13"/>
  <c r="AY1" i="8"/>
  <c r="AY4" i="13"/>
  <c r="G47" i="8" l="1"/>
  <c r="G58" i="20" s="1"/>
  <c r="A49" i="8"/>
  <c r="E48" i="8"/>
  <c r="F48" i="8"/>
  <c r="A56" i="21"/>
  <c r="E55" i="21"/>
  <c r="G55" i="21" s="1"/>
  <c r="F55" i="21"/>
  <c r="AX7" i="13"/>
  <c r="AX13" i="13"/>
  <c r="AX14" i="13"/>
  <c r="AX15" i="13"/>
  <c r="AY5" i="13"/>
  <c r="AY13" i="13" s="1"/>
  <c r="AY6" i="13"/>
  <c r="AZ1" i="8"/>
  <c r="AZ4" i="13"/>
  <c r="A57" i="21" l="1"/>
  <c r="E56" i="21"/>
  <c r="F56" i="21"/>
  <c r="G48" i="8"/>
  <c r="A50" i="8"/>
  <c r="E49" i="8"/>
  <c r="F49" i="8"/>
  <c r="AY7" i="13"/>
  <c r="AY14" i="13"/>
  <c r="AX17" i="13"/>
  <c r="AY15" i="13"/>
  <c r="AZ5" i="13"/>
  <c r="AZ13" i="13" s="1"/>
  <c r="AZ6" i="13"/>
  <c r="BA1" i="8"/>
  <c r="G7" i="20"/>
  <c r="BA4" i="13"/>
  <c r="G49" i="8" l="1"/>
  <c r="A51" i="8"/>
  <c r="E50" i="8"/>
  <c r="F50" i="8"/>
  <c r="G56" i="21"/>
  <c r="A58" i="21"/>
  <c r="E57" i="21"/>
  <c r="F57" i="21"/>
  <c r="AZ7" i="13"/>
  <c r="AZ8" i="13" s="1"/>
  <c r="AZ14" i="13"/>
  <c r="AZ15" i="13"/>
  <c r="AZ17" i="13" s="1"/>
  <c r="AY17" i="13"/>
  <c r="BA5" i="13"/>
  <c r="BA6" i="13"/>
  <c r="BB1" i="8"/>
  <c r="G26" i="20"/>
  <c r="J26" i="20" s="1"/>
  <c r="G25" i="20"/>
  <c r="J25" i="20" s="1"/>
  <c r="BB4" i="13"/>
  <c r="G57" i="21" l="1"/>
  <c r="A59" i="21"/>
  <c r="E58" i="21"/>
  <c r="G58" i="21" s="1"/>
  <c r="F58" i="21"/>
  <c r="G50" i="8"/>
  <c r="A52" i="8"/>
  <c r="E51" i="8"/>
  <c r="F51" i="8"/>
  <c r="BA7" i="13"/>
  <c r="BA8" i="13" s="1"/>
  <c r="BA13" i="13"/>
  <c r="BA14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30" i="20"/>
  <c r="J30" i="20" s="1"/>
  <c r="BC4" i="13"/>
  <c r="G51" i="8" l="1"/>
  <c r="E3" i="8"/>
  <c r="F6" i="8"/>
  <c r="F3" i="8"/>
  <c r="E4" i="8"/>
  <c r="E5" i="8"/>
  <c r="E6" i="8"/>
  <c r="F4" i="8"/>
  <c r="F5" i="8"/>
  <c r="F7" i="8"/>
  <c r="E8" i="8"/>
  <c r="G8" i="8" s="1"/>
  <c r="E9" i="8"/>
  <c r="F8" i="8"/>
  <c r="E7" i="8"/>
  <c r="F10" i="8"/>
  <c r="F9" i="8"/>
  <c r="E10" i="8"/>
  <c r="F11" i="8"/>
  <c r="F12" i="8"/>
  <c r="F13" i="8"/>
  <c r="E12" i="8"/>
  <c r="E11" i="8"/>
  <c r="E13" i="8"/>
  <c r="F14" i="8"/>
  <c r="E14" i="8"/>
  <c r="E16" i="8"/>
  <c r="G16" i="8" s="1"/>
  <c r="E15" i="8"/>
  <c r="G15" i="8" s="1"/>
  <c r="G10" i="20" s="1"/>
  <c r="E17" i="8"/>
  <c r="G17" i="8" s="1"/>
  <c r="E30" i="8"/>
  <c r="G30" i="8" s="1"/>
  <c r="G57" i="20" s="1"/>
  <c r="A53" i="8"/>
  <c r="E52" i="8"/>
  <c r="F52" i="8"/>
  <c r="A60" i="21"/>
  <c r="E59" i="21"/>
  <c r="G59" i="21" s="1"/>
  <c r="F59" i="21"/>
  <c r="G45" i="20"/>
  <c r="BB7" i="13"/>
  <c r="BB8" i="13" s="1"/>
  <c r="BB14" i="13"/>
  <c r="BB15" i="13"/>
  <c r="BB17" i="13" s="1"/>
  <c r="BC5" i="13"/>
  <c r="BC13" i="13" s="1"/>
  <c r="BC6" i="13"/>
  <c r="E2" i="8"/>
  <c r="G2" i="8" s="1"/>
  <c r="BD4" i="13"/>
  <c r="G7" i="8" l="1"/>
  <c r="G10" i="8"/>
  <c r="G11" i="8"/>
  <c r="G14" i="20" s="1"/>
  <c r="G14" i="8"/>
  <c r="G52" i="8"/>
  <c r="G5" i="8"/>
  <c r="G9" i="8"/>
  <c r="G11" i="20" s="1"/>
  <c r="A54" i="8"/>
  <c r="E53" i="8"/>
  <c r="F53" i="8"/>
  <c r="G13" i="8"/>
  <c r="G16" i="20" s="1"/>
  <c r="J16" i="20" s="1"/>
  <c r="G6" i="8"/>
  <c r="G12" i="8"/>
  <c r="G4" i="8"/>
  <c r="G3" i="8"/>
  <c r="A61" i="21"/>
  <c r="E60" i="21"/>
  <c r="F60" i="21"/>
  <c r="G59" i="20"/>
  <c r="C12" i="13"/>
  <c r="BC7" i="13"/>
  <c r="BC8" i="13" s="1"/>
  <c r="BC14" i="13"/>
  <c r="G12" i="20"/>
  <c r="BC15" i="13"/>
  <c r="BC17" i="13" s="1"/>
  <c r="BD5" i="13"/>
  <c r="BD6" i="13"/>
  <c r="G6" i="20"/>
  <c r="J6" i="20" s="1"/>
  <c r="C29" i="13"/>
  <c r="BE4" i="13"/>
  <c r="G53" i="8" l="1"/>
  <c r="G60" i="21"/>
  <c r="A62" i="21"/>
  <c r="E61" i="21"/>
  <c r="G61" i="21" s="1"/>
  <c r="F61" i="21"/>
  <c r="A55" i="8"/>
  <c r="E54" i="8"/>
  <c r="F54" i="8"/>
  <c r="BD7" i="13"/>
  <c r="BD8" i="13" s="1"/>
  <c r="BD13" i="13"/>
  <c r="BD14" i="13"/>
  <c r="G60" i="20"/>
  <c r="BD15" i="13"/>
  <c r="BD17" i="13" s="1"/>
  <c r="BE5" i="13"/>
  <c r="BE13" i="13" s="1"/>
  <c r="BE6" i="13"/>
  <c r="G53" i="20"/>
  <c r="J53" i="20" s="1"/>
  <c r="C21" i="13"/>
  <c r="C22" i="15"/>
  <c r="D29" i="13"/>
  <c r="H3" i="13"/>
  <c r="B29" i="15"/>
  <c r="B34" i="13"/>
  <c r="BF4" i="13"/>
  <c r="G54" i="8" l="1"/>
  <c r="A56" i="8"/>
  <c r="E55" i="8"/>
  <c r="F55" i="8"/>
  <c r="A63" i="21"/>
  <c r="E62" i="21"/>
  <c r="G62" i="21" s="1"/>
  <c r="F62" i="21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4" i="13"/>
  <c r="BE15" i="13"/>
  <c r="BE17" i="13" s="1"/>
  <c r="C24" i="15"/>
  <c r="G27" i="13"/>
  <c r="G28" i="13" s="1"/>
  <c r="H27" i="13"/>
  <c r="H28" i="13" s="1"/>
  <c r="H25" i="13"/>
  <c r="BF5" i="13"/>
  <c r="BF13" i="13" s="1"/>
  <c r="BF6" i="13"/>
  <c r="C14" i="13"/>
  <c r="C18" i="15" s="1"/>
  <c r="G15" i="20"/>
  <c r="J15" i="20" s="1"/>
  <c r="G43" i="20"/>
  <c r="J43" i="20" s="1"/>
  <c r="G20" i="20"/>
  <c r="C16" i="15"/>
  <c r="C34" i="15"/>
  <c r="I3" i="13"/>
  <c r="C10" i="15"/>
  <c r="BG4" i="13"/>
  <c r="A64" i="21" l="1"/>
  <c r="E63" i="21"/>
  <c r="G63" i="21" s="1"/>
  <c r="F63" i="21"/>
  <c r="G55" i="8"/>
  <c r="A57" i="8"/>
  <c r="E56" i="8"/>
  <c r="F56" i="8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BF14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A65" i="21"/>
  <c r="E64" i="21"/>
  <c r="F64" i="21"/>
  <c r="BG7" i="13"/>
  <c r="BG8" i="13" s="1"/>
  <c r="BF12" i="13"/>
  <c r="BF11" i="13"/>
  <c r="BF10" i="13"/>
  <c r="BG13" i="13"/>
  <c r="BG14" i="13"/>
  <c r="BG15" i="13"/>
  <c r="BG17" i="13" s="1"/>
  <c r="Z23" i="13"/>
  <c r="Z22" i="13"/>
  <c r="J25" i="13"/>
  <c r="J27" i="13"/>
  <c r="J28" i="13" s="1"/>
  <c r="BH5" i="13"/>
  <c r="BH6" i="13"/>
  <c r="G23" i="20"/>
  <c r="J23" i="20" s="1"/>
  <c r="K3" i="13"/>
  <c r="BI4" i="13"/>
  <c r="G64" i="21" l="1"/>
  <c r="A66" i="21"/>
  <c r="E65" i="21"/>
  <c r="F65" i="21"/>
  <c r="G57" i="8"/>
  <c r="A59" i="8"/>
  <c r="E58" i="8"/>
  <c r="F58" i="8"/>
  <c r="BH7" i="13"/>
  <c r="BH8" i="13" s="1"/>
  <c r="BG12" i="13"/>
  <c r="BG11" i="13"/>
  <c r="BG10" i="13"/>
  <c r="BH13" i="13"/>
  <c r="BH14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A60" i="8"/>
  <c r="E59" i="8"/>
  <c r="F59" i="8"/>
  <c r="G65" i="21"/>
  <c r="A67" i="21"/>
  <c r="E66" i="21"/>
  <c r="F66" i="21"/>
  <c r="BH12" i="13"/>
  <c r="BH11" i="13"/>
  <c r="BH10" i="13"/>
  <c r="BI7" i="13"/>
  <c r="BI8" i="13" s="1"/>
  <c r="BI14" i="13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G44" i="20"/>
  <c r="J44" i="20" s="1"/>
  <c r="M3" i="13"/>
  <c r="BK4" i="13"/>
  <c r="G59" i="8" l="1"/>
  <c r="G66" i="21"/>
  <c r="A68" i="21"/>
  <c r="E67" i="21"/>
  <c r="G67" i="21" s="1"/>
  <c r="F67" i="21"/>
  <c r="A61" i="8"/>
  <c r="E60" i="8"/>
  <c r="F60" i="8"/>
  <c r="BJ7" i="13"/>
  <c r="BI12" i="13"/>
  <c r="BI11" i="13"/>
  <c r="BI10" i="13"/>
  <c r="BJ13" i="13"/>
  <c r="BJ14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E61" i="8"/>
  <c r="F61" i="8"/>
  <c r="A69" i="21"/>
  <c r="E68" i="21"/>
  <c r="F68" i="21"/>
  <c r="G35" i="20"/>
  <c r="BJ8" i="13"/>
  <c r="BJ12" i="13" s="1"/>
  <c r="BK7" i="13"/>
  <c r="BK8" i="13" s="1"/>
  <c r="BK14" i="13"/>
  <c r="BK15" i="13"/>
  <c r="BK17" i="13" s="1"/>
  <c r="AD21" i="13"/>
  <c r="AD22" i="13"/>
  <c r="AD23" i="13"/>
  <c r="N27" i="13"/>
  <c r="N28" i="13" s="1"/>
  <c r="N25" i="13"/>
  <c r="BL5" i="13"/>
  <c r="BL6" i="13"/>
  <c r="G46" i="20"/>
  <c r="G17" i="20"/>
  <c r="G47" i="20"/>
  <c r="J47" i="20" s="1"/>
  <c r="O3" i="13"/>
  <c r="BM4" i="13"/>
  <c r="G61" i="8" l="1"/>
  <c r="G68" i="21"/>
  <c r="A70" i="21"/>
  <c r="E69" i="21"/>
  <c r="G69" i="21" s="1"/>
  <c r="F69" i="21"/>
  <c r="A63" i="8"/>
  <c r="E62" i="8"/>
  <c r="F62" i="8"/>
  <c r="G48" i="20"/>
  <c r="BJ11" i="13"/>
  <c r="BK11" i="13" s="1"/>
  <c r="BJ10" i="13"/>
  <c r="BK10" i="13" s="1"/>
  <c r="BK12" i="13"/>
  <c r="BL14" i="13"/>
  <c r="BL7" i="13"/>
  <c r="BL13" i="13"/>
  <c r="BL15" i="13"/>
  <c r="AE21" i="13"/>
  <c r="AE23" i="13"/>
  <c r="AE22" i="13"/>
  <c r="O27" i="13"/>
  <c r="O28" i="13" s="1"/>
  <c r="O25" i="13"/>
  <c r="BM5" i="13"/>
  <c r="BM14" i="13" s="1"/>
  <c r="BM6" i="13"/>
  <c r="P3" i="13"/>
  <c r="BN4" i="13"/>
  <c r="G62" i="8" l="1"/>
  <c r="A64" i="8"/>
  <c r="E63" i="8"/>
  <c r="F63" i="8"/>
  <c r="A71" i="21"/>
  <c r="E70" i="21"/>
  <c r="G70" i="21" s="1"/>
  <c r="F70" i="21"/>
  <c r="BL8" i="13"/>
  <c r="BL12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A65" i="8" l="1"/>
  <c r="E64" i="8"/>
  <c r="F64" i="8"/>
  <c r="A72" i="21"/>
  <c r="E71" i="21"/>
  <c r="G71" i="21" s="1"/>
  <c r="F71" i="21"/>
  <c r="G63" i="8"/>
  <c r="BL10" i="13"/>
  <c r="BM10" i="13" s="1"/>
  <c r="BL11" i="13"/>
  <c r="BM11" i="13" s="1"/>
  <c r="BN7" i="13"/>
  <c r="BM12" i="13"/>
  <c r="BN13" i="13"/>
  <c r="BN14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73" i="21"/>
  <c r="E72" i="21"/>
  <c r="F72" i="21"/>
  <c r="A66" i="8"/>
  <c r="E65" i="8"/>
  <c r="F65" i="8"/>
  <c r="BN8" i="13"/>
  <c r="BN11" i="13" s="1"/>
  <c r="BO7" i="13"/>
  <c r="BO13" i="13"/>
  <c r="BO14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E66" i="8"/>
  <c r="F66" i="8"/>
  <c r="G72" i="21"/>
  <c r="A74" i="21"/>
  <c r="E73" i="21"/>
  <c r="G73" i="21" s="1"/>
  <c r="F73" i="21"/>
  <c r="BN12" i="13"/>
  <c r="BN10" i="13"/>
  <c r="BO8" i="13"/>
  <c r="BP7" i="13"/>
  <c r="BP14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E74" i="21"/>
  <c r="G74" i="21" s="1"/>
  <c r="A75" i="21"/>
  <c r="F74" i="21"/>
  <c r="A68" i="8"/>
  <c r="E67" i="8"/>
  <c r="F67" i="8"/>
  <c r="BO10" i="13"/>
  <c r="BO12" i="13"/>
  <c r="BO11" i="13"/>
  <c r="BP8" i="13"/>
  <c r="BQ7" i="13"/>
  <c r="BQ13" i="13"/>
  <c r="BQ14" i="13"/>
  <c r="BQ15" i="13"/>
  <c r="AJ21" i="13"/>
  <c r="AJ22" i="13"/>
  <c r="AJ23" i="13"/>
  <c r="T27" i="13"/>
  <c r="T28" i="13" s="1"/>
  <c r="T25" i="13"/>
  <c r="BR5" i="13"/>
  <c r="BS14" i="13" s="1"/>
  <c r="BR6" i="13"/>
  <c r="BR15" i="13" s="1"/>
  <c r="BV17" i="13" s="1"/>
  <c r="U3" i="13"/>
  <c r="BS4" i="13"/>
  <c r="G67" i="8" l="1"/>
  <c r="A69" i="8"/>
  <c r="E68" i="8"/>
  <c r="F68" i="8"/>
  <c r="E75" i="21"/>
  <c r="A76" i="21"/>
  <c r="F75" i="21"/>
  <c r="BU17" i="13"/>
  <c r="BP10" i="13"/>
  <c r="BR13" i="13"/>
  <c r="BR14" i="13"/>
  <c r="BP12" i="13"/>
  <c r="BP11" i="13"/>
  <c r="BQ8" i="13"/>
  <c r="BR7" i="13"/>
  <c r="BR8" i="13" s="1"/>
  <c r="BS13" i="13"/>
  <c r="BQ17" i="13"/>
  <c r="BS17" i="13"/>
  <c r="BR17" i="13"/>
  <c r="BT17" i="13"/>
  <c r="U27" i="13"/>
  <c r="U28" i="13" s="1"/>
  <c r="U25" i="13"/>
  <c r="BS15" i="13"/>
  <c r="BW17" i="13" s="1"/>
  <c r="BS5" i="13"/>
  <c r="BS6" i="13"/>
  <c r="G38" i="20"/>
  <c r="G56" i="20"/>
  <c r="J56" i="20" s="1"/>
  <c r="G28" i="20"/>
  <c r="J28" i="20" s="1"/>
  <c r="V3" i="13"/>
  <c r="BT4" i="13"/>
  <c r="A70" i="8" l="1"/>
  <c r="E69" i="8"/>
  <c r="F69" i="8"/>
  <c r="G75" i="21"/>
  <c r="E76" i="21"/>
  <c r="G76" i="21" s="1"/>
  <c r="A77" i="21"/>
  <c r="F76" i="21"/>
  <c r="G68" i="8"/>
  <c r="BW8" i="13"/>
  <c r="BZ8" i="13"/>
  <c r="BV8" i="13"/>
  <c r="BY8" i="13"/>
  <c r="BT8" i="13"/>
  <c r="CA8" i="13"/>
  <c r="BU8" i="13"/>
  <c r="BX8" i="13"/>
  <c r="BQ12" i="13"/>
  <c r="BR12" i="13" s="1"/>
  <c r="BQ10" i="13"/>
  <c r="BR10" i="13" s="1"/>
  <c r="BQ11" i="13"/>
  <c r="BR11" i="13" s="1"/>
  <c r="BS7" i="13"/>
  <c r="CB8" i="13"/>
  <c r="BT13" i="13"/>
  <c r="BT14" i="13"/>
  <c r="BT15" i="13"/>
  <c r="BX17" i="13" s="1"/>
  <c r="V25" i="13"/>
  <c r="V27" i="13"/>
  <c r="V28" i="13" s="1"/>
  <c r="BT5" i="13"/>
  <c r="BT6" i="13"/>
  <c r="W3" i="13"/>
  <c r="BU4" i="13"/>
  <c r="G69" i="8" l="1"/>
  <c r="A78" i="21"/>
  <c r="E77" i="21"/>
  <c r="F77" i="21"/>
  <c r="A71" i="8"/>
  <c r="E70" i="8"/>
  <c r="F70" i="8"/>
  <c r="CC8" i="13"/>
  <c r="BS8" i="13"/>
  <c r="BS12" i="13" s="1"/>
  <c r="BT7" i="13"/>
  <c r="BU13" i="13"/>
  <c r="BU14" i="13"/>
  <c r="W27" i="13"/>
  <c r="W28" i="13" s="1"/>
  <c r="W25" i="13"/>
  <c r="BU15" i="13"/>
  <c r="BY17" i="13" s="1"/>
  <c r="BU5" i="13"/>
  <c r="BV14" i="13" s="1"/>
  <c r="BU6" i="13"/>
  <c r="G13" i="20"/>
  <c r="G18" i="20"/>
  <c r="J18" i="20" s="1"/>
  <c r="X3" i="13"/>
  <c r="BV4" i="13"/>
  <c r="G70" i="8" l="1"/>
  <c r="A72" i="8"/>
  <c r="E71" i="8"/>
  <c r="F71" i="8"/>
  <c r="G77" i="21"/>
  <c r="A79" i="21"/>
  <c r="E78" i="21"/>
  <c r="G78" i="21" s="1"/>
  <c r="F78" i="21"/>
  <c r="BS10" i="13"/>
  <c r="BT10" i="13" s="1"/>
  <c r="BS11" i="13"/>
  <c r="BT11" i="13" s="1"/>
  <c r="BU7" i="13"/>
  <c r="CE8" i="13" s="1"/>
  <c r="CD8" i="13"/>
  <c r="BT12" i="13"/>
  <c r="BV15" i="13"/>
  <c r="BZ17" i="13" s="1"/>
  <c r="BV13" i="13"/>
  <c r="X27" i="13"/>
  <c r="X28" i="13" s="1"/>
  <c r="X25" i="13"/>
  <c r="BV5" i="13"/>
  <c r="BV6" i="13"/>
  <c r="G21" i="20"/>
  <c r="G36" i="20"/>
  <c r="Y3" i="13"/>
  <c r="BW4" i="13"/>
  <c r="A80" i="21" l="1"/>
  <c r="E79" i="21"/>
  <c r="F79" i="21"/>
  <c r="G71" i="8"/>
  <c r="G55" i="20" s="1"/>
  <c r="J55" i="20" s="1"/>
  <c r="A73" i="8"/>
  <c r="E72" i="8"/>
  <c r="F72" i="8"/>
  <c r="G42" i="20"/>
  <c r="J42" i="20" s="1"/>
  <c r="BU11" i="13"/>
  <c r="BV11" i="13" s="1"/>
  <c r="BW11" i="13" s="1"/>
  <c r="BX11" i="13" s="1"/>
  <c r="BY11" i="13" s="1"/>
  <c r="BZ11" i="13" s="1"/>
  <c r="CA11" i="13" s="1"/>
  <c r="CB11" i="13" s="1"/>
  <c r="CC11" i="13" s="1"/>
  <c r="CD11" i="13" s="1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BW14" i="13"/>
  <c r="BV7" i="13"/>
  <c r="CF8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E80" i="21" l="1"/>
  <c r="A81" i="21"/>
  <c r="F80" i="21"/>
  <c r="A74" i="8"/>
  <c r="E73" i="8"/>
  <c r="F73" i="8"/>
  <c r="G72" i="8"/>
  <c r="G51" i="20" s="1"/>
  <c r="J51" i="20" s="1"/>
  <c r="G79" i="21"/>
  <c r="CE12" i="13"/>
  <c r="CE11" i="13"/>
  <c r="CE10" i="13"/>
  <c r="BX14" i="13"/>
  <c r="BW7" i="13"/>
  <c r="CG8" i="13" s="1"/>
  <c r="BX15" i="13"/>
  <c r="CB17" i="13" s="1"/>
  <c r="BX13" i="13"/>
  <c r="G34" i="20"/>
  <c r="Z25" i="13"/>
  <c r="Z27" i="13"/>
  <c r="Z28" i="13" s="1"/>
  <c r="BX5" i="13"/>
  <c r="BX6" i="13"/>
  <c r="G54" i="20"/>
  <c r="G52" i="20"/>
  <c r="AA3" i="13"/>
  <c r="BY4" i="13"/>
  <c r="G73" i="8" l="1"/>
  <c r="A75" i="8"/>
  <c r="E74" i="8"/>
  <c r="F74" i="8"/>
  <c r="E81" i="21"/>
  <c r="A82" i="21"/>
  <c r="F81" i="21"/>
  <c r="G80" i="21"/>
  <c r="CF10" i="13"/>
  <c r="CF11" i="13"/>
  <c r="CF12" i="13"/>
  <c r="BY14" i="13"/>
  <c r="BX7" i="13"/>
  <c r="CH8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E82" i="21"/>
  <c r="A83" i="21"/>
  <c r="F82" i="21"/>
  <c r="G81" i="21"/>
  <c r="A76" i="8"/>
  <c r="E75" i="8"/>
  <c r="F75" i="8"/>
  <c r="CG10" i="13"/>
  <c r="CG12" i="13"/>
  <c r="CG11" i="13"/>
  <c r="CH11" i="13" s="1"/>
  <c r="BZ14" i="13"/>
  <c r="BY7" i="13"/>
  <c r="CI8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E76" i="8"/>
  <c r="A77" i="8"/>
  <c r="F76" i="8"/>
  <c r="E83" i="21"/>
  <c r="A84" i="21"/>
  <c r="F83" i="21"/>
  <c r="G82" i="21"/>
  <c r="CH10" i="13"/>
  <c r="CH12" i="13"/>
  <c r="CI12" i="13" s="1"/>
  <c r="CA14" i="13"/>
  <c r="BZ7" i="13"/>
  <c r="CJ8" i="13" s="1"/>
  <c r="CA15" i="13"/>
  <c r="CE17" i="13" s="1"/>
  <c r="CA13" i="13"/>
  <c r="AC27" i="13"/>
  <c r="AC28" i="13" s="1"/>
  <c r="AC25" i="13"/>
  <c r="CA5" i="13"/>
  <c r="CA6" i="13"/>
  <c r="G9" i="20"/>
  <c r="AD3" i="13"/>
  <c r="CB4" i="13"/>
  <c r="G76" i="8" l="1"/>
  <c r="E84" i="21"/>
  <c r="A85" i="21"/>
  <c r="F84" i="21"/>
  <c r="G83" i="21"/>
  <c r="E77" i="8"/>
  <c r="A78" i="8"/>
  <c r="F77" i="8"/>
  <c r="CI10" i="13"/>
  <c r="CI11" i="13"/>
  <c r="CB14" i="13"/>
  <c r="CA7" i="13"/>
  <c r="CK8" i="13" s="1"/>
  <c r="CB13" i="13"/>
  <c r="CB15" i="13"/>
  <c r="CF17" i="13" s="1"/>
  <c r="AD27" i="13"/>
  <c r="AD28" i="13" s="1"/>
  <c r="AD25" i="13"/>
  <c r="CB5" i="13"/>
  <c r="CB6" i="13"/>
  <c r="AE3" i="13"/>
  <c r="CC4" i="13"/>
  <c r="A79" i="8" l="1"/>
  <c r="E78" i="8"/>
  <c r="F78" i="8"/>
  <c r="G77" i="8"/>
  <c r="A86" i="21"/>
  <c r="E85" i="21"/>
  <c r="G85" i="21" s="1"/>
  <c r="F85" i="21"/>
  <c r="G84" i="21"/>
  <c r="CJ10" i="13"/>
  <c r="CJ11" i="13"/>
  <c r="CJ12" i="13"/>
  <c r="CK12" i="13" s="1"/>
  <c r="CC14" i="13"/>
  <c r="CB7" i="13"/>
  <c r="CL8" i="13" s="1"/>
  <c r="CC13" i="13"/>
  <c r="AE27" i="13"/>
  <c r="AE28" i="13" s="1"/>
  <c r="AE25" i="13"/>
  <c r="CC15" i="13"/>
  <c r="CG17" i="13" s="1"/>
  <c r="CC5" i="13"/>
  <c r="CC6" i="13"/>
  <c r="AF3" i="13"/>
  <c r="CD4" i="13"/>
  <c r="A87" i="21" l="1"/>
  <c r="E86" i="21"/>
  <c r="F86" i="21"/>
  <c r="G78" i="8"/>
  <c r="A80" i="8"/>
  <c r="E79" i="8"/>
  <c r="F79" i="8"/>
  <c r="CK10" i="13"/>
  <c r="CK11" i="13"/>
  <c r="CD14" i="13"/>
  <c r="CC7" i="13"/>
  <c r="CM8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A81" i="8"/>
  <c r="E80" i="8"/>
  <c r="F80" i="8"/>
  <c r="G86" i="21"/>
  <c r="A88" i="21"/>
  <c r="E87" i="21"/>
  <c r="F87" i="21"/>
  <c r="CL10" i="13"/>
  <c r="CL11" i="13"/>
  <c r="CL12" i="13"/>
  <c r="CE14" i="13"/>
  <c r="CD7" i="13"/>
  <c r="CN8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G87" i="21"/>
  <c r="E88" i="21"/>
  <c r="A89" i="21"/>
  <c r="F88" i="21"/>
  <c r="A82" i="8"/>
  <c r="E81" i="8"/>
  <c r="F81" i="8"/>
  <c r="CM10" i="13"/>
  <c r="CM11" i="13"/>
  <c r="CM12" i="13"/>
  <c r="CN12" i="13" s="1"/>
  <c r="CF14" i="13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A90" i="2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89" i="21"/>
  <c r="G89" i="21" s="1"/>
  <c r="F89" i="21"/>
  <c r="G88" i="21"/>
  <c r="CN10" i="13"/>
  <c r="CO8" i="13"/>
  <c r="CN11" i="13"/>
  <c r="CG14" i="13"/>
  <c r="CF7" i="13"/>
  <c r="CG13" i="13"/>
  <c r="CG15" i="13"/>
  <c r="CK17" i="13" s="1"/>
  <c r="AI27" i="13"/>
  <c r="AI28" i="13" s="1"/>
  <c r="AI25" i="13"/>
  <c r="CG5" i="13"/>
  <c r="CG6" i="13"/>
  <c r="G19" i="20"/>
  <c r="J19" i="20" s="1"/>
  <c r="AJ3" i="13"/>
  <c r="CH4" i="13"/>
  <c r="G82" i="8" l="1"/>
  <c r="A84" i="8"/>
  <c r="E83" i="8"/>
  <c r="F83" i="8"/>
  <c r="CO10" i="13"/>
  <c r="CP8" i="13"/>
  <c r="CO11" i="13"/>
  <c r="CO12" i="13"/>
  <c r="CH14" i="13"/>
  <c r="CG7" i="13"/>
  <c r="CH13" i="13"/>
  <c r="CH15" i="13"/>
  <c r="CL17" i="13" s="1"/>
  <c r="AJ27" i="13"/>
  <c r="AJ28" i="13" s="1"/>
  <c r="AJ25" i="13"/>
  <c r="CH5" i="13"/>
  <c r="CH6" i="13"/>
  <c r="AK3" i="13"/>
  <c r="CI4" i="13"/>
  <c r="G83" i="8" l="1"/>
  <c r="A85" i="8"/>
  <c r="E84" i="8"/>
  <c r="F84" i="8"/>
  <c r="CP12" i="13"/>
  <c r="CP10" i="13"/>
  <c r="CQ8" i="13"/>
  <c r="CP11" i="13"/>
  <c r="CI14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A86" i="8"/>
  <c r="E85" i="8"/>
  <c r="F85" i="8"/>
  <c r="CQ11" i="13"/>
  <c r="CQ10" i="13"/>
  <c r="CR8" i="13"/>
  <c r="CQ12" i="13"/>
  <c r="CJ14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A87" i="8"/>
  <c r="E86" i="8"/>
  <c r="F86" i="8"/>
  <c r="CR10" i="13"/>
  <c r="CS8" i="13"/>
  <c r="CR11" i="13"/>
  <c r="CR12" i="13"/>
  <c r="CK14" i="13"/>
  <c r="CJ7" i="13"/>
  <c r="CK13" i="13"/>
  <c r="CK15" i="13"/>
  <c r="CO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S10" i="13"/>
  <c r="CT8" i="13"/>
  <c r="CS12" i="13"/>
  <c r="CS11" i="13"/>
  <c r="CL14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E88" i="8"/>
  <c r="F88" i="8"/>
  <c r="CT10" i="13"/>
  <c r="CU8" i="13"/>
  <c r="CT11" i="13"/>
  <c r="CT12" i="13"/>
  <c r="CM14" i="13"/>
  <c r="CL7" i="13"/>
  <c r="CV8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89" i="8"/>
  <c r="F89" i="8"/>
  <c r="CU12" i="13"/>
  <c r="CV12" i="13" s="1"/>
  <c r="CU10" i="13"/>
  <c r="CU11" i="13"/>
  <c r="CV11" i="13" s="1"/>
  <c r="CN14" i="13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CV10" i="13"/>
  <c r="CW8" i="13"/>
  <c r="CO14" i="13"/>
  <c r="CN7" i="13"/>
  <c r="CO13" i="13"/>
  <c r="CO15" i="13"/>
  <c r="CS17" i="13" s="1"/>
  <c r="AQ27" i="13"/>
  <c r="AQ28" i="13" s="1"/>
  <c r="AQ25" i="13"/>
  <c r="CO5" i="13"/>
  <c r="CO6" i="13"/>
  <c r="AR3" i="13"/>
  <c r="CP4" i="13"/>
  <c r="CW10" i="13" l="1"/>
  <c r="CX8" i="13"/>
  <c r="CW12" i="13"/>
  <c r="CW11" i="13"/>
  <c r="CP14" i="13"/>
  <c r="CO7" i="13"/>
  <c r="CP15" i="13"/>
  <c r="CT17" i="13" s="1"/>
  <c r="CP13" i="13"/>
  <c r="AR27" i="13"/>
  <c r="AR28" i="13" s="1"/>
  <c r="AR25" i="13"/>
  <c r="CP5" i="13"/>
  <c r="CP6" i="13"/>
  <c r="AS3" i="13"/>
  <c r="CQ4" i="13"/>
  <c r="CX11" i="13" l="1"/>
  <c r="CX10" i="13"/>
  <c r="CY8" i="13"/>
  <c r="CX12" i="13"/>
  <c r="CQ14" i="13"/>
  <c r="CP7" i="13"/>
  <c r="CQ13" i="13"/>
  <c r="CQ15" i="13"/>
  <c r="CU17" i="13" s="1"/>
  <c r="AS27" i="13"/>
  <c r="AS28" i="13" s="1"/>
  <c r="AS25" i="13"/>
  <c r="CQ5" i="13"/>
  <c r="CQ6" i="13"/>
  <c r="AT3" i="13"/>
  <c r="CR4" i="13"/>
  <c r="CY10" i="13" l="1"/>
  <c r="CZ8" i="13"/>
  <c r="CY12" i="13"/>
  <c r="CY11" i="13"/>
  <c r="CR14" i="13"/>
  <c r="CQ7" i="13"/>
  <c r="CR13" i="13"/>
  <c r="AT27" i="13"/>
  <c r="AT28" i="13" s="1"/>
  <c r="AT25" i="13"/>
  <c r="CR15" i="13"/>
  <c r="CV17" i="13" s="1"/>
  <c r="CR5" i="13"/>
  <c r="CR6" i="13"/>
  <c r="AU3" i="13"/>
  <c r="CS4" i="13"/>
  <c r="CZ10" i="13" l="1"/>
  <c r="DA8" i="13"/>
  <c r="CZ11" i="13"/>
  <c r="CZ12" i="13"/>
  <c r="CS14" i="13"/>
  <c r="CR7" i="13"/>
  <c r="CS13" i="13"/>
  <c r="CS15" i="13"/>
  <c r="CW17" i="13" s="1"/>
  <c r="AU27" i="13"/>
  <c r="AU28" i="13" s="1"/>
  <c r="AU25" i="13"/>
  <c r="CS5" i="13"/>
  <c r="CS6" i="13"/>
  <c r="AV3" i="13"/>
  <c r="CT4" i="13"/>
  <c r="DA12" i="13" l="1"/>
  <c r="DA10" i="13"/>
  <c r="DB8" i="13"/>
  <c r="DA11" i="13"/>
  <c r="CT14" i="13"/>
  <c r="CS7" i="13"/>
  <c r="CT15" i="13"/>
  <c r="CX17" i="13" s="1"/>
  <c r="CT13" i="13"/>
  <c r="AV27" i="13"/>
  <c r="AV28" i="13" s="1"/>
  <c r="AV25" i="13"/>
  <c r="CT5" i="13"/>
  <c r="CT6" i="13"/>
  <c r="AW3" i="13"/>
  <c r="CU4" i="13"/>
  <c r="DB10" i="13" l="1"/>
  <c r="DC8" i="13"/>
  <c r="DB11" i="13"/>
  <c r="DB12" i="13"/>
  <c r="CU14" i="13"/>
  <c r="CT7" i="13"/>
  <c r="DD8" i="13" s="1"/>
  <c r="CU13" i="13"/>
  <c r="CU15" i="13"/>
  <c r="CY17" i="13" s="1"/>
  <c r="AW27" i="13"/>
  <c r="AW28" i="13" s="1"/>
  <c r="AW25" i="13"/>
  <c r="CU5" i="13"/>
  <c r="CU6" i="13"/>
  <c r="AX3" i="13"/>
  <c r="CV4" i="13"/>
  <c r="DC12" i="13" l="1"/>
  <c r="DC10" i="13"/>
  <c r="DC11" i="13"/>
  <c r="CV14" i="13"/>
  <c r="CU7" i="13"/>
  <c r="CV13" i="13"/>
  <c r="CV15" i="13"/>
  <c r="CZ17" i="13" s="1"/>
  <c r="AX25" i="13"/>
  <c r="AX27" i="13"/>
  <c r="AX28" i="13" s="1"/>
  <c r="CV5" i="13"/>
  <c r="CV6" i="13"/>
  <c r="AY3" i="13"/>
  <c r="CW4" i="13"/>
  <c r="DD12" i="13" l="1"/>
  <c r="DE8" i="13"/>
  <c r="DD10" i="13"/>
  <c r="DD11" i="13"/>
  <c r="CW14" i="13"/>
  <c r="CV7" i="13"/>
  <c r="DF8" i="13" s="1"/>
  <c r="CW15" i="13"/>
  <c r="DA17" i="13" s="1"/>
  <c r="CW13" i="13"/>
  <c r="AY27" i="13"/>
  <c r="AY28" i="13" s="1"/>
  <c r="AY25" i="13"/>
  <c r="CW5" i="13"/>
  <c r="CW6" i="13"/>
  <c r="AZ3" i="13"/>
  <c r="CX4" i="13"/>
  <c r="DE11" i="13" l="1"/>
  <c r="DE12" i="13"/>
  <c r="DE10" i="13"/>
  <c r="DF10" i="13" s="1"/>
  <c r="CX14" i="13"/>
  <c r="CW7" i="13"/>
  <c r="CX13" i="13"/>
  <c r="CX15" i="13"/>
  <c r="DB17" i="13" s="1"/>
  <c r="AZ27" i="13"/>
  <c r="AZ28" i="13" s="1"/>
  <c r="AZ25" i="13"/>
  <c r="CX5" i="13"/>
  <c r="CX6" i="13"/>
  <c r="BA3" i="13"/>
  <c r="CY4" i="13"/>
  <c r="DF12" i="13" l="1"/>
  <c r="DG8" i="13"/>
  <c r="DF11" i="13"/>
  <c r="CY14" i="13"/>
  <c r="CX7" i="13"/>
  <c r="CY15" i="13"/>
  <c r="DC17" i="13" s="1"/>
  <c r="CY13" i="13"/>
  <c r="BA27" i="13"/>
  <c r="BA28" i="13" s="1"/>
  <c r="BA25" i="13"/>
  <c r="CY5" i="13"/>
  <c r="CY6" i="13"/>
  <c r="BB3" i="13"/>
  <c r="CZ4" i="13"/>
  <c r="DG11" i="13" l="1"/>
  <c r="DG12" i="13"/>
  <c r="DH8" i="13"/>
  <c r="DG10" i="13"/>
  <c r="CZ14" i="13"/>
  <c r="CY7" i="13"/>
  <c r="CZ13" i="13"/>
  <c r="BB25" i="13"/>
  <c r="BB27" i="13"/>
  <c r="BB28" i="13" s="1"/>
  <c r="CZ15" i="13"/>
  <c r="DD17" i="13" s="1"/>
  <c r="CZ5" i="13"/>
  <c r="CZ6" i="13"/>
  <c r="BC3" i="13"/>
  <c r="DA4" i="13"/>
  <c r="DH10" i="13" l="1"/>
  <c r="DH12" i="13"/>
  <c r="DI8" i="13"/>
  <c r="DH11" i="13"/>
  <c r="DA14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I10" i="13"/>
  <c r="DI11" i="13"/>
  <c r="DJ11" i="13" s="1"/>
  <c r="DB14" i="13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J10" i="13"/>
  <c r="DC14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K10" i="13"/>
  <c r="DK11" i="13"/>
  <c r="DD14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E14" i="13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M10" i="13"/>
  <c r="DM11" i="13"/>
  <c r="DN11" i="13" s="1"/>
  <c r="DF14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2" i="13" l="1"/>
  <c r="DO8" i="13"/>
  <c r="DN10" i="13"/>
  <c r="DG14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O10" i="13"/>
  <c r="DO11" i="13"/>
  <c r="DH14" i="13"/>
  <c r="DG7" i="13"/>
  <c r="DQ8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I14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J14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R10" i="13"/>
  <c r="DR12" i="13"/>
  <c r="DK14" i="13"/>
  <c r="DJ7" i="13"/>
  <c r="DT8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L14" i="13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T12" i="13"/>
  <c r="DM14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U12" i="13"/>
  <c r="DU10" i="13"/>
  <c r="DN14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V10" i="13"/>
  <c r="DV12" i="13"/>
  <c r="DW12" i="13" s="1"/>
  <c r="DO14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1" i="13" l="1"/>
  <c r="DX8" i="13"/>
  <c r="DW10" i="13"/>
  <c r="DP14" i="13"/>
  <c r="DT16" i="13" s="1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X12" i="13"/>
  <c r="DQ14" i="13"/>
  <c r="DU16" i="13" s="1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DY10" i="13"/>
  <c r="DR14" i="13"/>
  <c r="DV16" i="13" s="1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DZ10" i="13"/>
  <c r="DZ12" i="13"/>
  <c r="DS14" i="13"/>
  <c r="DW16" i="13" s="1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A10" i="13"/>
  <c r="DT14" i="13"/>
  <c r="DX16" i="13" s="1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B10" i="13"/>
  <c r="EB12" i="13"/>
  <c r="DU14" i="13"/>
  <c r="DY16" i="13" s="1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2" i="13" l="1"/>
  <c r="EC11" i="13"/>
  <c r="ED8" i="13"/>
  <c r="EC10" i="13"/>
  <c r="DV14" i="13"/>
  <c r="DZ16" i="13" s="1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D12" i="13"/>
  <c r="DW14" i="13"/>
  <c r="EA16" i="13" s="1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E12" i="13"/>
  <c r="EE10" i="13"/>
  <c r="DX14" i="13"/>
  <c r="EB16" i="13" s="1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F10" i="13"/>
  <c r="EF12" i="13"/>
  <c r="DY14" i="13"/>
  <c r="EC16" i="13" s="1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G12" i="13"/>
  <c r="EG10" i="13"/>
  <c r="DZ14" i="13"/>
  <c r="ED16" i="13" s="1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H10" i="13"/>
  <c r="EH12" i="13"/>
  <c r="EA14" i="13"/>
  <c r="EE16" i="13" s="1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I12" i="13"/>
  <c r="EI10" i="13"/>
  <c r="EB14" i="13"/>
  <c r="EF16" i="13" s="1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J10" i="13"/>
  <c r="EJ12" i="13"/>
  <c r="EC14" i="13"/>
  <c r="EG16" i="13" s="1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K12" i="13"/>
  <c r="EK10" i="13"/>
  <c r="ED14" i="13"/>
  <c r="EH16" i="13" s="1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L10" i="13"/>
  <c r="EL12" i="13"/>
  <c r="EE14" i="13"/>
  <c r="EI16" i="13" s="1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M12" i="13"/>
  <c r="EM10" i="13"/>
  <c r="EF14" i="13"/>
  <c r="EJ16" i="13" s="1"/>
  <c r="EE7" i="13"/>
  <c r="EF15" i="13"/>
  <c r="EJ17" i="13" s="1"/>
  <c r="EF13" i="13"/>
  <c r="CH25" i="13"/>
  <c r="CH27" i="13"/>
  <c r="CH28" i="13" s="1"/>
  <c r="DC16" i="13"/>
  <c r="EF5" i="13"/>
  <c r="EF6" i="13"/>
  <c r="G8" i="20"/>
  <c r="J8" i="20" s="1"/>
  <c r="G37" i="20"/>
  <c r="J37" i="20" s="1"/>
  <c r="CI3" i="13"/>
  <c r="EG4" i="13"/>
  <c r="EN11" i="13" l="1"/>
  <c r="EO8" i="13"/>
  <c r="EN10" i="13"/>
  <c r="EN12" i="13"/>
  <c r="EG14" i="13"/>
  <c r="EK16" i="13" s="1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O12" i="13"/>
  <c r="EO10" i="13"/>
  <c r="EH14" i="13"/>
  <c r="EL16" i="13" s="1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P10" i="13"/>
  <c r="EP12" i="13"/>
  <c r="EI14" i="13"/>
  <c r="EM16" i="13" s="1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Q10" i="13"/>
  <c r="EJ14" i="13"/>
  <c r="EN16" i="13" s="1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R12" i="13"/>
  <c r="ER10" i="13"/>
  <c r="EK14" i="13"/>
  <c r="EO16" i="13" s="1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S12" i="13"/>
  <c r="EL14" i="13"/>
  <c r="EP16" i="13" s="1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T12" i="13"/>
  <c r="ET10" i="13"/>
  <c r="EM14" i="13"/>
  <c r="EQ16" i="13" s="1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U10" i="13"/>
  <c r="EU12" i="13"/>
  <c r="EN14" i="13"/>
  <c r="ER16" i="13" s="1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V12" i="13"/>
  <c r="EV10" i="13"/>
  <c r="EO14" i="13"/>
  <c r="ES16" i="13" s="1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W10" i="13"/>
  <c r="EW12" i="13"/>
  <c r="EP14" i="13"/>
  <c r="ET16" i="13" s="1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X12" i="13"/>
  <c r="EX10" i="13"/>
  <c r="EQ14" i="13"/>
  <c r="EU16" i="13" s="1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EY10" i="13"/>
  <c r="EY12" i="13"/>
  <c r="ER14" i="13"/>
  <c r="EV16" i="13" s="1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EZ12" i="13"/>
  <c r="EZ10" i="13"/>
  <c r="ES14" i="13"/>
  <c r="EW16" i="13" s="1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A10" i="13"/>
  <c r="FA12" i="13"/>
  <c r="ET14" i="13"/>
  <c r="EX16" i="13" s="1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B12" i="13"/>
  <c r="FB10" i="13"/>
  <c r="EU14" i="13"/>
  <c r="EY16" i="13" s="1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C10" i="13"/>
  <c r="FC12" i="13"/>
  <c r="EV14" i="13"/>
  <c r="EZ16" i="13" s="1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D12" i="13"/>
  <c r="FD10" i="13"/>
  <c r="EW14" i="13"/>
  <c r="FA16" i="13" s="1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E10" i="13"/>
  <c r="FE12" i="13"/>
  <c r="EX14" i="13"/>
  <c r="FB16" i="13" s="1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F12" i="13"/>
  <c r="FF10" i="13"/>
  <c r="EY14" i="13"/>
  <c r="FC16" i="13" s="1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G10" i="13"/>
  <c r="FG12" i="13"/>
  <c r="EZ14" i="13"/>
  <c r="FD16" i="13" s="1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H12" i="13"/>
  <c r="FH10" i="13"/>
  <c r="FA14" i="13"/>
  <c r="FE16" i="13" s="1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I10" i="13"/>
  <c r="FI12" i="13"/>
  <c r="FB14" i="13"/>
  <c r="FF16" i="13" s="1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J12" i="13"/>
  <c r="FJ10" i="13"/>
  <c r="FC14" i="13"/>
  <c r="FG16" i="13" s="1"/>
  <c r="FB7" i="13"/>
  <c r="FL8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D14" i="13"/>
  <c r="FH16" i="13" s="1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L12" i="13"/>
  <c r="FL10" i="13"/>
  <c r="FE14" i="13"/>
  <c r="FI16" i="13" s="1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M10" i="13"/>
  <c r="FM12" i="13"/>
  <c r="FF14" i="13"/>
  <c r="FJ16" i="13" s="1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N12" i="13"/>
  <c r="FN10" i="13"/>
  <c r="FG14" i="13"/>
  <c r="FK16" i="13" s="1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O10" i="13"/>
  <c r="FO12" i="13"/>
  <c r="FH14" i="13"/>
  <c r="FL16" i="13" s="1"/>
  <c r="FG7" i="13"/>
  <c r="FQ8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0" i="13" l="1"/>
  <c r="FP12" i="13"/>
  <c r="FP11" i="13"/>
  <c r="FI14" i="13"/>
  <c r="FM16" i="13" s="1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Q10" i="13"/>
  <c r="FQ12" i="13"/>
  <c r="FJ14" i="13"/>
  <c r="FN16" i="13" s="1"/>
  <c r="FI7" i="13"/>
  <c r="FS8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K14" i="13"/>
  <c r="FO16" i="13" s="1"/>
  <c r="FJ7" i="13"/>
  <c r="FT8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L14" i="13"/>
  <c r="FP16" i="13" s="1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T12" i="13"/>
  <c r="FT10" i="13"/>
  <c r="FM14" i="13"/>
  <c r="FQ16" i="13" s="1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U10" i="13"/>
  <c r="FU12" i="13"/>
  <c r="FN14" i="13"/>
  <c r="FR16" i="13" s="1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V12" i="13"/>
  <c r="FV10" i="13"/>
  <c r="FO14" i="13"/>
  <c r="FS16" i="13" s="1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W10" i="13"/>
  <c r="FW12" i="13"/>
  <c r="FP14" i="13"/>
  <c r="FT16" i="13" s="1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X12" i="13"/>
  <c r="FX10" i="13"/>
  <c r="FQ14" i="13"/>
  <c r="FU16" i="13" s="1"/>
  <c r="FP7" i="13"/>
  <c r="FQ15" i="13"/>
  <c r="FU17" i="13" s="1"/>
  <c r="FQ13" i="13"/>
  <c r="DS27" i="13"/>
  <c r="DS28" i="13" s="1"/>
  <c r="DS25" i="13"/>
  <c r="BR16" i="13"/>
  <c r="FQ5" i="13"/>
  <c r="FQ6" i="13"/>
  <c r="DT3" i="13"/>
  <c r="FR4" i="13"/>
  <c r="FY11" i="13" l="1"/>
  <c r="FZ8" i="13"/>
  <c r="FY10" i="13"/>
  <c r="FY12" i="13"/>
  <c r="FR14" i="13"/>
  <c r="FV16" i="13" s="1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FZ12" i="13"/>
  <c r="FZ10" i="13"/>
  <c r="FS14" i="13"/>
  <c r="FW16" i="13" s="1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A10" i="13"/>
  <c r="GA12" i="13"/>
  <c r="FT14" i="13"/>
  <c r="FX16" i="13" s="1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B12" i="13"/>
  <c r="GB10" i="13"/>
  <c r="FU14" i="13"/>
  <c r="FY16" i="13" s="1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C10" i="13"/>
  <c r="GC12" i="13"/>
  <c r="FV14" i="13"/>
  <c r="FZ16" i="13" s="1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D12" i="13"/>
  <c r="GD10" i="13"/>
  <c r="FW14" i="13"/>
  <c r="GA16" i="13" s="1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E10" i="13"/>
  <c r="GE12" i="13"/>
  <c r="FX14" i="13"/>
  <c r="GB16" i="13" s="1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F12" i="13"/>
  <c r="GF10" i="13"/>
  <c r="FY14" i="13"/>
  <c r="GC16" i="13" s="1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G10" i="13"/>
  <c r="GG12" i="13"/>
  <c r="FZ14" i="13"/>
  <c r="GD16" i="13" s="1"/>
  <c r="FY7" i="13"/>
  <c r="GI8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A14" i="13"/>
  <c r="GE16" i="13" s="1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I10" i="13"/>
  <c r="GI12" i="13"/>
  <c r="GB14" i="13"/>
  <c r="GF16" i="13" s="1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J12" i="13"/>
  <c r="GJ10" i="13"/>
  <c r="GC14" i="13"/>
  <c r="GG16" i="13" s="1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K10" i="13"/>
  <c r="GD14" i="13"/>
  <c r="GH16" i="13" s="1"/>
  <c r="GC7" i="13"/>
  <c r="GD15" i="13"/>
  <c r="GH17" i="13" s="1"/>
  <c r="GD13" i="13"/>
  <c r="EF27" i="13"/>
  <c r="EF28" i="13" s="1"/>
  <c r="EF25" i="13"/>
  <c r="BE16" i="13"/>
  <c r="GD5" i="13"/>
  <c r="GD6" i="13"/>
  <c r="B126" i="14"/>
  <c r="EG3" i="13"/>
  <c r="GE4" i="13"/>
  <c r="GL11" i="13" l="1"/>
  <c r="GM8" i="13"/>
  <c r="GL12" i="13"/>
  <c r="GL10" i="13"/>
  <c r="GE14" i="13"/>
  <c r="GI16" i="13" s="1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M10" i="13"/>
  <c r="GM12" i="13"/>
  <c r="GF14" i="13"/>
  <c r="GJ16" i="13" s="1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N12" i="13"/>
  <c r="GN10" i="13"/>
  <c r="GG14" i="13"/>
  <c r="GK16" i="13" s="1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O10" i="13"/>
  <c r="GO12" i="13"/>
  <c r="GH14" i="13"/>
  <c r="GL16" i="13" s="1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P12" i="13"/>
  <c r="GP10" i="13"/>
  <c r="GI14" i="13"/>
  <c r="GM16" i="13" s="1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Q10" i="13"/>
  <c r="GQ12" i="13"/>
  <c r="GJ14" i="13"/>
  <c r="GN16" i="13" s="1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R12" i="13"/>
  <c r="GR10" i="13"/>
  <c r="GK14" i="13"/>
  <c r="GO16" i="13" s="1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S10" i="13"/>
  <c r="GS12" i="13"/>
  <c r="GL14" i="13"/>
  <c r="GP16" i="13" s="1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T12" i="13"/>
  <c r="GT10" i="13"/>
  <c r="GM14" i="13"/>
  <c r="GQ16" i="13" s="1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U10" i="13"/>
  <c r="GU12" i="13"/>
  <c r="GN14" i="13"/>
  <c r="GR16" i="13" s="1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V12" i="13"/>
  <c r="GV10" i="13"/>
  <c r="GO14" i="13"/>
  <c r="GS16" i="13" s="1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W12" i="13"/>
  <c r="GP14" i="13"/>
  <c r="GT16" i="13" s="1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X12" i="13"/>
  <c r="GX10" i="13"/>
  <c r="GQ14" i="13"/>
  <c r="GU16" i="13" s="1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GY10" i="13"/>
  <c r="GY12" i="13"/>
  <c r="GR14" i="13"/>
  <c r="GV16" i="13" s="1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GZ12" i="13"/>
  <c r="GZ10" i="13"/>
  <c r="GS14" i="13"/>
  <c r="GW16" i="13" s="1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A10" i="13"/>
  <c r="HA12" i="13"/>
  <c r="GT14" i="13"/>
  <c r="GX16" i="13" s="1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B12" i="13"/>
  <c r="HB10" i="13"/>
  <c r="GU14" i="13"/>
  <c r="GY16" i="13" s="1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C10" i="13"/>
  <c r="HC12" i="13"/>
  <c r="GV14" i="13"/>
  <c r="GZ16" i="13" s="1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D12" i="13"/>
  <c r="HD10" i="13"/>
  <c r="GW14" i="13"/>
  <c r="HA16" i="13" s="1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E10" i="13"/>
  <c r="HE12" i="13"/>
  <c r="GX14" i="13"/>
  <c r="HB16" i="13" s="1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F12" i="13"/>
  <c r="HF10" i="13"/>
  <c r="GY14" i="13"/>
  <c r="HC16" i="13" s="1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G12" i="13"/>
  <c r="HG10" i="13"/>
  <c r="GZ14" i="13"/>
  <c r="HD16" i="13" s="1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H10" i="13"/>
  <c r="HA14" i="13"/>
  <c r="HE16" i="13" s="1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I12" i="13"/>
  <c r="HI10" i="13"/>
  <c r="HB14" i="13"/>
  <c r="HF16" i="13" s="1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J10" i="13"/>
  <c r="HJ12" i="13"/>
  <c r="HC14" i="13"/>
  <c r="HG16" i="13" s="1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K12" i="13"/>
  <c r="HK10" i="13"/>
  <c r="HD14" i="13"/>
  <c r="HH16" i="13" s="1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L12" i="13"/>
  <c r="HE14" i="13"/>
  <c r="HI16" i="13" s="1"/>
  <c r="HD7" i="13"/>
  <c r="HE13" i="13"/>
  <c r="HE15" i="13"/>
  <c r="HI17" i="13" s="1"/>
  <c r="AD16" i="13"/>
  <c r="FG27" i="13"/>
  <c r="FG28" i="13" s="1"/>
  <c r="FG25" i="13"/>
  <c r="HE5" i="13"/>
  <c r="HE6" i="13"/>
  <c r="FH3" i="13"/>
  <c r="HF4" i="13"/>
  <c r="HM12" i="13" l="1"/>
  <c r="HM11" i="13"/>
  <c r="HN8" i="13"/>
  <c r="HM10" i="13"/>
  <c r="HF14" i="13"/>
  <c r="HJ16" i="13" s="1"/>
  <c r="HE7" i="13"/>
  <c r="HF15" i="13"/>
  <c r="HJ17" i="13" s="1"/>
  <c r="HF13" i="13"/>
  <c r="AC16" i="13"/>
  <c r="FH27" i="13"/>
  <c r="FH28" i="13" s="1"/>
  <c r="FH25" i="13"/>
  <c r="HF5" i="13"/>
  <c r="HF6" i="13"/>
  <c r="FI3" i="13"/>
  <c r="HG4" i="13"/>
  <c r="HN10" i="13" l="1"/>
  <c r="HN11" i="13"/>
  <c r="HO8" i="13"/>
  <c r="HN12" i="13"/>
  <c r="HO12" i="13" s="1"/>
  <c r="HG14" i="13"/>
  <c r="HK16" i="13" s="1"/>
  <c r="HF7" i="13"/>
  <c r="HG13" i="13"/>
  <c r="FI27" i="13"/>
  <c r="FI28" i="13" s="1"/>
  <c r="FI25" i="13"/>
  <c r="HG15" i="13"/>
  <c r="HK17" i="13" s="1"/>
  <c r="AB16" i="13"/>
  <c r="HG5" i="13"/>
  <c r="HG6" i="13"/>
  <c r="FJ3" i="13"/>
  <c r="HH4" i="13"/>
  <c r="HO11" i="13" l="1"/>
  <c r="HP8" i="13"/>
  <c r="HO10" i="13"/>
  <c r="HH14" i="13"/>
  <c r="HL16" i="13" s="1"/>
  <c r="HG7" i="13"/>
  <c r="HH13" i="13"/>
  <c r="HH15" i="13"/>
  <c r="HL17" i="13" s="1"/>
  <c r="FJ25" i="13"/>
  <c r="FJ27" i="13"/>
  <c r="FJ28" i="13" s="1"/>
  <c r="AA16" i="13"/>
  <c r="HH5" i="13"/>
  <c r="HH6" i="13"/>
  <c r="FK3" i="13"/>
  <c r="HI4" i="13"/>
  <c r="HP11" i="13" l="1"/>
  <c r="HQ8" i="13"/>
  <c r="HP10" i="13"/>
  <c r="HP12" i="13"/>
  <c r="HQ12" i="13" s="1"/>
  <c r="HI14" i="13"/>
  <c r="HM16" i="13" s="1"/>
  <c r="HH7" i="13"/>
  <c r="HI13" i="13"/>
  <c r="Z16" i="13"/>
  <c r="HI15" i="13"/>
  <c r="HM17" i="13" s="1"/>
  <c r="FK27" i="13"/>
  <c r="FK28" i="13" s="1"/>
  <c r="FK25" i="13"/>
  <c r="HI5" i="13"/>
  <c r="HI6" i="13"/>
  <c r="FL3" i="13"/>
  <c r="HJ4" i="13"/>
  <c r="HQ11" i="13" l="1"/>
  <c r="HR8" i="13"/>
  <c r="HQ10" i="13"/>
  <c r="HJ14" i="13"/>
  <c r="HN16" i="13" s="1"/>
  <c r="HI7" i="13"/>
  <c r="HJ13" i="13"/>
  <c r="FL27" i="13"/>
  <c r="FL28" i="13" s="1"/>
  <c r="FL25" i="13"/>
  <c r="Y16" i="13"/>
  <c r="HJ15" i="13"/>
  <c r="HN17" i="13" s="1"/>
  <c r="HJ5" i="13"/>
  <c r="HJ6" i="13"/>
  <c r="FM3" i="13"/>
  <c r="HK4" i="13"/>
  <c r="HR11" i="13" l="1"/>
  <c r="HS8" i="13"/>
  <c r="HR12" i="13"/>
  <c r="HR10" i="13"/>
  <c r="HK14" i="13"/>
  <c r="HO16" i="13" s="1"/>
  <c r="HJ7" i="13"/>
  <c r="HT8" i="13" s="1"/>
  <c r="HK13" i="13"/>
  <c r="HK15" i="13"/>
  <c r="HO17" i="13" s="1"/>
  <c r="FM27" i="13"/>
  <c r="FM28" i="13" s="1"/>
  <c r="FM25" i="13"/>
  <c r="X16" i="13"/>
  <c r="HK5" i="13"/>
  <c r="HK6" i="13"/>
  <c r="FN3" i="13"/>
  <c r="HL4" i="13"/>
  <c r="HS10" i="13" l="1"/>
  <c r="HS11" i="13"/>
  <c r="HS12" i="13"/>
  <c r="HL14" i="13"/>
  <c r="HP16" i="13" s="1"/>
  <c r="HK7" i="13"/>
  <c r="HL13" i="13"/>
  <c r="HL15" i="13"/>
  <c r="HP17" i="13" s="1"/>
  <c r="W16" i="13"/>
  <c r="FN25" i="13"/>
  <c r="FN27" i="13"/>
  <c r="FN28" i="13" s="1"/>
  <c r="HL5" i="13"/>
  <c r="HL6" i="13"/>
  <c r="FO3" i="13"/>
  <c r="HM4" i="13"/>
  <c r="HT11" i="13" l="1"/>
  <c r="HU8" i="13"/>
  <c r="HT12" i="13"/>
  <c r="HT10" i="13"/>
  <c r="HM14" i="13"/>
  <c r="HQ16" i="13" s="1"/>
  <c r="HL7" i="13"/>
  <c r="HM15" i="13"/>
  <c r="HQ17" i="13" s="1"/>
  <c r="HM13" i="13"/>
  <c r="V16" i="13"/>
  <c r="FO27" i="13"/>
  <c r="FO28" i="13" s="1"/>
  <c r="FO25" i="13"/>
  <c r="HM5" i="13"/>
  <c r="HM6" i="13"/>
  <c r="FP3" i="13"/>
  <c r="HN4" i="13"/>
  <c r="HU10" i="13" l="1"/>
  <c r="HU11" i="13"/>
  <c r="HV8" i="13"/>
  <c r="HU12" i="13"/>
  <c r="HN14" i="13"/>
  <c r="HR16" i="13" s="1"/>
  <c r="HM7" i="13"/>
  <c r="HN13" i="13"/>
  <c r="FP27" i="13"/>
  <c r="FP28" i="13" s="1"/>
  <c r="FP25" i="13"/>
  <c r="HN15" i="13"/>
  <c r="HR17" i="13" s="1"/>
  <c r="U16" i="13"/>
  <c r="HN5" i="13"/>
  <c r="HN6" i="13"/>
  <c r="FQ3" i="13"/>
  <c r="HO4" i="13"/>
  <c r="HV11" i="13" l="1"/>
  <c r="HW8" i="13"/>
  <c r="HV12" i="13"/>
  <c r="HV10" i="13"/>
  <c r="HO14" i="13"/>
  <c r="HS16" i="13" s="1"/>
  <c r="HN7" i="13"/>
  <c r="HO15" i="13"/>
  <c r="HS17" i="13" s="1"/>
  <c r="HO13" i="13"/>
  <c r="FQ27" i="13"/>
  <c r="FQ28" i="13" s="1"/>
  <c r="FQ25" i="13"/>
  <c r="T16" i="13"/>
  <c r="HO5" i="13"/>
  <c r="HO6" i="13"/>
  <c r="FR3" i="13"/>
  <c r="HP4" i="13"/>
  <c r="HW11" i="13" l="1"/>
  <c r="HX8" i="13"/>
  <c r="HW10" i="13"/>
  <c r="HW12" i="13"/>
  <c r="HP14" i="13"/>
  <c r="HT16" i="13" s="1"/>
  <c r="HO7" i="13"/>
  <c r="HP13" i="13"/>
  <c r="HP15" i="13"/>
  <c r="HT17" i="13" s="1"/>
  <c r="FR27" i="13"/>
  <c r="FR28" i="13" s="1"/>
  <c r="FR25" i="13"/>
  <c r="S16" i="13"/>
  <c r="HP5" i="13"/>
  <c r="HP6" i="13"/>
  <c r="FS3" i="13"/>
  <c r="HQ4" i="13"/>
  <c r="HX11" i="13" l="1"/>
  <c r="HY8" i="13"/>
  <c r="HX12" i="13"/>
  <c r="HX10" i="13"/>
  <c r="HQ14" i="13"/>
  <c r="HU16" i="13" s="1"/>
  <c r="HP7" i="13"/>
  <c r="HQ15" i="13"/>
  <c r="HU17" i="13" s="1"/>
  <c r="HQ13" i="13"/>
  <c r="FS27" i="13"/>
  <c r="FS28" i="13" s="1"/>
  <c r="FS25" i="13"/>
  <c r="R16" i="13"/>
  <c r="HQ5" i="13"/>
  <c r="HQ6" i="13"/>
  <c r="FT3" i="13"/>
  <c r="HR4" i="13"/>
  <c r="HY10" i="13" l="1"/>
  <c r="HY11" i="13"/>
  <c r="HZ8" i="13"/>
  <c r="HY12" i="13"/>
  <c r="HR14" i="13"/>
  <c r="HV16" i="13" s="1"/>
  <c r="HQ7" i="13"/>
  <c r="HR15" i="13"/>
  <c r="HV17" i="13" s="1"/>
  <c r="HR13" i="13"/>
  <c r="FT25" i="13"/>
  <c r="FT27" i="13"/>
  <c r="FT28" i="13" s="1"/>
  <c r="HR5" i="13"/>
  <c r="HR6" i="13"/>
  <c r="FU3" i="13"/>
  <c r="HS4" i="13"/>
  <c r="HZ11" i="13" l="1"/>
  <c r="IA8" i="13"/>
  <c r="HZ12" i="13"/>
  <c r="HZ10" i="13"/>
  <c r="HS14" i="13"/>
  <c r="HW16" i="13" s="1"/>
  <c r="HR7" i="13"/>
  <c r="HS13" i="13"/>
  <c r="FU27" i="13"/>
  <c r="FU28" i="13" s="1"/>
  <c r="FU25" i="13"/>
  <c r="HS15" i="13"/>
  <c r="HW17" i="13" s="1"/>
  <c r="P16" i="13"/>
  <c r="HS5" i="13"/>
  <c r="HS6" i="13"/>
  <c r="FV3" i="13"/>
  <c r="HT4" i="13"/>
  <c r="IA10" i="13" l="1"/>
  <c r="IA11" i="13"/>
  <c r="IB8" i="13"/>
  <c r="IA12" i="13"/>
  <c r="HT14" i="13"/>
  <c r="HX16" i="13" s="1"/>
  <c r="HS7" i="13"/>
  <c r="HT13" i="13"/>
  <c r="FV25" i="13"/>
  <c r="FV27" i="13"/>
  <c r="FV28" i="13" s="1"/>
  <c r="O16" i="13"/>
  <c r="HT15" i="13"/>
  <c r="HX17" i="13" s="1"/>
  <c r="HT5" i="13"/>
  <c r="HT6" i="13"/>
  <c r="FW3" i="13"/>
  <c r="HU4" i="13"/>
  <c r="IB12" i="13" l="1"/>
  <c r="IB11" i="13"/>
  <c r="IB10" i="13"/>
  <c r="IC8" i="13"/>
  <c r="HU14" i="13"/>
  <c r="HY16" i="13" s="1"/>
  <c r="HT7" i="13"/>
  <c r="HU13" i="13"/>
  <c r="HU15" i="13"/>
  <c r="HY17" i="13" s="1"/>
  <c r="FW27" i="13"/>
  <c r="FW28" i="13" s="1"/>
  <c r="FW25" i="13"/>
  <c r="N16" i="13"/>
  <c r="HU5" i="13"/>
  <c r="HU6" i="13"/>
  <c r="FX3" i="13"/>
  <c r="HV4" i="13"/>
  <c r="IC10" i="13" l="1"/>
  <c r="IC11" i="13"/>
  <c r="ID8" i="13"/>
  <c r="IC12" i="13"/>
  <c r="HV14" i="13"/>
  <c r="HZ16" i="13" s="1"/>
  <c r="HU7" i="13"/>
  <c r="HV13" i="13"/>
  <c r="HV15" i="13"/>
  <c r="HZ17" i="13" s="1"/>
  <c r="M16" i="13"/>
  <c r="FX27" i="13"/>
  <c r="FX28" i="13" s="1"/>
  <c r="FX25" i="13"/>
  <c r="HV5" i="13"/>
  <c r="HV6" i="13"/>
  <c r="FY3" i="13"/>
  <c r="HW4" i="13"/>
  <c r="ID12" i="13" l="1"/>
  <c r="ID11" i="13"/>
  <c r="IE8" i="13"/>
  <c r="ID10" i="13"/>
  <c r="HW14" i="13"/>
  <c r="IA16" i="13" s="1"/>
  <c r="HV7" i="13"/>
  <c r="HW15" i="13"/>
  <c r="IA17" i="13" s="1"/>
  <c r="HW13" i="13"/>
  <c r="FY27" i="13"/>
  <c r="FY28" i="13" s="1"/>
  <c r="FY25" i="13"/>
  <c r="L16" i="13"/>
  <c r="HW5" i="13"/>
  <c r="HW6" i="13"/>
  <c r="FZ3" i="13"/>
  <c r="HX4" i="13"/>
  <c r="IE10" i="13" l="1"/>
  <c r="IE11" i="13"/>
  <c r="IE12" i="13"/>
  <c r="IF8" i="13"/>
  <c r="HX14" i="13"/>
  <c r="IB16" i="13" s="1"/>
  <c r="HW7" i="13"/>
  <c r="HX13" i="13"/>
  <c r="HX15" i="13"/>
  <c r="IB17" i="13" s="1"/>
  <c r="FZ25" i="13"/>
  <c r="FZ27" i="13"/>
  <c r="FZ28" i="13" s="1"/>
  <c r="K16" i="13"/>
  <c r="J16" i="13"/>
  <c r="HX5" i="13"/>
  <c r="HX6" i="13"/>
  <c r="GA3" i="13"/>
  <c r="HY4" i="13"/>
  <c r="IF12" i="13" l="1"/>
  <c r="IG8" i="13"/>
  <c r="IF11" i="13"/>
  <c r="IF10" i="13"/>
  <c r="HY14" i="13"/>
  <c r="IC16" i="13" s="1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G10" i="13"/>
  <c r="IG11" i="13"/>
  <c r="HZ14" i="13"/>
  <c r="ID16" i="13" s="1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H11" i="13"/>
  <c r="IH10" i="13"/>
  <c r="IA14" i="13"/>
  <c r="IE16" i="13" s="1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I10" i="13"/>
  <c r="II11" i="13"/>
  <c r="IB14" i="13"/>
  <c r="IF16" i="13" s="1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J10" i="13"/>
  <c r="IC14" i="13"/>
  <c r="IG16" i="13" s="1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K10" i="13"/>
  <c r="IK11" i="13"/>
  <c r="ID14" i="13"/>
  <c r="IH16" i="13" s="1"/>
  <c r="IC7" i="13"/>
  <c r="IM8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E14" i="13"/>
  <c r="II16" i="13" s="1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F14" i="13"/>
  <c r="IJ16" i="13" s="1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G14" i="13"/>
  <c r="IK16" i="13" s="1"/>
  <c r="IF7" i="13"/>
  <c r="IG13" i="13"/>
  <c r="IG15" i="13"/>
  <c r="IK17" i="13" s="1"/>
  <c r="GI27" i="13"/>
  <c r="GI28" i="13" s="1"/>
  <c r="GI25" i="13"/>
  <c r="IG5" i="13"/>
  <c r="IG6" i="13"/>
  <c r="GJ3" i="13"/>
  <c r="IH4" i="13"/>
  <c r="IH14" i="13" l="1"/>
  <c r="IL16" i="13" s="1"/>
  <c r="IG7" i="13"/>
  <c r="IH15" i="13"/>
  <c r="IL17" i="13" s="1"/>
  <c r="IH13" i="13"/>
  <c r="GJ25" i="13"/>
  <c r="GJ27" i="13"/>
  <c r="GJ28" i="13" s="1"/>
  <c r="IH5" i="13"/>
  <c r="IH6" i="13"/>
  <c r="GK3" i="13"/>
  <c r="II4" i="13"/>
  <c r="II14" i="13" l="1"/>
  <c r="IM16" i="13" s="1"/>
  <c r="IH7" i="13"/>
  <c r="II13" i="13"/>
  <c r="II15" i="13"/>
  <c r="IM17" i="13" s="1"/>
  <c r="GK27" i="13"/>
  <c r="GK28" i="13" s="1"/>
  <c r="GK25" i="13"/>
  <c r="II5" i="13"/>
  <c r="II6" i="13"/>
  <c r="GL3" i="13"/>
  <c r="IJ4" i="13"/>
  <c r="IJ14" i="13" l="1"/>
  <c r="IN16" i="13" s="1"/>
  <c r="II7" i="13"/>
  <c r="IJ13" i="13"/>
  <c r="IJ15" i="13"/>
  <c r="IN17" i="13" s="1"/>
  <c r="GL25" i="13"/>
  <c r="GL27" i="13"/>
  <c r="GL28" i="13" s="1"/>
  <c r="IJ5" i="13"/>
  <c r="IJ6" i="13"/>
  <c r="GM3" i="13"/>
  <c r="IK4" i="13"/>
  <c r="IK14" i="13" l="1"/>
  <c r="IJ7" i="13"/>
  <c r="IK15" i="13"/>
  <c r="IK13" i="13"/>
  <c r="GM27" i="13"/>
  <c r="GM28" i="13" s="1"/>
  <c r="GM25" i="13"/>
  <c r="IK5" i="13"/>
  <c r="IK6" i="13"/>
  <c r="GN3" i="13"/>
  <c r="IL4" i="13"/>
  <c r="IL14" i="13" l="1"/>
  <c r="IK7" i="13"/>
  <c r="IL13" i="13"/>
  <c r="IL15" i="13"/>
  <c r="GN27" i="13"/>
  <c r="GN28" i="13" s="1"/>
  <c r="GN25" i="13"/>
  <c r="IL5" i="13"/>
  <c r="IL6" i="13"/>
  <c r="GO3" i="13"/>
  <c r="IM4" i="13"/>
  <c r="IM14" i="13" l="1"/>
  <c r="IL7" i="13"/>
  <c r="IM15" i="13"/>
  <c r="IM13" i="13"/>
  <c r="GO27" i="13"/>
  <c r="GO28" i="13" s="1"/>
  <c r="GO25" i="13"/>
  <c r="IM5" i="13"/>
  <c r="IM6" i="13"/>
  <c r="GP3" i="13"/>
  <c r="IN4" i="13"/>
  <c r="IN14" i="13" l="1"/>
  <c r="IM7" i="13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H15" i="13" l="1"/>
  <c r="G15" i="13" s="1"/>
  <c r="C11" i="13"/>
  <c r="C6" i="13"/>
  <c r="C7" i="13" s="1"/>
  <c r="L17" i="13"/>
  <c r="G9" i="13"/>
  <c r="G20" i="13" s="1"/>
  <c r="G26" i="13" s="1"/>
  <c r="GR27" i="13"/>
  <c r="GR28" i="13" s="1"/>
  <c r="GR25" i="13"/>
  <c r="GS3" i="13"/>
  <c r="C12" i="15" l="1"/>
  <c r="C38" i="15" s="1"/>
  <c r="J17" i="13"/>
  <c r="I17" i="13"/>
  <c r="G17" i="13"/>
  <c r="H17" i="13"/>
  <c r="K17" i="13"/>
  <c r="C27" i="13"/>
  <c r="C14" i="15"/>
  <c r="H9" i="13"/>
  <c r="C20" i="15"/>
  <c r="GS27" i="13"/>
  <c r="GS28" i="13" s="1"/>
  <c r="GS25" i="13"/>
  <c r="GT3" i="13"/>
  <c r="AK21" i="13" l="1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J9" i="13" l="1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9" i="20"/>
  <c r="D9" i="20"/>
  <c r="E9" i="20" s="1"/>
  <c r="M60" i="20"/>
  <c r="D60" i="20"/>
  <c r="E60" i="20" s="1"/>
  <c r="D10" i="20"/>
  <c r="E10" i="20" s="1"/>
  <c r="M10" i="20"/>
  <c r="D36" i="20"/>
  <c r="E36" i="20" s="1"/>
  <c r="M36" i="20"/>
  <c r="D52" i="20"/>
  <c r="E52" i="20" s="1"/>
  <c r="M52" i="20"/>
  <c r="M13" i="20"/>
  <c r="D13" i="20"/>
  <c r="E13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7" i="20"/>
  <c r="E17" i="20" s="1"/>
  <c r="M17" i="20"/>
  <c r="D22" i="20"/>
  <c r="E22" i="20" s="1"/>
  <c r="M22" i="20"/>
  <c r="M12" i="20"/>
  <c r="D12" i="20"/>
  <c r="E12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5" i="20"/>
  <c r="E5" i="20" s="1"/>
  <c r="M5" i="20"/>
  <c r="M34" i="20"/>
  <c r="D34" i="20"/>
  <c r="E34" i="20" s="1"/>
  <c r="D20" i="20"/>
  <c r="E20" i="20" s="1"/>
  <c r="M20" i="20"/>
  <c r="M49" i="20"/>
  <c r="D49" i="20"/>
  <c r="E49" i="20" s="1"/>
  <c r="M7" i="20"/>
  <c r="D7" i="20"/>
  <c r="E7" i="20" s="1"/>
  <c r="D48" i="20"/>
  <c r="E48" i="20" s="1"/>
  <c r="M48" i="20"/>
  <c r="M29" i="20"/>
  <c r="D29" i="20"/>
  <c r="E29" i="20" s="1"/>
  <c r="M61" i="20"/>
  <c r="D61" i="20"/>
  <c r="E61" i="20" s="1"/>
  <c r="D14" i="20"/>
  <c r="E14" i="20" s="1"/>
  <c r="M14" i="20"/>
  <c r="D54" i="20"/>
  <c r="E54" i="20" s="1"/>
  <c r="M54" i="20"/>
  <c r="M40" i="20"/>
  <c r="D40" i="20"/>
  <c r="E40" i="20" s="1"/>
  <c r="D11" i="20"/>
  <c r="E11" i="20" s="1"/>
  <c r="M11" i="20"/>
  <c r="BG20" i="13" l="1"/>
  <c r="BG26" i="13" s="1"/>
  <c r="BH9" i="13"/>
  <c r="CG22" i="13"/>
  <c r="CG21" i="13"/>
  <c r="CG23" i="13"/>
  <c r="J9" i="20"/>
  <c r="J32" i="20"/>
  <c r="J11" i="20"/>
  <c r="J59" i="20"/>
  <c r="J40" i="20"/>
  <c r="J35" i="20"/>
  <c r="J36" i="20"/>
  <c r="J58" i="20"/>
  <c r="J54" i="20"/>
  <c r="J13" i="20"/>
  <c r="J60" i="20"/>
  <c r="J22" i="20"/>
  <c r="J5" i="20"/>
  <c r="J57" i="20"/>
  <c r="J14" i="20"/>
  <c r="J21" i="20"/>
  <c r="J48" i="20"/>
  <c r="J17" i="20"/>
  <c r="J20" i="20"/>
  <c r="J38" i="20"/>
  <c r="J45" i="20"/>
  <c r="J7" i="20"/>
  <c r="J46" i="20"/>
  <c r="J61" i="20"/>
  <c r="J49" i="20"/>
  <c r="J52" i="20"/>
  <c r="J29" i="20"/>
  <c r="J41" i="20"/>
  <c r="J34" i="20"/>
  <c r="J31" i="20"/>
  <c r="J12" i="20"/>
  <c r="J27" i="20"/>
  <c r="J10" i="20"/>
  <c r="E62" i="20"/>
  <c r="J62" i="20" s="1"/>
  <c r="BH20" i="13" l="1"/>
  <c r="BH26" i="13" s="1"/>
  <c r="BI9" i="13"/>
  <c r="CH23" i="13"/>
  <c r="CH21" i="13"/>
  <c r="CH22" i="13"/>
  <c r="H12" i="20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H28" i="20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H32" i="20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2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H33" i="20"/>
  <c r="H41" i="20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E40" i="23"/>
  <c r="G40" i="23" s="1"/>
  <c r="H24" i="20" s="1"/>
  <c r="F40" i="23"/>
  <c r="E39" i="23"/>
  <c r="G39" i="23" s="1"/>
  <c r="H26" i="20" s="1"/>
  <c r="F39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38" i="23"/>
  <c r="G38" i="23" s="1"/>
  <c r="H65" i="20" s="1"/>
  <c r="F38" i="23"/>
  <c r="F37" i="23"/>
  <c r="E37" i="23"/>
  <c r="G37" i="23" s="1"/>
  <c r="H15" i="20" s="1"/>
  <c r="F36" i="23"/>
  <c r="E36" i="23"/>
  <c r="G36" i="23" s="1"/>
  <c r="H30" i="20" s="1"/>
  <c r="E35" i="23"/>
  <c r="G35" i="23" s="1"/>
  <c r="H27" i="20" s="1"/>
  <c r="F35" i="23"/>
  <c r="E34" i="23"/>
  <c r="G34" i="23" s="1"/>
  <c r="H45" i="20" s="1"/>
  <c r="F34" i="23"/>
  <c r="E33" i="23"/>
  <c r="G33" i="23" s="1"/>
  <c r="H13" i="20" s="1"/>
  <c r="F33" i="23"/>
  <c r="E32" i="23"/>
  <c r="G32" i="23" s="1"/>
  <c r="F32" i="23"/>
  <c r="E30" i="23"/>
  <c r="F30" i="23"/>
  <c r="G30" i="23" s="1"/>
  <c r="H47" i="20" s="1"/>
  <c r="F31" i="23"/>
  <c r="E31" i="23"/>
  <c r="G31" i="23"/>
  <c r="H44" i="20" s="1"/>
  <c r="E29" i="23"/>
  <c r="F29" i="23"/>
  <c r="G29" i="23" s="1"/>
  <c r="H51" i="20" s="1"/>
  <c r="E28" i="23"/>
  <c r="F28" i="23"/>
  <c r="G28" i="23"/>
  <c r="H18" i="20" s="1"/>
  <c r="E27" i="23"/>
  <c r="F27" i="23"/>
  <c r="G27" i="23" s="1"/>
  <c r="H8" i="20" s="1"/>
  <c r="E26" i="23"/>
  <c r="F26" i="23"/>
  <c r="G26" i="23"/>
  <c r="H48" i="20" s="1"/>
  <c r="E25" i="23"/>
  <c r="F25" i="23"/>
  <c r="G25" i="23" s="1"/>
  <c r="H4" i="20" s="1"/>
  <c r="E24" i="23"/>
  <c r="F24" i="23"/>
  <c r="G24" i="23"/>
  <c r="H50" i="20" s="1"/>
  <c r="E22" i="23"/>
  <c r="F22" i="23"/>
  <c r="G22" i="23" s="1"/>
  <c r="H20" i="20" s="1"/>
  <c r="F23" i="23"/>
  <c r="E23" i="23"/>
  <c r="G23" i="23"/>
  <c r="H7" i="20" s="1"/>
  <c r="E21" i="23"/>
  <c r="G21" i="23" s="1"/>
  <c r="H46" i="20" s="1"/>
  <c r="F21" i="23"/>
  <c r="E20" i="23"/>
  <c r="F20" i="23"/>
  <c r="G20" i="23"/>
  <c r="H57" i="20" s="1"/>
  <c r="F19" i="23"/>
  <c r="E19" i="23"/>
  <c r="G19" i="23" s="1"/>
  <c r="E17" i="23"/>
  <c r="F17" i="23"/>
  <c r="G17" i="23"/>
  <c r="H19" i="20"/>
  <c r="E18" i="23"/>
  <c r="F18" i="23"/>
  <c r="G18" i="23"/>
  <c r="H5" i="20" s="1"/>
  <c r="E15" i="23"/>
  <c r="F15" i="23"/>
  <c r="G15" i="23"/>
  <c r="H6" i="20"/>
  <c r="F16" i="23"/>
  <c r="E16" i="23"/>
  <c r="G16" i="23"/>
  <c r="E11" i="23"/>
  <c r="F11" i="23"/>
  <c r="G11" i="23"/>
  <c r="H11" i="20"/>
  <c r="E14" i="23"/>
  <c r="G14" i="23" s="1"/>
  <c r="H16" i="20" s="1"/>
  <c r="F14" i="23"/>
  <c r="E13" i="23"/>
  <c r="F13" i="23"/>
  <c r="G13" i="23"/>
  <c r="H10" i="20"/>
  <c r="E10" i="23"/>
  <c r="G10" i="23" s="1"/>
  <c r="H14" i="20" s="1"/>
  <c r="F10" i="23"/>
  <c r="E9" i="23"/>
  <c r="F9" i="23"/>
  <c r="G9" i="23"/>
  <c r="H9" i="20"/>
  <c r="E8" i="23"/>
  <c r="F8" i="23"/>
  <c r="G8" i="23"/>
  <c r="H17" i="20" s="1"/>
  <c r="E12" i="23"/>
  <c r="F12" i="23"/>
  <c r="G12" i="23" s="1"/>
  <c r="H56" i="20" s="1"/>
  <c r="C13" i="13" l="1"/>
</calcChain>
</file>

<file path=xl/sharedStrings.xml><?xml version="1.0" encoding="utf-8"?>
<sst xmlns="http://schemas.openxmlformats.org/spreadsheetml/2006/main" count="2685" uniqueCount="599">
  <si>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</si>
  <si>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</si>
  <si>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</si>
  <si>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</si>
  <si>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</si>
  <si>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</si>
  <si>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</si>
  <si>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</si>
  <si>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</si>
  <si>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</si>
  <si>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</si>
  <si>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</si>
  <si>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</si>
  <si>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</si>
  <si>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</si>
  <si>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</si>
  <si>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</si>
  <si>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</si>
  <si>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</si>
  <si>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</si>
  <si>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</si>
  <si>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</si>
  <si>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</si>
  <si>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</si>
  <si>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</si>
  <si>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</si>
  <si>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</si>
  <si>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</si>
  <si>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</si>
  <si>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</si>
  <si>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</si>
  <si>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</si>
  <si>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</si>
  <si>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</si>
  <si>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</si>
  <si>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</si>
  <si>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</si>
  <si>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</si>
  <si>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</si>
  <si>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</si>
  <si>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</si>
  <si>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</si>
  <si>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</si>
  <si>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</si>
  <si>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</si>
  <si>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</si>
  <si>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</si>
  <si>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</si>
  <si>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</si>
  <si>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</si>
  <si>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</si>
  <si>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</si>
  <si>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</si>
  <si>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</si>
  <si>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</si>
  <si>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</si>
  <si>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</si>
  <si>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</si>
  <si>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</si>
  <si>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</si>
  <si>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</si>
  <si>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</si>
  <si>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</si>
  <si>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</si>
  <si>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</si>
  <si>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</si>
  <si>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</si>
  <si>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</si>
  <si>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</si>
  <si>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</si>
  <si>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</si>
  <si>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</si>
  <si>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</si>
  <si>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</si>
  <si>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</si>
  <si>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</si>
  <si>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</si>
  <si>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</si>
  <si>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</si>
  <si>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</si>
  <si>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</si>
  <si>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</si>
  <si>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</si>
  <si>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</si>
  <si>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</si>
  <si>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</si>
  <si>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</si>
  <si>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</si>
  <si>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</si>
  <si>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</si>
  <si>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</si>
  <si>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</si>
  <si>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</si>
  <si>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</si>
  <si>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</si>
  <si>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</si>
  <si>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</si>
  <si>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</si>
  <si>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</si>
  <si>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</si>
  <si>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</si>
  <si>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</si>
  <si>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</si>
  <si>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</si>
  <si>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</si>
  <si>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</si>
  <si>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</si>
  <si>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</si>
  <si>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</si>
  <si>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</si>
  <si>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</si>
  <si>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</si>
  <si>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</si>
  <si>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</si>
  <si>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</si>
  <si>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</si>
  <si>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</si>
  <si>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</si>
  <si>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</si>
  <si>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</si>
  <si>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</si>
  <si>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</si>
  <si>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</si>
  <si>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</si>
  <si>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</si>
  <si>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</si>
  <si>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</si>
  <si>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</si>
  <si>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</si>
  <si>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</si>
  <si>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</si>
  <si>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</si>
  <si>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</si>
  <si>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</si>
  <si>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</si>
  <si>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</si>
  <si>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</si>
  <si>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</si>
  <si>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</si>
  <si>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</si>
  <si>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</si>
  <si>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</si>
  <si>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</si>
  <si>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</si>
  <si>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</si>
  <si>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</si>
  <si>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</si>
  <si>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</si>
  <si>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</si>
  <si>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</si>
  <si>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</si>
  <si>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</si>
  <si>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</si>
  <si>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</si>
  <si>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</si>
  <si>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</si>
  <si>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</si>
  <si>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</si>
  <si>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</si>
  <si>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</si>
  <si>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</si>
  <si>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</si>
  <si>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</si>
  <si>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</si>
  <si>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</si>
  <si>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</si>
  <si>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</si>
  <si>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</si>
  <si>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</si>
  <si>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</si>
  <si>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</si>
  <si>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</si>
  <si>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</si>
  <si>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</si>
  <si>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</si>
  <si>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</si>
  <si>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</si>
  <si>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</si>
  <si>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</si>
  <si>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</si>
  <si>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</si>
  <si>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</si>
  <si>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</si>
  <si>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</si>
  <si>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</si>
  <si>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</si>
  <si>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</si>
  <si>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</si>
  <si>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</si>
  <si>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</si>
  <si>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</si>
  <si>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</si>
  <si>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</si>
  <si>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</si>
  <si>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</si>
  <si>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</si>
  <si>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</si>
  <si>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</si>
  <si>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</si>
  <si>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</si>
  <si>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</si>
  <si>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</si>
  <si>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</si>
  <si>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</si>
  <si>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</si>
  <si>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</si>
  <si>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</si>
  <si>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</si>
  <si>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</si>
  <si>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</si>
  <si>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</si>
  <si>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</si>
  <si>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</si>
  <si>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</si>
  <si>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</si>
  <si>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</si>
  <si>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</si>
  <si>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</si>
  <si>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</si>
  <si>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</si>
  <si>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</si>
  <si>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</si>
  <si>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</si>
  <si>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</si>
  <si>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</si>
  <si>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</si>
  <si>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</si>
  <si>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</si>
  <si>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</si>
  <si>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</si>
  <si>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</si>
  <si>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</si>
  <si>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</si>
  <si>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</si>
  <si>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</si>
  <si>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</si>
  <si>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</si>
  <si>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</si>
  <si>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</si>
  <si>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</si>
  <si>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</si>
  <si>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</si>
  <si>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</si>
  <si>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</si>
  <si>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</si>
  <si>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</si>
  <si>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</si>
  <si>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</si>
  <si>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</si>
  <si>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</si>
  <si>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</si>
  <si>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</si>
  <si>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</si>
  <si>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</si>
  <si>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</si>
  <si>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</si>
  <si>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</si>
  <si>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</si>
  <si>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</si>
  <si>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</si>
  <si>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</si>
  <si>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</si>
  <si>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</si>
  <si>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</si>
  <si>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</si>
  <si>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</si>
  <si>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</si>
  <si>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</si>
  <si>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</si>
  <si>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</si>
  <si>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</si>
  <si>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</si>
  <si>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</si>
  <si>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</si>
  <si>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</si>
  <si>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</si>
  <si>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</si>
  <si>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</si>
  <si>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</si>
  <si>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</si>
  <si>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</si>
  <si>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</si>
  <si>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</si>
  <si>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</si>
  <si>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</si>
  <si>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</si>
  <si>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</si>
  <si>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</si>
  <si>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</si>
  <si>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</si>
  <si>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</si>
  <si>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</si>
  <si>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</si>
  <si>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</si>
  <si>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</si>
  <si>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</si>
  <si>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</si>
  <si>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</si>
  <si>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</si>
  <si>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</si>
  <si>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</si>
  <si>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</si>
  <si>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</si>
  <si>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</si>
  <si>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</si>
  <si>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</si>
  <si>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</si>
  <si>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</si>
  <si>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</si>
  <si>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</si>
  <si>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</si>
  <si>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</si>
  <si>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</si>
  <si>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</si>
  <si>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</si>
  <si>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</si>
  <si>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</si>
  <si>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</si>
  <si>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</si>
  <si>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</si>
  <si>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</si>
  <si>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</si>
  <si>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</si>
  <si>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</si>
  <si>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</si>
  <si>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</si>
  <si>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</si>
  <si>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</si>
  <si>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</si>
  <si>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</si>
  <si>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</si>
  <si>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</si>
  <si>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</si>
  <si>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</si>
  <si>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</si>
  <si>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</si>
  <si>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</si>
  <si>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</si>
  <si>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</si>
  <si>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</si>
  <si>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</si>
  <si>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</si>
  <si>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</si>
  <si>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</si>
  <si>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</si>
  <si>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</si>
  <si>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</si>
  <si>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</si>
  <si>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</si>
  <si>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</si>
  <si>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</si>
  <si>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</si>
  <si>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</si>
  <si>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</si>
  <si>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</si>
  <si>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</si>
  <si>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</si>
  <si>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</si>
  <si>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</si>
  <si>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</si>
  <si>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</si>
  <si>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</si>
  <si>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</si>
  <si>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</si>
  <si>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</si>
  <si>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</si>
  <si>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</si>
  <si>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</si>
  <si>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</si>
  <si>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</si>
  <si>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</si>
  <si>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</si>
  <si>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</si>
  <si>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</si>
  <si>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</si>
  <si>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</si>
  <si>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</si>
  <si>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</si>
  <si>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</si>
  <si>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</si>
  <si>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</si>
  <si>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</si>
  <si>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</si>
  <si>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</si>
  <si>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</si>
  <si>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</si>
  <si>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</si>
  <si>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</si>
  <si>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</si>
  <si>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</si>
  <si>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</si>
  <si>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</si>
  <si>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</si>
  <si>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</si>
  <si>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</si>
  <si>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</si>
  <si>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</si>
  <si>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</si>
  <si>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</si>
  <si>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</si>
  <si>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</si>
  <si>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</si>
  <si>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</si>
  <si>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</si>
  <si>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</si>
  <si>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</si>
  <si>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</si>
  <si>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</si>
  <si>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</si>
  <si>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</si>
  <si>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</si>
  <si>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</si>
  <si>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</si>
  <si>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</si>
  <si>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</si>
  <si>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</si>
  <si>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</si>
  <si>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</si>
  <si>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</si>
  <si>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</si>
  <si>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</si>
  <si>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</si>
  <si>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</si>
  <si>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</si>
  <si>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</si>
  <si>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</si>
  <si>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</si>
  <si>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</si>
  <si>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</si>
  <si>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</si>
  <si>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</si>
  <si>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</si>
  <si>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</si>
  <si>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</si>
  <si>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</si>
  <si>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</si>
  <si>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</si>
  <si>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</si>
  <si>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</si>
  <si>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</si>
  <si>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</si>
  <si>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</si>
  <si>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</si>
  <si>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</si>
  <si>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</si>
  <si>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</si>
  <si>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</si>
  <si>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</si>
  <si>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</si>
  <si>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</si>
  <si>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</si>
  <si>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</si>
  <si>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</si>
  <si>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</si>
  <si>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</si>
  <si>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</si>
  <si>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</si>
  <si>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</si>
  <si>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</si>
  <si>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</si>
  <si>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</si>
  <si>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</si>
  <si>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</si>
  <si>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</si>
  <si>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</si>
  <si>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</si>
  <si>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</si>
  <si>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</si>
  <si>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</si>
  <si>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</si>
  <si>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</si>
  <si>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</si>
  <si>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</si>
  <si>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</si>
  <si>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</si>
  <si>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</si>
  <si>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</si>
  <si>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</si>
  <si>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</si>
  <si>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</si>
  <si>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</si>
  <si>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</si>
  <si>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</si>
  <si>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</si>
  <si>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</si>
  <si>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</si>
  <si>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</si>
  <si>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</si>
  <si>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</si>
  <si>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</si>
  <si>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</si>
  <si>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</si>
  <si>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</si>
  <si>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</si>
  <si>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</si>
  <si>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</si>
  <si>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</si>
  <si>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</si>
  <si>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</si>
  <si>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</si>
  <si>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</si>
  <si>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</si>
  <si>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</si>
  <si>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</si>
  <si>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</si>
  <si>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</si>
  <si>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</si>
  <si>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</si>
  <si>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</si>
  <si>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</si>
  <si>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</si>
  <si>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</si>
  <si>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</si>
  <si>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</si>
  <si>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</si>
  <si>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</si>
  <si>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</si>
  <si>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</si>
  <si>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</si>
  <si>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</si>
  <si>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</si>
  <si>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</si>
  <si>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</si>
  <si>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</si>
  <si>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</si>
  <si>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</si>
  <si>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</si>
  <si>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</si>
  <si>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</si>
  <si>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</si>
  <si>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</si>
  <si>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</si>
  <si>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</si>
  <si>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</si>
  <si>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</si>
  <si>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</si>
  <si>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</si>
  <si>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</si>
  <si>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</si>
  <si>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</si>
  <si>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</si>
  <si>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</si>
  <si>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</si>
  <si>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</si>
  <si>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</si>
  <si>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</si>
  <si>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</si>
  <si>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</si>
  <si>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</si>
  <si>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</si>
  <si>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</si>
  <si>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</si>
  <si>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</si>
  <si>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</si>
  <si>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</si>
  <si>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</si>
  <si>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</si>
  <si>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</si>
  <si>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</si>
  <si>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</si>
  <si>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</si>
  <si>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</si>
  <si>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</si>
  <si>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</si>
  <si>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</si>
  <si>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</si>
  <si>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</si>
  <si>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</si>
  <si>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</si>
  <si>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</si>
  <si>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</si>
  <si>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</si>
  <si>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</si>
  <si>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</si>
  <si>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</si>
  <si>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</si>
  <si>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</si>
  <si>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</si>
  <si>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</si>
  <si>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</si>
  <si>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</si>
  <si>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</si>
  <si>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</si>
  <si>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</si>
  <si>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</si>
  <si>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</si>
  <si>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</si>
  <si>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</si>
  <si>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</si>
  <si>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</si>
  <si>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Current rate of increase*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</si>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</sst>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8395.9777418948579</c:v>
                </c:pt>
                <c:pt idx="21">
                  <c:v>10460.371307670854</c:v>
                </c:pt>
                <c:pt idx="22">
                  <c:v>13032.355641958762</c:v>
                </c:pt>
                <c:pt idx="23">
                  <c:v>16236.736592126968</c:v>
                </c:pt>
                <c:pt idx="24">
                  <c:v>20229.007126948774</c:v>
                </c:pt>
                <c:pt idx="25">
                  <c:v>25202.892651505321</c:v>
                </c:pt>
                <c:pt idx="26">
                  <c:v>31399.751555632018</c:v>
                </c:pt>
                <c:pt idx="27">
                  <c:v>39120.287158645922</c:v>
                </c:pt>
                <c:pt idx="28">
                  <c:v>48739.139373872444</c:v>
                </c:pt>
                <c:pt idx="29">
                  <c:v>60723.064155237327</c:v>
                </c:pt>
                <c:pt idx="30">
                  <c:v>75653.582885743599</c:v>
                </c:pt>
                <c:pt idx="31">
                  <c:v>94255.200772117678</c:v>
                </c:pt>
                <c:pt idx="32">
                  <c:v>117430.56354659906</c:v>
                </c:pt>
                <c:pt idx="33">
                  <c:v>146304.25845903181</c:v>
                </c:pt>
                <c:pt idx="34">
                  <c:v>182277.38500763668</c:v>
                </c:pt>
                <c:pt idx="35">
                  <c:v>227095.54345969981</c:v>
                </c:pt>
                <c:pt idx="36">
                  <c:v>282933.54031327437</c:v>
                </c:pt>
                <c:pt idx="37">
                  <c:v>352500.9210425528</c:v>
                </c:pt>
                <c:pt idx="38">
                  <c:v>439173.45111599792</c:v>
                </c:pt>
                <c:pt idx="39">
                  <c:v>547156.92541936017</c:v>
                </c:pt>
                <c:pt idx="40">
                  <c:v>681691.25495541957</c:v>
                </c:pt>
                <c:pt idx="41">
                  <c:v>849304.73415196256</c:v>
                </c:pt>
                <c:pt idx="42">
                  <c:v>1058130.8271295158</c:v>
                </c:pt>
                <c:pt idx="43">
                  <c:v>1318302.8450203608</c:v>
                </c:pt>
                <c:pt idx="44">
                  <c:v>1642445.6661029255</c:v>
                </c:pt>
                <c:pt idx="45">
                  <c:v>2046288.3595298764</c:v>
                </c:pt>
                <c:pt idx="46">
                  <c:v>2549427.4402895658</c:v>
                </c:pt>
                <c:pt idx="47">
                  <c:v>3176277.792439112</c:v>
                </c:pt>
                <c:pt idx="48">
                  <c:v>3957257.4042726993</c:v>
                </c:pt>
                <c:pt idx="49">
                  <c:v>4930263.4048408084</c:v>
                </c:pt>
                <c:pt idx="50">
                  <c:v>6142511.0266689695</c:v>
                </c:pt>
                <c:pt idx="51">
                  <c:v>7652824.7305618636</c:v>
                </c:pt>
                <c:pt idx="52">
                  <c:v>9534492.6695978511</c:v>
                </c:pt>
                <c:pt idx="53">
                  <c:v>11878823.005520588</c:v>
                </c:pt>
                <c:pt idx="54">
                  <c:v>14799574.648205882</c:v>
                </c:pt>
                <c:pt idx="55">
                  <c:v>18438477.420366228</c:v>
                </c:pt>
                <c:pt idx="56">
                  <c:v>22972109.514145389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7412.9000000000005</c:v>
                </c:pt>
                <c:pt idx="21">
                  <c:v>8154.1900000000014</c:v>
                </c:pt>
                <c:pt idx="22">
                  <c:v>8969.6090000000022</c:v>
                </c:pt>
                <c:pt idx="23">
                  <c:v>9866.5699000000041</c:v>
                </c:pt>
                <c:pt idx="24">
                  <c:v>10853.226890000005</c:v>
                </c:pt>
                <c:pt idx="25">
                  <c:v>11938.549579000008</c:v>
                </c:pt>
                <c:pt idx="26">
                  <c:v>13132.404536900009</c:v>
                </c:pt>
                <c:pt idx="27">
                  <c:v>14445.64499059001</c:v>
                </c:pt>
                <c:pt idx="28">
                  <c:v>15890.209489649013</c:v>
                </c:pt>
                <c:pt idx="29">
                  <c:v>17479.230438613915</c:v>
                </c:pt>
                <c:pt idx="30">
                  <c:v>19227.153482475307</c:v>
                </c:pt>
                <c:pt idx="31">
                  <c:v>21149.86883072284</c:v>
                </c:pt>
                <c:pt idx="32">
                  <c:v>23264.855713795125</c:v>
                </c:pt>
                <c:pt idx="33">
                  <c:v>25591.34128517464</c:v>
                </c:pt>
                <c:pt idx="34">
                  <c:v>28150.475413692107</c:v>
                </c:pt>
                <c:pt idx="35">
                  <c:v>30965.522955061322</c:v>
                </c:pt>
                <c:pt idx="36">
                  <c:v>34062.075250567454</c:v>
                </c:pt>
                <c:pt idx="37">
                  <c:v>37468.282775624204</c:v>
                </c:pt>
                <c:pt idx="38">
                  <c:v>41215.111053186629</c:v>
                </c:pt>
                <c:pt idx="39">
                  <c:v>45336.622158505299</c:v>
                </c:pt>
                <c:pt idx="40">
                  <c:v>49870.284374355833</c:v>
                </c:pt>
                <c:pt idx="41">
                  <c:v>54857.312811791424</c:v>
                </c:pt>
                <c:pt idx="42">
                  <c:v>60343.044092970573</c:v>
                </c:pt>
                <c:pt idx="43">
                  <c:v>66377.348502267632</c:v>
                </c:pt>
                <c:pt idx="44">
                  <c:v>73015.083352494403</c:v>
                </c:pt>
                <c:pt idx="45">
                  <c:v>80316.591687743843</c:v>
                </c:pt>
                <c:pt idx="46">
                  <c:v>88348.250856518236</c:v>
                </c:pt>
                <c:pt idx="47">
                  <c:v>97183.075942170064</c:v>
                </c:pt>
                <c:pt idx="48">
                  <c:v>106901.38353638707</c:v>
                </c:pt>
                <c:pt idx="49">
                  <c:v>117591.52189002579</c:v>
                </c:pt>
                <c:pt idx="50">
                  <c:v>129350.67407902838</c:v>
                </c:pt>
                <c:pt idx="51">
                  <c:v>142285.74148693122</c:v>
                </c:pt>
                <c:pt idx="52">
                  <c:v>156514.31563562434</c:v>
                </c:pt>
                <c:pt idx="53">
                  <c:v>172165.74719918679</c:v>
                </c:pt>
                <c:pt idx="54">
                  <c:v>189382.32191910548</c:v>
                </c:pt>
                <c:pt idx="55">
                  <c:v>208320.55411101604</c:v>
                </c:pt>
                <c:pt idx="56">
                  <c:v>229152.60952211765</c:v>
                </c:pt>
                <c:pt idx="57">
                  <c:v>252067.87047432942</c:v>
                </c:pt>
                <c:pt idx="58">
                  <c:v>277274.65752176236</c:v>
                </c:pt>
                <c:pt idx="59">
                  <c:v>305002.1232739386</c:v>
                </c:pt>
                <c:pt idx="60">
                  <c:v>335502.33560133248</c:v>
                </c:pt>
                <c:pt idx="61">
                  <c:v>369052.56916146574</c:v>
                </c:pt>
                <c:pt idx="62">
                  <c:v>405957.82607761235</c:v>
                </c:pt>
                <c:pt idx="63">
                  <c:v>446553.60868537362</c:v>
                </c:pt>
                <c:pt idx="64">
                  <c:v>491208.96955391101</c:v>
                </c:pt>
                <c:pt idx="65">
                  <c:v>540329.86650930217</c:v>
                </c:pt>
                <c:pt idx="66">
                  <c:v>594362.85316023242</c:v>
                </c:pt>
                <c:pt idx="67">
                  <c:v>653799.1384762557</c:v>
                </c:pt>
                <c:pt idx="68">
                  <c:v>719179.0523238813</c:v>
                </c:pt>
                <c:pt idx="69">
                  <c:v>791096.95755626948</c:v>
                </c:pt>
                <c:pt idx="70">
                  <c:v>870206.65331189649</c:v>
                </c:pt>
                <c:pt idx="71">
                  <c:v>957227.31864308624</c:v>
                </c:pt>
                <c:pt idx="72">
                  <c:v>1052950.0505073951</c:v>
                </c:pt>
                <c:pt idx="73">
                  <c:v>1158245.0555581346</c:v>
                </c:pt>
                <c:pt idx="74">
                  <c:v>1274069.5611139482</c:v>
                </c:pt>
                <c:pt idx="75">
                  <c:v>1401476.5172253433</c:v>
                </c:pt>
                <c:pt idx="76">
                  <c:v>1541624.1689478778</c:v>
                </c:pt>
                <c:pt idx="77">
                  <c:v>1695786.5858426658</c:v>
                </c:pt>
                <c:pt idx="78">
                  <c:v>1865365.2444269324</c:v>
                </c:pt>
                <c:pt idx="79">
                  <c:v>2051901.7688696259</c:v>
                </c:pt>
                <c:pt idx="80">
                  <c:v>2257091.9457565886</c:v>
                </c:pt>
                <c:pt idx="81">
                  <c:v>2482801.1403322476</c:v>
                </c:pt>
                <c:pt idx="82">
                  <c:v>2731081.2543654726</c:v>
                </c:pt>
                <c:pt idx="83">
                  <c:v>3004189.3798020203</c:v>
                </c:pt>
                <c:pt idx="84">
                  <c:v>3304608.3177822228</c:v>
                </c:pt>
                <c:pt idx="85">
                  <c:v>3635069.1495604455</c:v>
                </c:pt>
                <c:pt idx="86">
                  <c:v>3998576.0645164903</c:v>
                </c:pt>
                <c:pt idx="87">
                  <c:v>4398433.6709681395</c:v>
                </c:pt>
                <c:pt idx="88">
                  <c:v>4838277.0380649539</c:v>
                </c:pt>
                <c:pt idx="89">
                  <c:v>5322104.7418714501</c:v>
                </c:pt>
                <c:pt idx="90">
                  <c:v>5854315.216058596</c:v>
                </c:pt>
                <c:pt idx="91">
                  <c:v>6439746.7376644565</c:v>
                </c:pt>
                <c:pt idx="92">
                  <c:v>7083721.4114309028</c:v>
                </c:pt>
                <c:pt idx="93">
                  <c:v>7792093.5525739938</c:v>
                </c:pt>
                <c:pt idx="94">
                  <c:v>8571302.9078313932</c:v>
                </c:pt>
                <c:pt idx="95">
                  <c:v>9428433.198614534</c:v>
                </c:pt>
                <c:pt idx="96">
                  <c:v>10371276.518475989</c:v>
                </c:pt>
                <c:pt idx="97">
                  <c:v>11408404.170323588</c:v>
                </c:pt>
                <c:pt idx="98">
                  <c:v>12549244.587355947</c:v>
                </c:pt>
                <c:pt idx="99">
                  <c:v>13804169.046091544</c:v>
                </c:pt>
                <c:pt idx="100">
                  <c:v>15184585.950700698</c:v>
                </c:pt>
                <c:pt idx="101">
                  <c:v>16703044.54577077</c:v>
                </c:pt>
                <c:pt idx="102">
                  <c:v>18373349.000347849</c:v>
                </c:pt>
                <c:pt idx="103">
                  <c:v>20210683.900382634</c:v>
                </c:pt>
                <c:pt idx="104">
                  <c:v>22231752.290420901</c:v>
                </c:pt>
                <c:pt idx="105">
                  <c:v>24454927.519462992</c:v>
                </c:pt>
                <c:pt idx="106">
                  <c:v>26900420.271409292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8423.75</c:v>
                </c:pt>
                <c:pt idx="21">
                  <c:v>10529.6875</c:v>
                </c:pt>
                <c:pt idx="22">
                  <c:v>13162.109375</c:v>
                </c:pt>
                <c:pt idx="23">
                  <c:v>16452.63671875</c:v>
                </c:pt>
                <c:pt idx="24">
                  <c:v>20565.7958984375</c:v>
                </c:pt>
                <c:pt idx="25">
                  <c:v>25707.244873046875</c:v>
                </c:pt>
                <c:pt idx="26">
                  <c:v>32134.056091308594</c:v>
                </c:pt>
                <c:pt idx="27">
                  <c:v>40167.570114135742</c:v>
                </c:pt>
                <c:pt idx="28">
                  <c:v>50209.462642669678</c:v>
                </c:pt>
                <c:pt idx="29">
                  <c:v>62761.828303337097</c:v>
                </c:pt>
                <c:pt idx="30">
                  <c:v>78452.285379171371</c:v>
                </c:pt>
                <c:pt idx="31">
                  <c:v>98065.356723964214</c:v>
                </c:pt>
                <c:pt idx="32">
                  <c:v>122581.69590495527</c:v>
                </c:pt>
                <c:pt idx="33">
                  <c:v>153227.11988119408</c:v>
                </c:pt>
                <c:pt idx="34">
                  <c:v>191533.89985149261</c:v>
                </c:pt>
                <c:pt idx="35">
                  <c:v>239417.37481436576</c:v>
                </c:pt>
                <c:pt idx="36">
                  <c:v>299271.7185179572</c:v>
                </c:pt>
                <c:pt idx="37">
                  <c:v>374089.64814744651</c:v>
                </c:pt>
                <c:pt idx="38">
                  <c:v>467612.06018430815</c:v>
                </c:pt>
                <c:pt idx="39">
                  <c:v>584515.07523038518</c:v>
                </c:pt>
                <c:pt idx="40">
                  <c:v>730643.84403798147</c:v>
                </c:pt>
                <c:pt idx="41">
                  <c:v>913304.8050474769</c:v>
                </c:pt>
                <c:pt idx="42">
                  <c:v>1141631.0063093461</c:v>
                </c:pt>
                <c:pt idx="43">
                  <c:v>1427038.7578866826</c:v>
                </c:pt>
                <c:pt idx="44">
                  <c:v>1783798.4473583533</c:v>
                </c:pt>
                <c:pt idx="45">
                  <c:v>2229748.0591979418</c:v>
                </c:pt>
                <c:pt idx="46">
                  <c:v>2787185.0739974272</c:v>
                </c:pt>
                <c:pt idx="47">
                  <c:v>3483981.3424967839</c:v>
                </c:pt>
                <c:pt idx="48">
                  <c:v>4354976.67812098</c:v>
                </c:pt>
                <c:pt idx="49">
                  <c:v>5443720.8476512246</c:v>
                </c:pt>
                <c:pt idx="50">
                  <c:v>6804651.0595640307</c:v>
                </c:pt>
                <c:pt idx="51">
                  <c:v>8505813.8244550377</c:v>
                </c:pt>
                <c:pt idx="52">
                  <c:v>10632267.280568797</c:v>
                </c:pt>
                <c:pt idx="53">
                  <c:v>13290334.100710995</c:v>
                </c:pt>
                <c:pt idx="54">
                  <c:v>16612917.625888744</c:v>
                </c:pt>
                <c:pt idx="55">
                  <c:v>20766147.03236093</c:v>
                </c:pt>
                <c:pt idx="56">
                  <c:v>25957683.790451162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9434.5999999999985</c:v>
                </c:pt>
                <c:pt idx="21">
                  <c:v>13208.439999999997</c:v>
                </c:pt>
                <c:pt idx="22">
                  <c:v>18491.815999999995</c:v>
                </c:pt>
                <c:pt idx="23">
                  <c:v>25888.542399999991</c:v>
                </c:pt>
                <c:pt idx="24">
                  <c:v>36243.959359999986</c:v>
                </c:pt>
                <c:pt idx="25">
                  <c:v>50741.543103999975</c:v>
                </c:pt>
                <c:pt idx="26">
                  <c:v>71038.160345599958</c:v>
                </c:pt>
                <c:pt idx="27">
                  <c:v>99453.424483839932</c:v>
                </c:pt>
                <c:pt idx="28">
                  <c:v>139234.79427737588</c:v>
                </c:pt>
                <c:pt idx="29">
                  <c:v>194928.71198832622</c:v>
                </c:pt>
                <c:pt idx="30">
                  <c:v>272900.19678365672</c:v>
                </c:pt>
                <c:pt idx="31">
                  <c:v>382060.27549711941</c:v>
                </c:pt>
                <c:pt idx="32">
                  <c:v>534884.38569596712</c:v>
                </c:pt>
                <c:pt idx="33">
                  <c:v>748838.13997435395</c:v>
                </c:pt>
                <c:pt idx="34">
                  <c:v>1048373.3959640955</c:v>
                </c:pt>
                <c:pt idx="35">
                  <c:v>1467722.7543497337</c:v>
                </c:pt>
                <c:pt idx="36">
                  <c:v>2054811.8560896271</c:v>
                </c:pt>
                <c:pt idx="37">
                  <c:v>2876736.598525478</c:v>
                </c:pt>
                <c:pt idx="38">
                  <c:v>4027431.2379356688</c:v>
                </c:pt>
                <c:pt idx="39">
                  <c:v>5638403.7331099361</c:v>
                </c:pt>
                <c:pt idx="40">
                  <c:v>7893765.2263539098</c:v>
                </c:pt>
                <c:pt idx="41">
                  <c:v>11051271.316895474</c:v>
                </c:pt>
                <c:pt idx="42">
                  <c:v>15471779.843653662</c:v>
                </c:pt>
                <c:pt idx="43">
                  <c:v>21660491.781115126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1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7-41EE-A5F2-80C01F3CAFDE}"/>
            </c:ext>
          </c:extLst>
        </c:ser>
        <c:ser>
          <c:idx val="9"/>
          <c:order val="7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8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#N/A</c:v>
                </c:pt>
                <c:pt idx="1">
                  <c:v>0.4137931034482758</c:v>
                </c:pt>
                <c:pt idx="2">
                  <c:v>0.37481921914542882</c:v>
                </c:pt>
                <c:pt idx="3">
                  <c:v>0.37380163526710092</c:v>
                </c:pt>
                <c:pt idx="4">
                  <c:v>0.35719566939322139</c:v>
                </c:pt>
                <c:pt idx="5">
                  <c:v>0.32853703562203884</c:v>
                </c:pt>
                <c:pt idx="6">
                  <c:v>0.29148894179801577</c:v>
                </c:pt>
                <c:pt idx="7">
                  <c:v>0.27092740229710122</c:v>
                </c:pt>
                <c:pt idx="8">
                  <c:v>0.25249422548401046</c:v>
                </c:pt>
                <c:pt idx="9">
                  <c:v>0.2520574333866375</c:v>
                </c:pt>
                <c:pt idx="10">
                  <c:v>0.25532370547834543</c:v>
                </c:pt>
                <c:pt idx="11">
                  <c:v>0.26475979781118097</c:v>
                </c:pt>
                <c:pt idx="12">
                  <c:v>0.27243145348177999</c:v>
                </c:pt>
                <c:pt idx="13">
                  <c:v>0.27836227063449409</c:v>
                </c:pt>
                <c:pt idx="14">
                  <c:v>0.25840029551195004</c:v>
                </c:pt>
                <c:pt idx="15">
                  <c:v>0.2495518993783882</c:v>
                </c:pt>
                <c:pt idx="16">
                  <c:v>0.24783515960581354</c:v>
                </c:pt>
                <c:pt idx="17">
                  <c:v>0.24154747219611666</c:v>
                </c:pt>
                <c:pt idx="18">
                  <c:v>0.22879349697650034</c:v>
                </c:pt>
                <c:pt idx="19">
                  <c:v>0.24028186245558669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0.34481859880010174</c:v>
                </c:pt>
                <c:pt idx="12">
                  <c:v>0.39081175211318264</c:v>
                </c:pt>
                <c:pt idx="13">
                  <c:v>0.46973364016517483</c:v>
                </c:pt>
                <c:pt idx="14">
                  <c:v>0.48528980944776406</c:v>
                </c:pt>
                <c:pt idx="15">
                  <c:v>0.47292465962078251</c:v>
                </c:pt>
                <c:pt idx="16">
                  <c:v>0.44398689041113848</c:v>
                </c:pt>
                <c:pt idx="17">
                  <c:v>0.41152257541668885</c:v>
                </c:pt>
                <c:pt idx="18">
                  <c:v>0.35094633292902155</c:v>
                </c:pt>
                <c:pt idx="19">
                  <c:v>0.30971787973508136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0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2021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1"/>
          <c:h val="9.170280533892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15.025722684958353</c:v>
                </c:pt>
                <c:pt idx="1">
                  <c:v>21.24326310632043</c:v>
                </c:pt>
                <c:pt idx="2">
                  <c:v>26.813143067123956</c:v>
                </c:pt>
                <c:pt idx="3">
                  <c:v>35.491793238608523</c:v>
                </c:pt>
                <c:pt idx="4">
                  <c:v>41.709333659970596</c:v>
                </c:pt>
                <c:pt idx="5">
                  <c:v>49.740323370896618</c:v>
                </c:pt>
                <c:pt idx="6">
                  <c:v>59.455230279274858</c:v>
                </c:pt>
                <c:pt idx="7">
                  <c:v>76.164870161685442</c:v>
                </c:pt>
                <c:pt idx="8">
                  <c:v>103.49614159725624</c:v>
                </c:pt>
                <c:pt idx="9">
                  <c:v>146.50079617834393</c:v>
                </c:pt>
                <c:pt idx="10">
                  <c:v>172.0186183243508</c:v>
                </c:pt>
                <c:pt idx="11">
                  <c:v>164.63528907398333</c:v>
                </c:pt>
                <c:pt idx="12">
                  <c:v>218.26157520823125</c:v>
                </c:pt>
                <c:pt idx="13">
                  <c:v>297.40568348848603</c:v>
                </c:pt>
                <c:pt idx="14">
                  <c:v>290.79954679078878</c:v>
                </c:pt>
                <c:pt idx="15">
                  <c:v>449.9944879960803</c:v>
                </c:pt>
                <c:pt idx="16">
                  <c:v>569.29354483096517</c:v>
                </c:pt>
                <c:pt idx="17">
                  <c:v>639.49993875551195</c:v>
                </c:pt>
                <c:pt idx="18">
                  <c:v>735.87181528662416</c:v>
                </c:pt>
                <c:pt idx="19">
                  <c:v>872.91676874081327</c:v>
                </c:pt>
                <c:pt idx="20">
                  <c:v>960.20844561489469</c:v>
                </c:pt>
                <c:pt idx="21">
                  <c:v>1056.2292901763842</c:v>
                </c:pt>
                <c:pt idx="22">
                  <c:v>1161.8522191940226</c:v>
                </c:pt>
                <c:pt idx="23">
                  <c:v>1278.0374411134253</c:v>
                </c:pt>
                <c:pt idx="24">
                  <c:v>1405.8411852247677</c:v>
                </c:pt>
                <c:pt idx="25">
                  <c:v>1546.4253037472449</c:v>
                </c:pt>
                <c:pt idx="26">
                  <c:v>1701.0678341219693</c:v>
                </c:pt>
                <c:pt idx="27">
                  <c:v>1871.1746175341664</c:v>
                </c:pt>
                <c:pt idx="28">
                  <c:v>2058.2920792875834</c:v>
                </c:pt>
                <c:pt idx="29">
                  <c:v>2264.1212872163414</c:v>
                </c:pt>
                <c:pt idx="30">
                  <c:v>2490.5334159379759</c:v>
                </c:pt>
                <c:pt idx="31">
                  <c:v>2739.5867575317739</c:v>
                </c:pt>
                <c:pt idx="32">
                  <c:v>3013.5454332849513</c:v>
                </c:pt>
                <c:pt idx="33">
                  <c:v>3314.8999766134466</c:v>
                </c:pt>
                <c:pt idx="34">
                  <c:v>3646.3899742747917</c:v>
                </c:pt>
                <c:pt idx="35">
                  <c:v>4011.0289717022715</c:v>
                </c:pt>
                <c:pt idx="36">
                  <c:v>4412.1318688724987</c:v>
                </c:pt>
                <c:pt idx="37">
                  <c:v>4853.3450557597489</c:v>
                </c:pt>
                <c:pt idx="38">
                  <c:v>5338.6795613357244</c:v>
                </c:pt>
                <c:pt idx="39">
                  <c:v>5872.5475174692983</c:v>
                </c:pt>
                <c:pt idx="40">
                  <c:v>6459.8022692162285</c:v>
                </c:pt>
                <c:pt idx="41">
                  <c:v>7105.7824961378519</c:v>
                </c:pt>
                <c:pt idx="42">
                  <c:v>7816.3607457516382</c:v>
                </c:pt>
                <c:pt idx="43">
                  <c:v>8597.9968203268018</c:v>
                </c:pt>
                <c:pt idx="44">
                  <c:v>9457.7965023594843</c:v>
                </c:pt>
                <c:pt idx="45">
                  <c:v>10403.576152595431</c:v>
                </c:pt>
                <c:pt idx="46">
                  <c:v>11443.933767854976</c:v>
                </c:pt>
                <c:pt idx="47">
                  <c:v>12588.327144640474</c:v>
                </c:pt>
                <c:pt idx="48">
                  <c:v>13847.159859104522</c:v>
                </c:pt>
                <c:pt idx="49">
                  <c:v>15231.875845014976</c:v>
                </c:pt>
                <c:pt idx="50">
                  <c:v>16755.063429516475</c:v>
                </c:pt>
                <c:pt idx="51">
                  <c:v>18430.569772468123</c:v>
                </c:pt>
                <c:pt idx="52">
                  <c:v>20273.626749714935</c:v>
                </c:pt>
                <c:pt idx="53">
                  <c:v>22300.989424686431</c:v>
                </c:pt>
                <c:pt idx="54">
                  <c:v>24531.088367155073</c:v>
                </c:pt>
                <c:pt idx="55">
                  <c:v>26984.197203870583</c:v>
                </c:pt>
                <c:pt idx="56">
                  <c:v>29682.616924257643</c:v>
                </c:pt>
                <c:pt idx="57">
                  <c:v>32650.878616683407</c:v>
                </c:pt>
                <c:pt idx="58">
                  <c:v>35915.966478351751</c:v>
                </c:pt>
                <c:pt idx="59">
                  <c:v>39507.56312618692</c:v>
                </c:pt>
                <c:pt idx="60">
                  <c:v>43458.319438805622</c:v>
                </c:pt>
                <c:pt idx="61">
                  <c:v>47804.151382686185</c:v>
                </c:pt>
                <c:pt idx="62">
                  <c:v>52584.566520954802</c:v>
                </c:pt>
                <c:pt idx="63">
                  <c:v>57843.023173050286</c:v>
                </c:pt>
                <c:pt idx="64">
                  <c:v>63627.325490355324</c:v>
                </c:pt>
                <c:pt idx="65">
                  <c:v>69990.05803939086</c:v>
                </c:pt>
                <c:pt idx="66">
                  <c:v>76989.063843329946</c:v>
                </c:pt>
                <c:pt idx="67">
                  <c:v>84687.970227662954</c:v>
                </c:pt>
                <c:pt idx="68">
                  <c:v>93156.767250429257</c:v>
                </c:pt>
                <c:pt idx="69">
                  <c:v>102472.44397547218</c:v>
                </c:pt>
                <c:pt idx="70">
                  <c:v>112719.68837301941</c:v>
                </c:pt>
                <c:pt idx="71">
                  <c:v>123991.65721032137</c:v>
                </c:pt>
                <c:pt idx="72">
                  <c:v>136390.82293135353</c:v>
                </c:pt>
                <c:pt idx="73">
                  <c:v>150029.90522448887</c:v>
                </c:pt>
                <c:pt idx="74">
                  <c:v>165032.89574693778</c:v>
                </c:pt>
                <c:pt idx="75">
                  <c:v>181536.18532163161</c:v>
                </c:pt>
                <c:pt idx="76">
                  <c:v>199689.80385379479</c:v>
                </c:pt>
                <c:pt idx="77">
                  <c:v>219658.78423917427</c:v>
                </c:pt>
                <c:pt idx="78">
                  <c:v>241624.66266309173</c:v>
                </c:pt>
                <c:pt idx="79">
                  <c:v>265787.12892940093</c:v>
                </c:pt>
                <c:pt idx="80">
                  <c:v>292365.84182234103</c:v>
                </c:pt>
                <c:pt idx="81">
                  <c:v>321602.42600457516</c:v>
                </c:pt>
                <c:pt idx="82">
                  <c:v>353762.66860503273</c:v>
                </c:pt>
                <c:pt idx="83">
                  <c:v>389138.93546553602</c:v>
                </c:pt>
                <c:pt idx="84">
                  <c:v>428052.8290120897</c:v>
                </c:pt>
                <c:pt idx="85">
                  <c:v>470858.11191329872</c:v>
                </c:pt>
                <c:pt idx="86">
                  <c:v>517943.92310462863</c:v>
                </c:pt>
                <c:pt idx="87">
                  <c:v>569738.31541509146</c:v>
                </c:pt>
                <c:pt idx="88">
                  <c:v>626712.14695660071</c:v>
                </c:pt>
                <c:pt idx="89">
                  <c:v>689383.36165226088</c:v>
                </c:pt>
                <c:pt idx="90">
                  <c:v>758321.69781748706</c:v>
                </c:pt>
                <c:pt idx="91">
                  <c:v>834153.86759923596</c:v>
                </c:pt>
                <c:pt idx="92">
                  <c:v>917569.25435915962</c:v>
                </c:pt>
                <c:pt idx="93">
                  <c:v>1009326.1797950757</c:v>
                </c:pt>
                <c:pt idx="94">
                  <c:v>1110258.7977745833</c:v>
                </c:pt>
                <c:pt idx="95">
                  <c:v>1221284.6775520418</c:v>
                </c:pt>
                <c:pt idx="96">
                  <c:v>1343413.1453072461</c:v>
                </c:pt>
                <c:pt idx="97">
                  <c:v>1477754.4598379708</c:v>
                </c:pt>
                <c:pt idx="98">
                  <c:v>1625529.9058217679</c:v>
                </c:pt>
                <c:pt idx="99">
                  <c:v>1788082.8964039448</c:v>
                </c:pt>
                <c:pt idx="100">
                  <c:v>1966891.1860443393</c:v>
                </c:pt>
                <c:pt idx="101">
                  <c:v>2163580.3046487737</c:v>
                </c:pt>
                <c:pt idx="102">
                  <c:v>2379938.3351136511</c:v>
                </c:pt>
                <c:pt idx="103">
                  <c:v>2617932.1686250162</c:v>
                </c:pt>
                <c:pt idx="104">
                  <c:v>2879725.3854875183</c:v>
                </c:pt>
                <c:pt idx="105">
                  <c:v>3167697.9240362705</c:v>
                </c:pt>
                <c:pt idx="106">
                  <c:v>3484467.7164398977</c:v>
                </c:pt>
                <c:pt idx="107">
                  <c:v>3517366.8119794219</c:v>
                </c:pt>
                <c:pt idx="108">
                  <c:v>3517366.8119794219</c:v>
                </c:pt>
                <c:pt idx="109">
                  <c:v>3517366.8119794219</c:v>
                </c:pt>
                <c:pt idx="110">
                  <c:v>3517366.8119794219</c:v>
                </c:pt>
                <c:pt idx="111">
                  <c:v>3517366.8119794219</c:v>
                </c:pt>
                <c:pt idx="112">
                  <c:v>3517366.8119794219</c:v>
                </c:pt>
                <c:pt idx="113">
                  <c:v>3517366.8119794219</c:v>
                </c:pt>
                <c:pt idx="114">
                  <c:v>3517366.8119794219</c:v>
                </c:pt>
                <c:pt idx="115">
                  <c:v>3517366.8119794219</c:v>
                </c:pt>
                <c:pt idx="116">
                  <c:v>3517366.8119794219</c:v>
                </c:pt>
                <c:pt idx="117">
                  <c:v>3517366.8119794219</c:v>
                </c:pt>
                <c:pt idx="118">
                  <c:v>3517366.8119794219</c:v>
                </c:pt>
                <c:pt idx="119">
                  <c:v>3517366.8119794219</c:v>
                </c:pt>
                <c:pt idx="120">
                  <c:v>3517366.8119794219</c:v>
                </c:pt>
                <c:pt idx="121">
                  <c:v>3517366.8119794219</c:v>
                </c:pt>
                <c:pt idx="122">
                  <c:v>3517366.8119794219</c:v>
                </c:pt>
                <c:pt idx="123">
                  <c:v>3517366.8119794219</c:v>
                </c:pt>
                <c:pt idx="124">
                  <c:v>3517366.8119794219</c:v>
                </c:pt>
                <c:pt idx="125">
                  <c:v>3517366.8119794219</c:v>
                </c:pt>
                <c:pt idx="126">
                  <c:v>3517366.8119794219</c:v>
                </c:pt>
                <c:pt idx="127">
                  <c:v>3517366.8119794219</c:v>
                </c:pt>
                <c:pt idx="128">
                  <c:v>3517366.8119794219</c:v>
                </c:pt>
                <c:pt idx="129">
                  <c:v>3517366.8119794219</c:v>
                </c:pt>
                <c:pt idx="130">
                  <c:v>3517366.8119794219</c:v>
                </c:pt>
                <c:pt idx="131">
                  <c:v>3517366.8119794219</c:v>
                </c:pt>
                <c:pt idx="132">
                  <c:v>3517366.8119794219</c:v>
                </c:pt>
                <c:pt idx="133">
                  <c:v>3517366.8119794219</c:v>
                </c:pt>
                <c:pt idx="134">
                  <c:v>3517366.8119794219</c:v>
                </c:pt>
                <c:pt idx="135">
                  <c:v>3517366.8119794219</c:v>
                </c:pt>
                <c:pt idx="136">
                  <c:v>3517366.8119794219</c:v>
                </c:pt>
                <c:pt idx="137">
                  <c:v>3517366.8119794219</c:v>
                </c:pt>
                <c:pt idx="138">
                  <c:v>3517366.8119794219</c:v>
                </c:pt>
                <c:pt idx="139">
                  <c:v>3517366.8119794219</c:v>
                </c:pt>
                <c:pt idx="140">
                  <c:v>3517366.8119794219</c:v>
                </c:pt>
                <c:pt idx="141">
                  <c:v>3517366.8119794219</c:v>
                </c:pt>
                <c:pt idx="142">
                  <c:v>3517366.8119794219</c:v>
                </c:pt>
                <c:pt idx="143">
                  <c:v>3517366.8119794219</c:v>
                </c:pt>
                <c:pt idx="144">
                  <c:v>3517366.8119794219</c:v>
                </c:pt>
                <c:pt idx="145">
                  <c:v>3517366.8119794219</c:v>
                </c:pt>
                <c:pt idx="146">
                  <c:v>3517366.8119794219</c:v>
                </c:pt>
                <c:pt idx="147">
                  <c:v>3517366.8119794219</c:v>
                </c:pt>
                <c:pt idx="148">
                  <c:v>3517366.8119794219</c:v>
                </c:pt>
                <c:pt idx="149">
                  <c:v>3517366.8119794219</c:v>
                </c:pt>
                <c:pt idx="150">
                  <c:v>3517366.8119794219</c:v>
                </c:pt>
                <c:pt idx="151">
                  <c:v>3517366.8119794219</c:v>
                </c:pt>
                <c:pt idx="152">
                  <c:v>3517366.8119794219</c:v>
                </c:pt>
                <c:pt idx="153">
                  <c:v>3517366.8119794219</c:v>
                </c:pt>
                <c:pt idx="154">
                  <c:v>3517366.8119794219</c:v>
                </c:pt>
                <c:pt idx="155">
                  <c:v>3517366.8119794219</c:v>
                </c:pt>
                <c:pt idx="156">
                  <c:v>3517366.8119794219</c:v>
                </c:pt>
                <c:pt idx="157">
                  <c:v>3517366.8119794219</c:v>
                </c:pt>
                <c:pt idx="158">
                  <c:v>3517366.8119794219</c:v>
                </c:pt>
                <c:pt idx="159">
                  <c:v>3517366.8119794219</c:v>
                </c:pt>
                <c:pt idx="160">
                  <c:v>3517366.8119794219</c:v>
                </c:pt>
                <c:pt idx="161">
                  <c:v>3517366.8119794219</c:v>
                </c:pt>
                <c:pt idx="162">
                  <c:v>3517366.8119794219</c:v>
                </c:pt>
                <c:pt idx="163">
                  <c:v>3517366.8119794219</c:v>
                </c:pt>
                <c:pt idx="164">
                  <c:v>3517366.8119794219</c:v>
                </c:pt>
                <c:pt idx="165">
                  <c:v>3517366.8119794219</c:v>
                </c:pt>
                <c:pt idx="166">
                  <c:v>3517366.8119794219</c:v>
                </c:pt>
                <c:pt idx="167">
                  <c:v>3517366.8119794219</c:v>
                </c:pt>
                <c:pt idx="168">
                  <c:v>3517366.8119794219</c:v>
                </c:pt>
                <c:pt idx="169">
                  <c:v>3517366.8119794219</c:v>
                </c:pt>
                <c:pt idx="170">
                  <c:v>3517366.8119794219</c:v>
                </c:pt>
                <c:pt idx="171">
                  <c:v>3517366.8119794219</c:v>
                </c:pt>
                <c:pt idx="172">
                  <c:v>3517366.8119794219</c:v>
                </c:pt>
                <c:pt idx="173">
                  <c:v>3517366.8119794219</c:v>
                </c:pt>
                <c:pt idx="174">
                  <c:v>3517366.8119794219</c:v>
                </c:pt>
                <c:pt idx="175">
                  <c:v>3517366.8119794219</c:v>
                </c:pt>
                <c:pt idx="176">
                  <c:v>3517366.8119794219</c:v>
                </c:pt>
                <c:pt idx="177">
                  <c:v>3517366.8119794219</c:v>
                </c:pt>
                <c:pt idx="178">
                  <c:v>3517366.8119794219</c:v>
                </c:pt>
                <c:pt idx="179">
                  <c:v>3517366.8119794219</c:v>
                </c:pt>
                <c:pt idx="180">
                  <c:v>3517366.8119794219</c:v>
                </c:pt>
                <c:pt idx="181">
                  <c:v>3517366.8119794219</c:v>
                </c:pt>
                <c:pt idx="182">
                  <c:v>3517366.8119794219</c:v>
                </c:pt>
                <c:pt idx="183">
                  <c:v>3517366.8119794219</c:v>
                </c:pt>
                <c:pt idx="184">
                  <c:v>3517366.8119794219</c:v>
                </c:pt>
                <c:pt idx="185">
                  <c:v>3517366.8119794219</c:v>
                </c:pt>
                <c:pt idx="186">
                  <c:v>3517366.8119794219</c:v>
                </c:pt>
                <c:pt idx="187">
                  <c:v>3517366.8119794219</c:v>
                </c:pt>
                <c:pt idx="188">
                  <c:v>3517366.8119794219</c:v>
                </c:pt>
                <c:pt idx="189">
                  <c:v>3517366.8119794219</c:v>
                </c:pt>
                <c:pt idx="190">
                  <c:v>3517366.8119794219</c:v>
                </c:pt>
                <c:pt idx="191">
                  <c:v>3517366.8119794219</c:v>
                </c:pt>
                <c:pt idx="192">
                  <c:v>3517366.8119794219</c:v>
                </c:pt>
                <c:pt idx="193">
                  <c:v>3517366.8119794219</c:v>
                </c:pt>
                <c:pt idx="194">
                  <c:v>3517366.8119794219</c:v>
                </c:pt>
                <c:pt idx="195">
                  <c:v>3517366.8119794219</c:v>
                </c:pt>
                <c:pt idx="196">
                  <c:v>3517366.8119794219</c:v>
                </c:pt>
                <c:pt idx="197">
                  <c:v>3517366.8119794219</c:v>
                </c:pt>
                <c:pt idx="198">
                  <c:v>3517366.8119794219</c:v>
                </c:pt>
                <c:pt idx="199">
                  <c:v>3517366.8119794219</c:v>
                </c:pt>
                <c:pt idx="200">
                  <c:v>3517366.8119794219</c:v>
                </c:pt>
                <c:pt idx="201">
                  <c:v>3517366.8119794219</c:v>
                </c:pt>
                <c:pt idx="202">
                  <c:v>3517366.8119794219</c:v>
                </c:pt>
                <c:pt idx="203">
                  <c:v>3517366.8119794219</c:v>
                </c:pt>
                <c:pt idx="204">
                  <c:v>3517366.8119794219</c:v>
                </c:pt>
                <c:pt idx="205">
                  <c:v>3517366.8119794219</c:v>
                </c:pt>
                <c:pt idx="206">
                  <c:v>3517366.8119794219</c:v>
                </c:pt>
                <c:pt idx="207">
                  <c:v>3517366.8119794219</c:v>
                </c:pt>
                <c:pt idx="208">
                  <c:v>3517366.8119794219</c:v>
                </c:pt>
                <c:pt idx="209">
                  <c:v>3517366.8119794219</c:v>
                </c:pt>
                <c:pt idx="210">
                  <c:v>3517366.8119794219</c:v>
                </c:pt>
                <c:pt idx="211">
                  <c:v>3517366.8119794219</c:v>
                </c:pt>
                <c:pt idx="212">
                  <c:v>3517366.8119794219</c:v>
                </c:pt>
                <c:pt idx="213">
                  <c:v>3517366.8119794219</c:v>
                </c:pt>
                <c:pt idx="214">
                  <c:v>3517366.8119794219</c:v>
                </c:pt>
                <c:pt idx="215">
                  <c:v>3517366.8119794219</c:v>
                </c:pt>
                <c:pt idx="216">
                  <c:v>3517366.8119794219</c:v>
                </c:pt>
                <c:pt idx="217">
                  <c:v>3517366.8119794219</c:v>
                </c:pt>
                <c:pt idx="218">
                  <c:v>3517366.8119794219</c:v>
                </c:pt>
                <c:pt idx="219">
                  <c:v>3517366.8119794219</c:v>
                </c:pt>
                <c:pt idx="220">
                  <c:v>3517366.8119794219</c:v>
                </c:pt>
                <c:pt idx="221">
                  <c:v>3517366.8119794219</c:v>
                </c:pt>
                <c:pt idx="222">
                  <c:v>3517366.8119794219</c:v>
                </c:pt>
                <c:pt idx="223">
                  <c:v>3517366.8119794219</c:v>
                </c:pt>
                <c:pt idx="224">
                  <c:v>3517366.8119794219</c:v>
                </c:pt>
                <c:pt idx="225">
                  <c:v>3517366.8119794219</c:v>
                </c:pt>
                <c:pt idx="226">
                  <c:v>3517366.8119794219</c:v>
                </c:pt>
                <c:pt idx="227">
                  <c:v>3517366.8119794219</c:v>
                </c:pt>
                <c:pt idx="228">
                  <c:v>3517366.8119794219</c:v>
                </c:pt>
                <c:pt idx="229">
                  <c:v>3517366.8119794219</c:v>
                </c:pt>
                <c:pt idx="230">
                  <c:v>3517366.8119794219</c:v>
                </c:pt>
                <c:pt idx="231">
                  <c:v>3517366.8119794219</c:v>
                </c:pt>
                <c:pt idx="232">
                  <c:v>3517366.8119794219</c:v>
                </c:pt>
                <c:pt idx="233">
                  <c:v>3517366.8119794219</c:v>
                </c:pt>
                <c:pt idx="234">
                  <c:v>3517366.8119794219</c:v>
                </c:pt>
                <c:pt idx="235">
                  <c:v>3517366.8119794219</c:v>
                </c:pt>
                <c:pt idx="236">
                  <c:v>3517366.8119794219</c:v>
                </c:pt>
                <c:pt idx="237">
                  <c:v>3517366.8119794219</c:v>
                </c:pt>
                <c:pt idx="238">
                  <c:v>3517366.8119794219</c:v>
                </c:pt>
                <c:pt idx="239">
                  <c:v>3517366.8119794219</c:v>
                </c:pt>
                <c:pt idx="240">
                  <c:v>3517366.8119794219</c:v>
                </c:pt>
                <c:pt idx="241">
                  <c:v>3517366.8119794219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15.025722684958353</c:v>
                </c:pt>
                <c:pt idx="1">
                  <c:v>21.24326310632043</c:v>
                </c:pt>
                <c:pt idx="2">
                  <c:v>26.813143067123956</c:v>
                </c:pt>
                <c:pt idx="3">
                  <c:v>35.491793238608523</c:v>
                </c:pt>
                <c:pt idx="4">
                  <c:v>41.709333659970596</c:v>
                </c:pt>
                <c:pt idx="5">
                  <c:v>49.740323370896618</c:v>
                </c:pt>
                <c:pt idx="6">
                  <c:v>59.455230279274858</c:v>
                </c:pt>
                <c:pt idx="7">
                  <c:v>76.164870161685442</c:v>
                </c:pt>
                <c:pt idx="8">
                  <c:v>103.49614159725624</c:v>
                </c:pt>
                <c:pt idx="9">
                  <c:v>146.50079617834393</c:v>
                </c:pt>
                <c:pt idx="10">
                  <c:v>172.0186183243508</c:v>
                </c:pt>
                <c:pt idx="11">
                  <c:v>164.63528907398333</c:v>
                </c:pt>
                <c:pt idx="12">
                  <c:v>218.26157520823125</c:v>
                </c:pt>
                <c:pt idx="13">
                  <c:v>297.40568348848603</c:v>
                </c:pt>
                <c:pt idx="14">
                  <c:v>290.79954679078878</c:v>
                </c:pt>
                <c:pt idx="15">
                  <c:v>449.9944879960803</c:v>
                </c:pt>
                <c:pt idx="16">
                  <c:v>569.29354483096517</c:v>
                </c:pt>
                <c:pt idx="17">
                  <c:v>639.49993875551195</c:v>
                </c:pt>
                <c:pt idx="18">
                  <c:v>735.87181528662416</c:v>
                </c:pt>
                <c:pt idx="19">
                  <c:v>872.91676874081327</c:v>
                </c:pt>
                <c:pt idx="20">
                  <c:v>1091.1459609260166</c:v>
                </c:pt>
                <c:pt idx="21">
                  <c:v>1363.9324511575207</c:v>
                </c:pt>
                <c:pt idx="22">
                  <c:v>1704.9155639469009</c:v>
                </c:pt>
                <c:pt idx="23">
                  <c:v>2131.1444549336261</c:v>
                </c:pt>
                <c:pt idx="24">
                  <c:v>2663.9305686670327</c:v>
                </c:pt>
                <c:pt idx="25">
                  <c:v>3329.9132108337908</c:v>
                </c:pt>
                <c:pt idx="26">
                  <c:v>4162.3915135422385</c:v>
                </c:pt>
                <c:pt idx="27">
                  <c:v>5202.9893919277984</c:v>
                </c:pt>
                <c:pt idx="28">
                  <c:v>6503.7367399097475</c:v>
                </c:pt>
                <c:pt idx="29">
                  <c:v>8129.6709248871848</c:v>
                </c:pt>
                <c:pt idx="30">
                  <c:v>10162.088656108981</c:v>
                </c:pt>
                <c:pt idx="31">
                  <c:v>12702.610820136226</c:v>
                </c:pt>
                <c:pt idx="32">
                  <c:v>15878.263525170281</c:v>
                </c:pt>
                <c:pt idx="33">
                  <c:v>19847.829406462854</c:v>
                </c:pt>
                <c:pt idx="34">
                  <c:v>24809.786758078568</c:v>
                </c:pt>
                <c:pt idx="35">
                  <c:v>31012.233447598206</c:v>
                </c:pt>
                <c:pt idx="36">
                  <c:v>38765.291809497758</c:v>
                </c:pt>
                <c:pt idx="37">
                  <c:v>48456.614761872203</c:v>
                </c:pt>
                <c:pt idx="38">
                  <c:v>60570.768452340257</c:v>
                </c:pt>
                <c:pt idx="39">
                  <c:v>75713.46056542531</c:v>
                </c:pt>
                <c:pt idx="40">
                  <c:v>94641.825706781645</c:v>
                </c:pt>
                <c:pt idx="41">
                  <c:v>118302.28213347706</c:v>
                </c:pt>
                <c:pt idx="42">
                  <c:v>147877.85266684633</c:v>
                </c:pt>
                <c:pt idx="43">
                  <c:v>184847.31583355792</c:v>
                </c:pt>
                <c:pt idx="44">
                  <c:v>231059.14479194739</c:v>
                </c:pt>
                <c:pt idx="45">
                  <c:v>288823.93098993425</c:v>
                </c:pt>
                <c:pt idx="46">
                  <c:v>361029.91373741784</c:v>
                </c:pt>
                <c:pt idx="47">
                  <c:v>451287.39217177226</c:v>
                </c:pt>
                <c:pt idx="48">
                  <c:v>564109.24021471536</c:v>
                </c:pt>
                <c:pt idx="49">
                  <c:v>705136.55026839406</c:v>
                </c:pt>
                <c:pt idx="50">
                  <c:v>881420.68783549266</c:v>
                </c:pt>
                <c:pt idx="51">
                  <c:v>1101775.8597943657</c:v>
                </c:pt>
                <c:pt idx="52">
                  <c:v>1377219.824742957</c:v>
                </c:pt>
                <c:pt idx="53">
                  <c:v>1721524.7809286963</c:v>
                </c:pt>
                <c:pt idx="54">
                  <c:v>2151905.9761608704</c:v>
                </c:pt>
                <c:pt idx="55">
                  <c:v>2689882.4702010881</c:v>
                </c:pt>
                <c:pt idx="56">
                  <c:v>3362353.0877513597</c:v>
                </c:pt>
                <c:pt idx="57">
                  <c:v>3517366.8119794219</c:v>
                </c:pt>
                <c:pt idx="58">
                  <c:v>3517366.8119794219</c:v>
                </c:pt>
                <c:pt idx="59">
                  <c:v>3517366.8119794219</c:v>
                </c:pt>
                <c:pt idx="60">
                  <c:v>3517366.8119794219</c:v>
                </c:pt>
                <c:pt idx="61">
                  <c:v>3517366.8119794219</c:v>
                </c:pt>
                <c:pt idx="62">
                  <c:v>3517366.8119794219</c:v>
                </c:pt>
                <c:pt idx="63">
                  <c:v>3517366.8119794219</c:v>
                </c:pt>
                <c:pt idx="64">
                  <c:v>3517366.8119794219</c:v>
                </c:pt>
                <c:pt idx="65">
                  <c:v>3517366.8119794219</c:v>
                </c:pt>
                <c:pt idx="66">
                  <c:v>3517366.8119794219</c:v>
                </c:pt>
                <c:pt idx="67">
                  <c:v>3517366.8119794219</c:v>
                </c:pt>
                <c:pt idx="68">
                  <c:v>3517366.8119794219</c:v>
                </c:pt>
                <c:pt idx="69">
                  <c:v>3517366.8119794219</c:v>
                </c:pt>
                <c:pt idx="70">
                  <c:v>3517366.8119794219</c:v>
                </c:pt>
                <c:pt idx="71">
                  <c:v>3517366.8119794219</c:v>
                </c:pt>
                <c:pt idx="72">
                  <c:v>3517366.8119794219</c:v>
                </c:pt>
                <c:pt idx="73">
                  <c:v>3517366.8119794219</c:v>
                </c:pt>
                <c:pt idx="74">
                  <c:v>3517366.8119794219</c:v>
                </c:pt>
                <c:pt idx="75">
                  <c:v>3517366.8119794219</c:v>
                </c:pt>
                <c:pt idx="76">
                  <c:v>3517366.8119794219</c:v>
                </c:pt>
                <c:pt idx="77">
                  <c:v>3517366.8119794219</c:v>
                </c:pt>
                <c:pt idx="78">
                  <c:v>3517366.8119794219</c:v>
                </c:pt>
                <c:pt idx="79">
                  <c:v>3517366.8119794219</c:v>
                </c:pt>
                <c:pt idx="80">
                  <c:v>3517366.8119794219</c:v>
                </c:pt>
                <c:pt idx="81">
                  <c:v>3517366.8119794219</c:v>
                </c:pt>
                <c:pt idx="82">
                  <c:v>3517366.8119794219</c:v>
                </c:pt>
                <c:pt idx="83">
                  <c:v>3517366.8119794219</c:v>
                </c:pt>
                <c:pt idx="84">
                  <c:v>3517366.8119794219</c:v>
                </c:pt>
                <c:pt idx="85">
                  <c:v>3517366.8119794219</c:v>
                </c:pt>
                <c:pt idx="86">
                  <c:v>3517366.8119794219</c:v>
                </c:pt>
                <c:pt idx="87">
                  <c:v>3517366.8119794219</c:v>
                </c:pt>
                <c:pt idx="88">
                  <c:v>3517366.8119794219</c:v>
                </c:pt>
                <c:pt idx="89">
                  <c:v>3517366.8119794219</c:v>
                </c:pt>
                <c:pt idx="90">
                  <c:v>3517366.8119794219</c:v>
                </c:pt>
                <c:pt idx="91">
                  <c:v>3517366.8119794219</c:v>
                </c:pt>
                <c:pt idx="92">
                  <c:v>3517366.8119794219</c:v>
                </c:pt>
                <c:pt idx="93">
                  <c:v>3517366.8119794219</c:v>
                </c:pt>
                <c:pt idx="94">
                  <c:v>3517366.8119794219</c:v>
                </c:pt>
                <c:pt idx="95">
                  <c:v>3517366.8119794219</c:v>
                </c:pt>
                <c:pt idx="96">
                  <c:v>3517366.8119794219</c:v>
                </c:pt>
                <c:pt idx="97">
                  <c:v>3517366.8119794219</c:v>
                </c:pt>
                <c:pt idx="98">
                  <c:v>3517366.8119794219</c:v>
                </c:pt>
                <c:pt idx="99">
                  <c:v>3517366.8119794219</c:v>
                </c:pt>
                <c:pt idx="100">
                  <c:v>3517366.8119794219</c:v>
                </c:pt>
                <c:pt idx="101">
                  <c:v>3517366.8119794219</c:v>
                </c:pt>
                <c:pt idx="102">
                  <c:v>3517366.8119794219</c:v>
                </c:pt>
                <c:pt idx="103">
                  <c:v>3517366.8119794219</c:v>
                </c:pt>
                <c:pt idx="104">
                  <c:v>3517366.8119794219</c:v>
                </c:pt>
                <c:pt idx="105">
                  <c:v>3517366.8119794219</c:v>
                </c:pt>
                <c:pt idx="106">
                  <c:v>3517366.8119794219</c:v>
                </c:pt>
                <c:pt idx="107">
                  <c:v>3517366.8119794219</c:v>
                </c:pt>
                <c:pt idx="108">
                  <c:v>3517366.8119794219</c:v>
                </c:pt>
                <c:pt idx="109">
                  <c:v>3517366.8119794219</c:v>
                </c:pt>
                <c:pt idx="110">
                  <c:v>3517366.8119794219</c:v>
                </c:pt>
                <c:pt idx="111">
                  <c:v>3517366.8119794219</c:v>
                </c:pt>
                <c:pt idx="112">
                  <c:v>3517366.8119794219</c:v>
                </c:pt>
                <c:pt idx="113">
                  <c:v>3517366.8119794219</c:v>
                </c:pt>
                <c:pt idx="114">
                  <c:v>3517366.8119794219</c:v>
                </c:pt>
                <c:pt idx="115">
                  <c:v>3517366.8119794219</c:v>
                </c:pt>
                <c:pt idx="116">
                  <c:v>3517366.8119794219</c:v>
                </c:pt>
                <c:pt idx="117">
                  <c:v>3517366.8119794219</c:v>
                </c:pt>
                <c:pt idx="118">
                  <c:v>3517366.8119794219</c:v>
                </c:pt>
                <c:pt idx="119">
                  <c:v>3517366.8119794219</c:v>
                </c:pt>
                <c:pt idx="120">
                  <c:v>3517366.8119794219</c:v>
                </c:pt>
                <c:pt idx="121">
                  <c:v>3517366.8119794219</c:v>
                </c:pt>
                <c:pt idx="122">
                  <c:v>3517366.8119794219</c:v>
                </c:pt>
                <c:pt idx="123">
                  <c:v>3517366.8119794219</c:v>
                </c:pt>
                <c:pt idx="124">
                  <c:v>3517366.8119794219</c:v>
                </c:pt>
                <c:pt idx="125">
                  <c:v>3517366.8119794219</c:v>
                </c:pt>
                <c:pt idx="126">
                  <c:v>3517366.8119794219</c:v>
                </c:pt>
                <c:pt idx="127">
                  <c:v>3517366.8119794219</c:v>
                </c:pt>
                <c:pt idx="128">
                  <c:v>3517366.8119794219</c:v>
                </c:pt>
                <c:pt idx="129">
                  <c:v>3517366.8119794219</c:v>
                </c:pt>
                <c:pt idx="130">
                  <c:v>3517366.8119794219</c:v>
                </c:pt>
                <c:pt idx="131">
                  <c:v>3517366.8119794219</c:v>
                </c:pt>
                <c:pt idx="132">
                  <c:v>3517366.8119794219</c:v>
                </c:pt>
                <c:pt idx="133">
                  <c:v>3517366.8119794219</c:v>
                </c:pt>
                <c:pt idx="134">
                  <c:v>3517366.8119794219</c:v>
                </c:pt>
                <c:pt idx="135">
                  <c:v>3517366.8119794219</c:v>
                </c:pt>
                <c:pt idx="136">
                  <c:v>3517366.8119794219</c:v>
                </c:pt>
                <c:pt idx="137">
                  <c:v>3517366.8119794219</c:v>
                </c:pt>
                <c:pt idx="138">
                  <c:v>3517366.8119794219</c:v>
                </c:pt>
                <c:pt idx="139">
                  <c:v>3517366.8119794219</c:v>
                </c:pt>
                <c:pt idx="140">
                  <c:v>3517366.8119794219</c:v>
                </c:pt>
                <c:pt idx="141">
                  <c:v>3517366.8119794219</c:v>
                </c:pt>
                <c:pt idx="142">
                  <c:v>3517366.8119794219</c:v>
                </c:pt>
                <c:pt idx="143">
                  <c:v>3517366.8119794219</c:v>
                </c:pt>
                <c:pt idx="144">
                  <c:v>3517366.8119794219</c:v>
                </c:pt>
                <c:pt idx="145">
                  <c:v>3517366.8119794219</c:v>
                </c:pt>
                <c:pt idx="146">
                  <c:v>3517366.8119794219</c:v>
                </c:pt>
                <c:pt idx="147">
                  <c:v>3517366.8119794219</c:v>
                </c:pt>
                <c:pt idx="148">
                  <c:v>3517366.8119794219</c:v>
                </c:pt>
                <c:pt idx="149">
                  <c:v>3517366.8119794219</c:v>
                </c:pt>
                <c:pt idx="150">
                  <c:v>3517366.8119794219</c:v>
                </c:pt>
                <c:pt idx="151">
                  <c:v>3517366.8119794219</c:v>
                </c:pt>
                <c:pt idx="152">
                  <c:v>3517366.8119794219</c:v>
                </c:pt>
                <c:pt idx="153">
                  <c:v>3517366.8119794219</c:v>
                </c:pt>
                <c:pt idx="154">
                  <c:v>3517366.8119794219</c:v>
                </c:pt>
                <c:pt idx="155">
                  <c:v>3517366.8119794219</c:v>
                </c:pt>
                <c:pt idx="156">
                  <c:v>3517366.8119794219</c:v>
                </c:pt>
                <c:pt idx="157">
                  <c:v>3517366.8119794219</c:v>
                </c:pt>
                <c:pt idx="158">
                  <c:v>3517366.8119794219</c:v>
                </c:pt>
                <c:pt idx="159">
                  <c:v>3517366.8119794219</c:v>
                </c:pt>
                <c:pt idx="160">
                  <c:v>3517366.8119794219</c:v>
                </c:pt>
                <c:pt idx="161">
                  <c:v>3517366.8119794219</c:v>
                </c:pt>
                <c:pt idx="162">
                  <c:v>3517366.8119794219</c:v>
                </c:pt>
                <c:pt idx="163">
                  <c:v>3517366.8119794219</c:v>
                </c:pt>
                <c:pt idx="164">
                  <c:v>3517366.8119794219</c:v>
                </c:pt>
                <c:pt idx="165">
                  <c:v>3517366.8119794219</c:v>
                </c:pt>
                <c:pt idx="166">
                  <c:v>3517366.8119794219</c:v>
                </c:pt>
                <c:pt idx="167">
                  <c:v>3517366.8119794219</c:v>
                </c:pt>
                <c:pt idx="168">
                  <c:v>3517366.8119794219</c:v>
                </c:pt>
                <c:pt idx="169">
                  <c:v>3517366.8119794219</c:v>
                </c:pt>
                <c:pt idx="170">
                  <c:v>3517366.8119794219</c:v>
                </c:pt>
                <c:pt idx="171">
                  <c:v>3517366.8119794219</c:v>
                </c:pt>
                <c:pt idx="172">
                  <c:v>3517366.8119794219</c:v>
                </c:pt>
                <c:pt idx="173">
                  <c:v>3517366.8119794219</c:v>
                </c:pt>
                <c:pt idx="174">
                  <c:v>3517366.8119794219</c:v>
                </c:pt>
                <c:pt idx="175">
                  <c:v>3517366.8119794219</c:v>
                </c:pt>
                <c:pt idx="176">
                  <c:v>3517366.8119794219</c:v>
                </c:pt>
                <c:pt idx="177">
                  <c:v>3517366.8119794219</c:v>
                </c:pt>
                <c:pt idx="178">
                  <c:v>3517366.8119794219</c:v>
                </c:pt>
                <c:pt idx="179">
                  <c:v>3517366.8119794219</c:v>
                </c:pt>
                <c:pt idx="180">
                  <c:v>3517366.8119794219</c:v>
                </c:pt>
                <c:pt idx="181">
                  <c:v>3517366.8119794219</c:v>
                </c:pt>
                <c:pt idx="182">
                  <c:v>3517366.8119794219</c:v>
                </c:pt>
                <c:pt idx="183">
                  <c:v>3517366.8119794219</c:v>
                </c:pt>
                <c:pt idx="184">
                  <c:v>3517366.8119794219</c:v>
                </c:pt>
                <c:pt idx="185">
                  <c:v>3517366.8119794219</c:v>
                </c:pt>
                <c:pt idx="186">
                  <c:v>3517366.8119794219</c:v>
                </c:pt>
                <c:pt idx="187">
                  <c:v>3517366.8119794219</c:v>
                </c:pt>
                <c:pt idx="188">
                  <c:v>3517366.8119794219</c:v>
                </c:pt>
                <c:pt idx="189">
                  <c:v>3517366.8119794219</c:v>
                </c:pt>
                <c:pt idx="190">
                  <c:v>3517366.8119794219</c:v>
                </c:pt>
                <c:pt idx="191">
                  <c:v>3517366.8119794219</c:v>
                </c:pt>
                <c:pt idx="192">
                  <c:v>3517366.8119794219</c:v>
                </c:pt>
                <c:pt idx="193">
                  <c:v>3517366.8119794219</c:v>
                </c:pt>
                <c:pt idx="194">
                  <c:v>3517366.8119794219</c:v>
                </c:pt>
                <c:pt idx="195">
                  <c:v>3517366.8119794219</c:v>
                </c:pt>
                <c:pt idx="196">
                  <c:v>3517366.8119794219</c:v>
                </c:pt>
                <c:pt idx="197">
                  <c:v>3517366.8119794219</c:v>
                </c:pt>
                <c:pt idx="198">
                  <c:v>3517366.8119794219</c:v>
                </c:pt>
                <c:pt idx="199">
                  <c:v>3517366.8119794219</c:v>
                </c:pt>
                <c:pt idx="200">
                  <c:v>3517366.8119794219</c:v>
                </c:pt>
                <c:pt idx="201">
                  <c:v>3517366.8119794219</c:v>
                </c:pt>
                <c:pt idx="202">
                  <c:v>3517366.8119794219</c:v>
                </c:pt>
                <c:pt idx="203">
                  <c:v>3517366.8119794219</c:v>
                </c:pt>
                <c:pt idx="204">
                  <c:v>3517366.8119794219</c:v>
                </c:pt>
                <c:pt idx="205">
                  <c:v>3517366.8119794219</c:v>
                </c:pt>
                <c:pt idx="206">
                  <c:v>3517366.8119794219</c:v>
                </c:pt>
                <c:pt idx="207">
                  <c:v>3517366.8119794219</c:v>
                </c:pt>
                <c:pt idx="208">
                  <c:v>3517366.8119794219</c:v>
                </c:pt>
                <c:pt idx="209">
                  <c:v>3517366.8119794219</c:v>
                </c:pt>
                <c:pt idx="210">
                  <c:v>3517366.8119794219</c:v>
                </c:pt>
                <c:pt idx="211">
                  <c:v>3517366.8119794219</c:v>
                </c:pt>
                <c:pt idx="212">
                  <c:v>3517366.8119794219</c:v>
                </c:pt>
                <c:pt idx="213">
                  <c:v>3517366.8119794219</c:v>
                </c:pt>
                <c:pt idx="214">
                  <c:v>3517366.8119794219</c:v>
                </c:pt>
                <c:pt idx="215">
                  <c:v>3517366.8119794219</c:v>
                </c:pt>
                <c:pt idx="216">
                  <c:v>3517366.8119794219</c:v>
                </c:pt>
                <c:pt idx="217">
                  <c:v>3517366.8119794219</c:v>
                </c:pt>
                <c:pt idx="218">
                  <c:v>3517366.8119794219</c:v>
                </c:pt>
                <c:pt idx="219">
                  <c:v>3517366.8119794219</c:v>
                </c:pt>
                <c:pt idx="220">
                  <c:v>3517366.8119794219</c:v>
                </c:pt>
                <c:pt idx="221">
                  <c:v>3517366.8119794219</c:v>
                </c:pt>
                <c:pt idx="222">
                  <c:v>3517366.8119794219</c:v>
                </c:pt>
                <c:pt idx="223">
                  <c:v>3517366.8119794219</c:v>
                </c:pt>
                <c:pt idx="224">
                  <c:v>3517366.8119794219</c:v>
                </c:pt>
                <c:pt idx="225">
                  <c:v>3517366.8119794219</c:v>
                </c:pt>
                <c:pt idx="226">
                  <c:v>3517366.8119794219</c:v>
                </c:pt>
                <c:pt idx="227">
                  <c:v>3517366.8119794219</c:v>
                </c:pt>
                <c:pt idx="228">
                  <c:v>3517366.8119794219</c:v>
                </c:pt>
                <c:pt idx="229">
                  <c:v>3517366.8119794219</c:v>
                </c:pt>
                <c:pt idx="230">
                  <c:v>3517366.8119794219</c:v>
                </c:pt>
                <c:pt idx="231">
                  <c:v>3517366.8119794219</c:v>
                </c:pt>
                <c:pt idx="232">
                  <c:v>3517366.8119794219</c:v>
                </c:pt>
                <c:pt idx="233">
                  <c:v>3517366.8119794219</c:v>
                </c:pt>
                <c:pt idx="234">
                  <c:v>3517366.8119794219</c:v>
                </c:pt>
                <c:pt idx="235">
                  <c:v>3517366.8119794219</c:v>
                </c:pt>
                <c:pt idx="236">
                  <c:v>3517366.8119794219</c:v>
                </c:pt>
                <c:pt idx="237">
                  <c:v>3517366.8119794219</c:v>
                </c:pt>
                <c:pt idx="238">
                  <c:v>3517366.8119794219</c:v>
                </c:pt>
                <c:pt idx="239">
                  <c:v>3517366.8119794219</c:v>
                </c:pt>
                <c:pt idx="240">
                  <c:v>3517366.8119794219</c:v>
                </c:pt>
                <c:pt idx="241">
                  <c:v>3517366.8119794219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15.025722684958353</c:v>
                </c:pt>
                <c:pt idx="1">
                  <c:v>21.24326310632043</c:v>
                </c:pt>
                <c:pt idx="2">
                  <c:v>26.813143067123956</c:v>
                </c:pt>
                <c:pt idx="3">
                  <c:v>35.491793238608523</c:v>
                </c:pt>
                <c:pt idx="4">
                  <c:v>41.709333659970596</c:v>
                </c:pt>
                <c:pt idx="5">
                  <c:v>49.740323370896618</c:v>
                </c:pt>
                <c:pt idx="6">
                  <c:v>59.455230279274858</c:v>
                </c:pt>
                <c:pt idx="7">
                  <c:v>76.164870161685442</c:v>
                </c:pt>
                <c:pt idx="8">
                  <c:v>103.49614159725624</c:v>
                </c:pt>
                <c:pt idx="9">
                  <c:v>146.50079617834393</c:v>
                </c:pt>
                <c:pt idx="10">
                  <c:v>172.0186183243508</c:v>
                </c:pt>
                <c:pt idx="11">
                  <c:v>164.63528907398333</c:v>
                </c:pt>
                <c:pt idx="12">
                  <c:v>218.26157520823125</c:v>
                </c:pt>
                <c:pt idx="13">
                  <c:v>297.40568348848603</c:v>
                </c:pt>
                <c:pt idx="14">
                  <c:v>290.79954679078878</c:v>
                </c:pt>
                <c:pt idx="15">
                  <c:v>449.9944879960803</c:v>
                </c:pt>
                <c:pt idx="16">
                  <c:v>569.29354483096517</c:v>
                </c:pt>
                <c:pt idx="17">
                  <c:v>639.49993875551195</c:v>
                </c:pt>
                <c:pt idx="18">
                  <c:v>735.87181528662416</c:v>
                </c:pt>
                <c:pt idx="19">
                  <c:v>872.91676874081327</c:v>
                </c:pt>
                <c:pt idx="20">
                  <c:v>1222.0834762371383</c:v>
                </c:pt>
                <c:pt idx="21">
                  <c:v>1710.9168667319937</c:v>
                </c:pt>
                <c:pt idx="22">
                  <c:v>2395.2836134247909</c:v>
                </c:pt>
                <c:pt idx="23">
                  <c:v>3353.3970587947069</c:v>
                </c:pt>
                <c:pt idx="24">
                  <c:v>4694.7558823125901</c:v>
                </c:pt>
                <c:pt idx="25">
                  <c:v>6572.6582352376245</c:v>
                </c:pt>
                <c:pt idx="26">
                  <c:v>9201.7215293326735</c:v>
                </c:pt>
                <c:pt idx="27">
                  <c:v>12882.410141065742</c:v>
                </c:pt>
                <c:pt idx="28">
                  <c:v>18035.374197492038</c:v>
                </c:pt>
                <c:pt idx="29">
                  <c:v>25249.523876488849</c:v>
                </c:pt>
                <c:pt idx="30">
                  <c:v>35349.333427084392</c:v>
                </c:pt>
                <c:pt idx="31">
                  <c:v>49489.066797918145</c:v>
                </c:pt>
                <c:pt idx="32">
                  <c:v>69284.693517085398</c:v>
                </c:pt>
                <c:pt idx="33">
                  <c:v>96998.570923919557</c:v>
                </c:pt>
                <c:pt idx="34">
                  <c:v>135797.99929348737</c:v>
                </c:pt>
                <c:pt idx="35">
                  <c:v>190117.19901088232</c:v>
                </c:pt>
                <c:pt idx="36">
                  <c:v>266164.07861523522</c:v>
                </c:pt>
                <c:pt idx="37">
                  <c:v>372629.71006132936</c:v>
                </c:pt>
                <c:pt idx="38">
                  <c:v>521681.594085861</c:v>
                </c:pt>
                <c:pt idx="39">
                  <c:v>730354.2317202054</c:v>
                </c:pt>
                <c:pt idx="40">
                  <c:v>1022495.9244082875</c:v>
                </c:pt>
                <c:pt idx="41">
                  <c:v>1431494.2941716025</c:v>
                </c:pt>
                <c:pt idx="42">
                  <c:v>2004092.0118402434</c:v>
                </c:pt>
                <c:pt idx="43">
                  <c:v>2805728.8165763402</c:v>
                </c:pt>
                <c:pt idx="44">
                  <c:v>3517366.8119794219</c:v>
                </c:pt>
                <c:pt idx="45">
                  <c:v>3517366.8119794219</c:v>
                </c:pt>
                <c:pt idx="46">
                  <c:v>3517366.8119794219</c:v>
                </c:pt>
                <c:pt idx="47">
                  <c:v>3517366.8119794219</c:v>
                </c:pt>
                <c:pt idx="48">
                  <c:v>3517366.8119794219</c:v>
                </c:pt>
                <c:pt idx="49">
                  <c:v>3517366.8119794219</c:v>
                </c:pt>
                <c:pt idx="50">
                  <c:v>3517366.8119794219</c:v>
                </c:pt>
                <c:pt idx="51">
                  <c:v>3517366.8119794219</c:v>
                </c:pt>
                <c:pt idx="52">
                  <c:v>3517366.8119794219</c:v>
                </c:pt>
                <c:pt idx="53">
                  <c:v>3517366.8119794219</c:v>
                </c:pt>
                <c:pt idx="54">
                  <c:v>3517366.8119794219</c:v>
                </c:pt>
                <c:pt idx="55">
                  <c:v>3517366.8119794219</c:v>
                </c:pt>
                <c:pt idx="56">
                  <c:v>3517366.8119794219</c:v>
                </c:pt>
                <c:pt idx="57">
                  <c:v>3517366.8119794219</c:v>
                </c:pt>
                <c:pt idx="58">
                  <c:v>3517366.8119794219</c:v>
                </c:pt>
                <c:pt idx="59">
                  <c:v>3517366.8119794219</c:v>
                </c:pt>
                <c:pt idx="60">
                  <c:v>3517366.8119794219</c:v>
                </c:pt>
                <c:pt idx="61">
                  <c:v>3517366.8119794219</c:v>
                </c:pt>
                <c:pt idx="62">
                  <c:v>3517366.8119794219</c:v>
                </c:pt>
                <c:pt idx="63">
                  <c:v>3517366.8119794219</c:v>
                </c:pt>
                <c:pt idx="64">
                  <c:v>3517366.8119794219</c:v>
                </c:pt>
                <c:pt idx="65">
                  <c:v>3517366.8119794219</c:v>
                </c:pt>
                <c:pt idx="66">
                  <c:v>3517366.8119794219</c:v>
                </c:pt>
                <c:pt idx="67">
                  <c:v>3517366.8119794219</c:v>
                </c:pt>
                <c:pt idx="68">
                  <c:v>3517366.8119794219</c:v>
                </c:pt>
                <c:pt idx="69">
                  <c:v>3517366.8119794219</c:v>
                </c:pt>
                <c:pt idx="70">
                  <c:v>3517366.8119794219</c:v>
                </c:pt>
                <c:pt idx="71">
                  <c:v>3517366.8119794219</c:v>
                </c:pt>
                <c:pt idx="72">
                  <c:v>3517366.8119794219</c:v>
                </c:pt>
                <c:pt idx="73">
                  <c:v>3517366.8119794219</c:v>
                </c:pt>
                <c:pt idx="74">
                  <c:v>3517366.8119794219</c:v>
                </c:pt>
                <c:pt idx="75">
                  <c:v>3517366.8119794219</c:v>
                </c:pt>
                <c:pt idx="76">
                  <c:v>3517366.8119794219</c:v>
                </c:pt>
                <c:pt idx="77">
                  <c:v>3517366.8119794219</c:v>
                </c:pt>
                <c:pt idx="78">
                  <c:v>3517366.8119794219</c:v>
                </c:pt>
                <c:pt idx="79">
                  <c:v>3517366.8119794219</c:v>
                </c:pt>
                <c:pt idx="80">
                  <c:v>3517366.8119794219</c:v>
                </c:pt>
                <c:pt idx="81">
                  <c:v>3517366.8119794219</c:v>
                </c:pt>
                <c:pt idx="82">
                  <c:v>3517366.8119794219</c:v>
                </c:pt>
                <c:pt idx="83">
                  <c:v>3517366.8119794219</c:v>
                </c:pt>
                <c:pt idx="84">
                  <c:v>3517366.8119794219</c:v>
                </c:pt>
                <c:pt idx="85">
                  <c:v>3517366.8119794219</c:v>
                </c:pt>
                <c:pt idx="86">
                  <c:v>3517366.8119794219</c:v>
                </c:pt>
                <c:pt idx="87">
                  <c:v>3517366.8119794219</c:v>
                </c:pt>
                <c:pt idx="88">
                  <c:v>3517366.8119794219</c:v>
                </c:pt>
                <c:pt idx="89">
                  <c:v>3517366.8119794219</c:v>
                </c:pt>
                <c:pt idx="90">
                  <c:v>3517366.8119794219</c:v>
                </c:pt>
                <c:pt idx="91">
                  <c:v>3517366.8119794219</c:v>
                </c:pt>
                <c:pt idx="92">
                  <c:v>3517366.8119794219</c:v>
                </c:pt>
                <c:pt idx="93">
                  <c:v>3517366.8119794219</c:v>
                </c:pt>
                <c:pt idx="94">
                  <c:v>3517366.8119794219</c:v>
                </c:pt>
                <c:pt idx="95">
                  <c:v>3517366.8119794219</c:v>
                </c:pt>
                <c:pt idx="96">
                  <c:v>3517366.8119794219</c:v>
                </c:pt>
                <c:pt idx="97">
                  <c:v>3517366.8119794219</c:v>
                </c:pt>
                <c:pt idx="98">
                  <c:v>3517366.8119794219</c:v>
                </c:pt>
                <c:pt idx="99">
                  <c:v>3517366.8119794219</c:v>
                </c:pt>
                <c:pt idx="100">
                  <c:v>3517366.8119794219</c:v>
                </c:pt>
                <c:pt idx="101">
                  <c:v>3517366.8119794219</c:v>
                </c:pt>
                <c:pt idx="102">
                  <c:v>3517366.8119794219</c:v>
                </c:pt>
                <c:pt idx="103">
                  <c:v>3517366.8119794219</c:v>
                </c:pt>
                <c:pt idx="104">
                  <c:v>3517366.8119794219</c:v>
                </c:pt>
                <c:pt idx="105">
                  <c:v>3517366.8119794219</c:v>
                </c:pt>
                <c:pt idx="106">
                  <c:v>3517366.8119794219</c:v>
                </c:pt>
                <c:pt idx="107">
                  <c:v>3517366.8119794219</c:v>
                </c:pt>
                <c:pt idx="108">
                  <c:v>3517366.8119794219</c:v>
                </c:pt>
                <c:pt idx="109">
                  <c:v>3517366.8119794219</c:v>
                </c:pt>
                <c:pt idx="110">
                  <c:v>3517366.8119794219</c:v>
                </c:pt>
                <c:pt idx="111">
                  <c:v>3517366.8119794219</c:v>
                </c:pt>
                <c:pt idx="112">
                  <c:v>3517366.8119794219</c:v>
                </c:pt>
                <c:pt idx="113">
                  <c:v>3517366.8119794219</c:v>
                </c:pt>
                <c:pt idx="114">
                  <c:v>3517366.8119794219</c:v>
                </c:pt>
                <c:pt idx="115">
                  <c:v>3517366.8119794219</c:v>
                </c:pt>
                <c:pt idx="116">
                  <c:v>3517366.8119794219</c:v>
                </c:pt>
                <c:pt idx="117">
                  <c:v>3517366.8119794219</c:v>
                </c:pt>
                <c:pt idx="118">
                  <c:v>3517366.8119794219</c:v>
                </c:pt>
                <c:pt idx="119">
                  <c:v>3517366.8119794219</c:v>
                </c:pt>
                <c:pt idx="120">
                  <c:v>3517366.8119794219</c:v>
                </c:pt>
                <c:pt idx="121">
                  <c:v>3517366.8119794219</c:v>
                </c:pt>
                <c:pt idx="122">
                  <c:v>3517366.8119794219</c:v>
                </c:pt>
                <c:pt idx="123">
                  <c:v>3517366.8119794219</c:v>
                </c:pt>
                <c:pt idx="124">
                  <c:v>3517366.8119794219</c:v>
                </c:pt>
                <c:pt idx="125">
                  <c:v>3517366.8119794219</c:v>
                </c:pt>
                <c:pt idx="126">
                  <c:v>3517366.8119794219</c:v>
                </c:pt>
                <c:pt idx="127">
                  <c:v>3517366.8119794219</c:v>
                </c:pt>
                <c:pt idx="128">
                  <c:v>3517366.8119794219</c:v>
                </c:pt>
                <c:pt idx="129">
                  <c:v>3517366.8119794219</c:v>
                </c:pt>
                <c:pt idx="130">
                  <c:v>3517366.8119794219</c:v>
                </c:pt>
                <c:pt idx="131">
                  <c:v>3517366.8119794219</c:v>
                </c:pt>
                <c:pt idx="132">
                  <c:v>3517366.8119794219</c:v>
                </c:pt>
                <c:pt idx="133">
                  <c:v>3517366.8119794219</c:v>
                </c:pt>
                <c:pt idx="134">
                  <c:v>3517366.8119794219</c:v>
                </c:pt>
                <c:pt idx="135">
                  <c:v>3517366.8119794219</c:v>
                </c:pt>
                <c:pt idx="136">
                  <c:v>3517366.8119794219</c:v>
                </c:pt>
                <c:pt idx="137">
                  <c:v>3517366.8119794219</c:v>
                </c:pt>
                <c:pt idx="138">
                  <c:v>3517366.8119794219</c:v>
                </c:pt>
                <c:pt idx="139">
                  <c:v>3517366.8119794219</c:v>
                </c:pt>
                <c:pt idx="140">
                  <c:v>3517366.8119794219</c:v>
                </c:pt>
                <c:pt idx="141">
                  <c:v>3517366.8119794219</c:v>
                </c:pt>
                <c:pt idx="142">
                  <c:v>3517366.8119794219</c:v>
                </c:pt>
                <c:pt idx="143">
                  <c:v>3517366.8119794219</c:v>
                </c:pt>
                <c:pt idx="144">
                  <c:v>3517366.8119794219</c:v>
                </c:pt>
                <c:pt idx="145">
                  <c:v>3517366.8119794219</c:v>
                </c:pt>
                <c:pt idx="146">
                  <c:v>3517366.8119794219</c:v>
                </c:pt>
                <c:pt idx="147">
                  <c:v>3517366.8119794219</c:v>
                </c:pt>
                <c:pt idx="148">
                  <c:v>3517366.8119794219</c:v>
                </c:pt>
                <c:pt idx="149">
                  <c:v>3517366.8119794219</c:v>
                </c:pt>
                <c:pt idx="150">
                  <c:v>3517366.8119794219</c:v>
                </c:pt>
                <c:pt idx="151">
                  <c:v>3517366.8119794219</c:v>
                </c:pt>
                <c:pt idx="152">
                  <c:v>3517366.8119794219</c:v>
                </c:pt>
                <c:pt idx="153">
                  <c:v>3517366.8119794219</c:v>
                </c:pt>
                <c:pt idx="154">
                  <c:v>3517366.8119794219</c:v>
                </c:pt>
                <c:pt idx="155">
                  <c:v>3517366.8119794219</c:v>
                </c:pt>
                <c:pt idx="156">
                  <c:v>3517366.8119794219</c:v>
                </c:pt>
                <c:pt idx="157">
                  <c:v>3517366.8119794219</c:v>
                </c:pt>
                <c:pt idx="158">
                  <c:v>3517366.8119794219</c:v>
                </c:pt>
                <c:pt idx="159">
                  <c:v>3517366.8119794219</c:v>
                </c:pt>
                <c:pt idx="160">
                  <c:v>3517366.8119794219</c:v>
                </c:pt>
                <c:pt idx="161">
                  <c:v>3517366.8119794219</c:v>
                </c:pt>
                <c:pt idx="162">
                  <c:v>3517366.8119794219</c:v>
                </c:pt>
                <c:pt idx="163">
                  <c:v>3517366.8119794219</c:v>
                </c:pt>
                <c:pt idx="164">
                  <c:v>3517366.8119794219</c:v>
                </c:pt>
                <c:pt idx="165">
                  <c:v>3517366.8119794219</c:v>
                </c:pt>
                <c:pt idx="166">
                  <c:v>3517366.8119794219</c:v>
                </c:pt>
                <c:pt idx="167">
                  <c:v>3517366.8119794219</c:v>
                </c:pt>
                <c:pt idx="168">
                  <c:v>3517366.8119794219</c:v>
                </c:pt>
                <c:pt idx="169">
                  <c:v>3517366.8119794219</c:v>
                </c:pt>
                <c:pt idx="170">
                  <c:v>3517366.8119794219</c:v>
                </c:pt>
                <c:pt idx="171">
                  <c:v>3517366.8119794219</c:v>
                </c:pt>
                <c:pt idx="172">
                  <c:v>3517366.8119794219</c:v>
                </c:pt>
                <c:pt idx="173">
                  <c:v>3517366.8119794219</c:v>
                </c:pt>
                <c:pt idx="174">
                  <c:v>3517366.8119794219</c:v>
                </c:pt>
                <c:pt idx="175">
                  <c:v>3517366.8119794219</c:v>
                </c:pt>
                <c:pt idx="176">
                  <c:v>3517366.8119794219</c:v>
                </c:pt>
                <c:pt idx="177">
                  <c:v>3517366.8119794219</c:v>
                </c:pt>
                <c:pt idx="178">
                  <c:v>3517366.8119794219</c:v>
                </c:pt>
                <c:pt idx="179">
                  <c:v>3517366.8119794219</c:v>
                </c:pt>
                <c:pt idx="180">
                  <c:v>3517366.8119794219</c:v>
                </c:pt>
                <c:pt idx="181">
                  <c:v>3517366.8119794219</c:v>
                </c:pt>
                <c:pt idx="182">
                  <c:v>3517366.8119794219</c:v>
                </c:pt>
                <c:pt idx="183">
                  <c:v>3517366.8119794219</c:v>
                </c:pt>
                <c:pt idx="184">
                  <c:v>3517366.8119794219</c:v>
                </c:pt>
                <c:pt idx="185">
                  <c:v>3517366.8119794219</c:v>
                </c:pt>
                <c:pt idx="186">
                  <c:v>3517366.8119794219</c:v>
                </c:pt>
                <c:pt idx="187">
                  <c:v>3517366.8119794219</c:v>
                </c:pt>
                <c:pt idx="188">
                  <c:v>3517366.8119794219</c:v>
                </c:pt>
                <c:pt idx="189">
                  <c:v>3517366.8119794219</c:v>
                </c:pt>
                <c:pt idx="190">
                  <c:v>3517366.8119794219</c:v>
                </c:pt>
                <c:pt idx="191">
                  <c:v>3517366.8119794219</c:v>
                </c:pt>
                <c:pt idx="192">
                  <c:v>3517366.8119794219</c:v>
                </c:pt>
                <c:pt idx="193">
                  <c:v>3517366.8119794219</c:v>
                </c:pt>
                <c:pt idx="194">
                  <c:v>3517366.8119794219</c:v>
                </c:pt>
                <c:pt idx="195">
                  <c:v>3517366.8119794219</c:v>
                </c:pt>
                <c:pt idx="196">
                  <c:v>3517366.8119794219</c:v>
                </c:pt>
                <c:pt idx="197">
                  <c:v>3517366.8119794219</c:v>
                </c:pt>
                <c:pt idx="198">
                  <c:v>3517366.8119794219</c:v>
                </c:pt>
                <c:pt idx="199">
                  <c:v>3517366.8119794219</c:v>
                </c:pt>
                <c:pt idx="200">
                  <c:v>3517366.8119794219</c:v>
                </c:pt>
                <c:pt idx="201">
                  <c:v>3517366.8119794219</c:v>
                </c:pt>
                <c:pt idx="202">
                  <c:v>3517366.8119794219</c:v>
                </c:pt>
                <c:pt idx="203">
                  <c:v>3517366.8119794219</c:v>
                </c:pt>
                <c:pt idx="204">
                  <c:v>3517366.8119794219</c:v>
                </c:pt>
                <c:pt idx="205">
                  <c:v>3517366.8119794219</c:v>
                </c:pt>
                <c:pt idx="206">
                  <c:v>3517366.8119794219</c:v>
                </c:pt>
                <c:pt idx="207">
                  <c:v>3517366.8119794219</c:v>
                </c:pt>
                <c:pt idx="208">
                  <c:v>3517366.8119794219</c:v>
                </c:pt>
                <c:pt idx="209">
                  <c:v>3517366.8119794219</c:v>
                </c:pt>
                <c:pt idx="210">
                  <c:v>3517366.8119794219</c:v>
                </c:pt>
                <c:pt idx="211">
                  <c:v>3517366.8119794219</c:v>
                </c:pt>
                <c:pt idx="212">
                  <c:v>3517366.8119794219</c:v>
                </c:pt>
                <c:pt idx="213">
                  <c:v>3517366.8119794219</c:v>
                </c:pt>
                <c:pt idx="214">
                  <c:v>3517366.8119794219</c:v>
                </c:pt>
                <c:pt idx="215">
                  <c:v>3517366.8119794219</c:v>
                </c:pt>
                <c:pt idx="216">
                  <c:v>3517366.8119794219</c:v>
                </c:pt>
                <c:pt idx="217">
                  <c:v>3517366.8119794219</c:v>
                </c:pt>
                <c:pt idx="218">
                  <c:v>3517366.8119794219</c:v>
                </c:pt>
                <c:pt idx="219">
                  <c:v>3517366.8119794219</c:v>
                </c:pt>
                <c:pt idx="220">
                  <c:v>3517366.8119794219</c:v>
                </c:pt>
                <c:pt idx="221">
                  <c:v>3517366.8119794219</c:v>
                </c:pt>
                <c:pt idx="222">
                  <c:v>3517366.8119794219</c:v>
                </c:pt>
                <c:pt idx="223">
                  <c:v>3517366.8119794219</c:v>
                </c:pt>
                <c:pt idx="224">
                  <c:v>3517366.8119794219</c:v>
                </c:pt>
                <c:pt idx="225">
                  <c:v>3517366.8119794219</c:v>
                </c:pt>
                <c:pt idx="226">
                  <c:v>3517366.8119794219</c:v>
                </c:pt>
                <c:pt idx="227">
                  <c:v>3517366.8119794219</c:v>
                </c:pt>
                <c:pt idx="228">
                  <c:v>3517366.8119794219</c:v>
                </c:pt>
                <c:pt idx="229">
                  <c:v>3517366.8119794219</c:v>
                </c:pt>
                <c:pt idx="230">
                  <c:v>3517366.8119794219</c:v>
                </c:pt>
                <c:pt idx="231">
                  <c:v>3517366.8119794219</c:v>
                </c:pt>
                <c:pt idx="232">
                  <c:v>3517366.8119794219</c:v>
                </c:pt>
                <c:pt idx="233">
                  <c:v>3517366.8119794219</c:v>
                </c:pt>
                <c:pt idx="234">
                  <c:v>3517366.8119794219</c:v>
                </c:pt>
                <c:pt idx="235">
                  <c:v>3517366.8119794219</c:v>
                </c:pt>
                <c:pt idx="236">
                  <c:v>3517366.8119794219</c:v>
                </c:pt>
                <c:pt idx="237">
                  <c:v>3517366.8119794219</c:v>
                </c:pt>
                <c:pt idx="238">
                  <c:v>3517366.8119794219</c:v>
                </c:pt>
                <c:pt idx="239">
                  <c:v>3517366.8119794219</c:v>
                </c:pt>
                <c:pt idx="240">
                  <c:v>3517366.8119794219</c:v>
                </c:pt>
                <c:pt idx="241">
                  <c:v>3517366.8119794219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15.025722684958353</c:v>
                </c:pt>
                <c:pt idx="1">
                  <c:v>21.24326310632043</c:v>
                </c:pt>
                <c:pt idx="2">
                  <c:v>26.813143067123956</c:v>
                </c:pt>
                <c:pt idx="3">
                  <c:v>35.491793238608523</c:v>
                </c:pt>
                <c:pt idx="4">
                  <c:v>41.709333659970596</c:v>
                </c:pt>
                <c:pt idx="5">
                  <c:v>49.740323370896618</c:v>
                </c:pt>
                <c:pt idx="6">
                  <c:v>59.455230279274858</c:v>
                </c:pt>
                <c:pt idx="7">
                  <c:v>76.164870161685442</c:v>
                </c:pt>
                <c:pt idx="8">
                  <c:v>103.49614159725624</c:v>
                </c:pt>
                <c:pt idx="9">
                  <c:v>146.50079617834393</c:v>
                </c:pt>
                <c:pt idx="10">
                  <c:v>172.0186183243508</c:v>
                </c:pt>
                <c:pt idx="11">
                  <c:v>164.63528907398333</c:v>
                </c:pt>
                <c:pt idx="12">
                  <c:v>218.26157520823125</c:v>
                </c:pt>
                <c:pt idx="13">
                  <c:v>297.40568348848603</c:v>
                </c:pt>
                <c:pt idx="14">
                  <c:v>290.79954679078878</c:v>
                </c:pt>
                <c:pt idx="15">
                  <c:v>449.9944879960803</c:v>
                </c:pt>
                <c:pt idx="16">
                  <c:v>569.29354483096517</c:v>
                </c:pt>
                <c:pt idx="17">
                  <c:v>639.49993875551195</c:v>
                </c:pt>
                <c:pt idx="18">
                  <c:v>735.87181528662416</c:v>
                </c:pt>
                <c:pt idx="19">
                  <c:v>872.91676874081327</c:v>
                </c:pt>
                <c:pt idx="20">
                  <c:v>1087.5485622309911</c:v>
                </c:pt>
                <c:pt idx="21">
                  <c:v>1354.9537797479088</c:v>
                </c:pt>
                <c:pt idx="22">
                  <c:v>1688.108291446765</c:v>
                </c:pt>
                <c:pt idx="23">
                  <c:v>2103.1784598449617</c:v>
                </c:pt>
                <c:pt idx="24">
                  <c:v>2620.3056144963653</c:v>
                </c:pt>
                <c:pt idx="25">
                  <c:v>3264.5834124163248</c:v>
                </c:pt>
                <c:pt idx="26">
                  <c:v>4067.2755107889338</c:v>
                </c:pt>
                <c:pt idx="27">
                  <c:v>5067.3326396702669</c:v>
                </c:pt>
                <c:pt idx="28">
                  <c:v>6313.282690821914</c:v>
                </c:pt>
                <c:pt idx="29">
                  <c:v>7865.5855394614737</c:v>
                </c:pt>
                <c:pt idx="30">
                  <c:v>9799.5668669370225</c:v>
                </c:pt>
                <c:pt idx="31">
                  <c:v>12209.07334842166</c:v>
                </c:pt>
                <c:pt idx="32">
                  <c:v>15211.026574048077</c:v>
                </c:pt>
                <c:pt idx="33">
                  <c:v>18951.096683050728</c:v>
                </c:pt>
                <c:pt idx="34">
                  <c:v>23610.77102469081</c:v>
                </c:pt>
                <c:pt idx="35">
                  <c:v>29416.160853580663</c:v>
                </c:pt>
                <c:pt idx="36">
                  <c:v>36648.973405351251</c:v>
                </c:pt>
                <c:pt idx="37">
                  <c:v>45660.18177394654</c:v>
                </c:pt>
                <c:pt idx="38">
                  <c:v>56887.055922974985</c:v>
                </c:pt>
                <c:pt idx="39">
                  <c:v>70874.381262980562</c:v>
                </c:pt>
                <c:pt idx="40">
                  <c:v>88300.894428632542</c:v>
                </c:pt>
                <c:pt idx="41">
                  <c:v>110012.21905508333</c:v>
                </c:pt>
                <c:pt idx="42">
                  <c:v>137061.89976598026</c:v>
                </c:pt>
                <c:pt idx="43">
                  <c:v>170762.52555230664</c:v>
                </c:pt>
                <c:pt idx="44">
                  <c:v>212749.42331012292</c:v>
                </c:pt>
                <c:pt idx="45">
                  <c:v>265060.01227374375</c:v>
                </c:pt>
                <c:pt idx="46">
                  <c:v>330232.67002770893</c:v>
                </c:pt>
                <c:pt idx="47">
                  <c:v>411429.90758260177</c:v>
                </c:pt>
                <c:pt idx="48">
                  <c:v>512591.83059999743</c:v>
                </c:pt>
                <c:pt idx="49">
                  <c:v>638627.33349083224</c:v>
                </c:pt>
                <c:pt idx="50">
                  <c:v>795652.30410367891</c:v>
                </c:pt>
                <c:pt idx="51">
                  <c:v>991286.39791391103</c:v>
                </c:pt>
                <c:pt idx="52">
                  <c:v>1235022.7827167721</c:v>
                </c:pt>
                <c:pt idx="53">
                  <c:v>1538688.7957297917</c:v>
                </c:pt>
                <c:pt idx="54">
                  <c:v>1917019.8665455314</c:v>
                </c:pt>
                <c:pt idx="55">
                  <c:v>2388374.5556145618</c:v>
                </c:pt>
                <c:pt idx="56">
                  <c:v>2975625.4055865686</c:v>
                </c:pt>
                <c:pt idx="57">
                  <c:v>3517366.8119794219</c:v>
                </c:pt>
                <c:pt idx="58">
                  <c:v>3517366.8119794219</c:v>
                </c:pt>
                <c:pt idx="59">
                  <c:v>3517366.8119794219</c:v>
                </c:pt>
                <c:pt idx="60">
                  <c:v>3517366.8119794219</c:v>
                </c:pt>
                <c:pt idx="61">
                  <c:v>3517366.8119794219</c:v>
                </c:pt>
                <c:pt idx="62">
                  <c:v>3517366.8119794219</c:v>
                </c:pt>
                <c:pt idx="63">
                  <c:v>3517366.8119794219</c:v>
                </c:pt>
                <c:pt idx="64">
                  <c:v>3517366.8119794219</c:v>
                </c:pt>
                <c:pt idx="65">
                  <c:v>3517366.8119794219</c:v>
                </c:pt>
                <c:pt idx="66">
                  <c:v>3517366.8119794219</c:v>
                </c:pt>
                <c:pt idx="67">
                  <c:v>3517366.8119794219</c:v>
                </c:pt>
                <c:pt idx="68">
                  <c:v>3517366.8119794219</c:v>
                </c:pt>
                <c:pt idx="69">
                  <c:v>3517366.8119794219</c:v>
                </c:pt>
                <c:pt idx="70">
                  <c:v>3517366.8119794219</c:v>
                </c:pt>
                <c:pt idx="71">
                  <c:v>3517366.8119794219</c:v>
                </c:pt>
                <c:pt idx="72">
                  <c:v>3517366.8119794219</c:v>
                </c:pt>
                <c:pt idx="73">
                  <c:v>3517366.8119794219</c:v>
                </c:pt>
                <c:pt idx="74">
                  <c:v>3517366.8119794219</c:v>
                </c:pt>
                <c:pt idx="75">
                  <c:v>3517366.8119794219</c:v>
                </c:pt>
                <c:pt idx="76">
                  <c:v>3517366.8119794219</c:v>
                </c:pt>
                <c:pt idx="77">
                  <c:v>3517366.8119794219</c:v>
                </c:pt>
                <c:pt idx="78">
                  <c:v>3517366.8119794219</c:v>
                </c:pt>
                <c:pt idx="79">
                  <c:v>3517366.8119794219</c:v>
                </c:pt>
                <c:pt idx="80">
                  <c:v>3517366.8119794219</c:v>
                </c:pt>
                <c:pt idx="81">
                  <c:v>3517366.8119794219</c:v>
                </c:pt>
                <c:pt idx="82">
                  <c:v>3517366.8119794219</c:v>
                </c:pt>
                <c:pt idx="83">
                  <c:v>3517366.8119794219</c:v>
                </c:pt>
                <c:pt idx="84">
                  <c:v>3517366.8119794219</c:v>
                </c:pt>
                <c:pt idx="85">
                  <c:v>3517366.8119794219</c:v>
                </c:pt>
                <c:pt idx="86">
                  <c:v>3517366.8119794219</c:v>
                </c:pt>
                <c:pt idx="87">
                  <c:v>3517366.8119794219</c:v>
                </c:pt>
                <c:pt idx="88">
                  <c:v>3517366.8119794219</c:v>
                </c:pt>
                <c:pt idx="89">
                  <c:v>3517366.8119794219</c:v>
                </c:pt>
                <c:pt idx="90">
                  <c:v>3517366.8119794219</c:v>
                </c:pt>
                <c:pt idx="91">
                  <c:v>3517366.8119794219</c:v>
                </c:pt>
                <c:pt idx="92">
                  <c:v>3517366.8119794219</c:v>
                </c:pt>
                <c:pt idx="93">
                  <c:v>3517366.8119794219</c:v>
                </c:pt>
                <c:pt idx="94">
                  <c:v>3517366.8119794219</c:v>
                </c:pt>
                <c:pt idx="95">
                  <c:v>3517366.8119794219</c:v>
                </c:pt>
                <c:pt idx="96">
                  <c:v>3517366.8119794219</c:v>
                </c:pt>
                <c:pt idx="97">
                  <c:v>3517366.8119794219</c:v>
                </c:pt>
                <c:pt idx="98">
                  <c:v>3517366.8119794219</c:v>
                </c:pt>
                <c:pt idx="99">
                  <c:v>3517366.8119794219</c:v>
                </c:pt>
                <c:pt idx="100">
                  <c:v>3517366.8119794219</c:v>
                </c:pt>
                <c:pt idx="101">
                  <c:v>3517366.8119794219</c:v>
                </c:pt>
                <c:pt idx="102">
                  <c:v>3517366.8119794219</c:v>
                </c:pt>
                <c:pt idx="103">
                  <c:v>3517366.8119794219</c:v>
                </c:pt>
                <c:pt idx="104">
                  <c:v>3517366.8119794219</c:v>
                </c:pt>
                <c:pt idx="105">
                  <c:v>3517366.8119794219</c:v>
                </c:pt>
                <c:pt idx="106">
                  <c:v>3517366.8119794219</c:v>
                </c:pt>
                <c:pt idx="107">
                  <c:v>3517366.8119794219</c:v>
                </c:pt>
                <c:pt idx="108">
                  <c:v>3517366.8119794219</c:v>
                </c:pt>
                <c:pt idx="109">
                  <c:v>3517366.8119794219</c:v>
                </c:pt>
                <c:pt idx="110">
                  <c:v>3517366.8119794219</c:v>
                </c:pt>
                <c:pt idx="111">
                  <c:v>3517366.8119794219</c:v>
                </c:pt>
                <c:pt idx="112">
                  <c:v>3517366.8119794219</c:v>
                </c:pt>
                <c:pt idx="113">
                  <c:v>3517366.8119794219</c:v>
                </c:pt>
                <c:pt idx="114">
                  <c:v>3517366.8119794219</c:v>
                </c:pt>
                <c:pt idx="115">
                  <c:v>3517366.8119794219</c:v>
                </c:pt>
                <c:pt idx="116">
                  <c:v>3517366.8119794219</c:v>
                </c:pt>
                <c:pt idx="117">
                  <c:v>3517366.8119794219</c:v>
                </c:pt>
                <c:pt idx="118">
                  <c:v>3517366.8119794219</c:v>
                </c:pt>
                <c:pt idx="119">
                  <c:v>3517366.8119794219</c:v>
                </c:pt>
                <c:pt idx="120">
                  <c:v>3517366.8119794219</c:v>
                </c:pt>
                <c:pt idx="121">
                  <c:v>3517366.8119794219</c:v>
                </c:pt>
                <c:pt idx="122">
                  <c:v>3517366.8119794219</c:v>
                </c:pt>
                <c:pt idx="123">
                  <c:v>3517366.8119794219</c:v>
                </c:pt>
                <c:pt idx="124">
                  <c:v>3517366.8119794219</c:v>
                </c:pt>
                <c:pt idx="125">
                  <c:v>3517366.8119794219</c:v>
                </c:pt>
                <c:pt idx="126">
                  <c:v>3517366.8119794219</c:v>
                </c:pt>
                <c:pt idx="127">
                  <c:v>3517366.8119794219</c:v>
                </c:pt>
                <c:pt idx="128">
                  <c:v>3517366.8119794219</c:v>
                </c:pt>
                <c:pt idx="129">
                  <c:v>3517366.8119794219</c:v>
                </c:pt>
                <c:pt idx="130">
                  <c:v>3517366.8119794219</c:v>
                </c:pt>
                <c:pt idx="131">
                  <c:v>3517366.8119794219</c:v>
                </c:pt>
                <c:pt idx="132">
                  <c:v>3517366.8119794219</c:v>
                </c:pt>
                <c:pt idx="133">
                  <c:v>3517366.8119794219</c:v>
                </c:pt>
                <c:pt idx="134">
                  <c:v>3517366.8119794219</c:v>
                </c:pt>
                <c:pt idx="135">
                  <c:v>3517366.8119794219</c:v>
                </c:pt>
                <c:pt idx="136">
                  <c:v>3517366.8119794219</c:v>
                </c:pt>
                <c:pt idx="137">
                  <c:v>3517366.8119794219</c:v>
                </c:pt>
                <c:pt idx="138">
                  <c:v>3517366.8119794219</c:v>
                </c:pt>
                <c:pt idx="139">
                  <c:v>3517366.8119794219</c:v>
                </c:pt>
                <c:pt idx="140">
                  <c:v>3517366.8119794219</c:v>
                </c:pt>
                <c:pt idx="141">
                  <c:v>3517366.8119794219</c:v>
                </c:pt>
                <c:pt idx="142">
                  <c:v>3517366.8119794219</c:v>
                </c:pt>
                <c:pt idx="143">
                  <c:v>3517366.8119794219</c:v>
                </c:pt>
                <c:pt idx="144">
                  <c:v>3517366.8119794219</c:v>
                </c:pt>
                <c:pt idx="145">
                  <c:v>3517366.8119794219</c:v>
                </c:pt>
                <c:pt idx="146">
                  <c:v>3517366.8119794219</c:v>
                </c:pt>
                <c:pt idx="147">
                  <c:v>3517366.8119794219</c:v>
                </c:pt>
                <c:pt idx="148">
                  <c:v>3517366.8119794219</c:v>
                </c:pt>
                <c:pt idx="149">
                  <c:v>3517366.8119794219</c:v>
                </c:pt>
                <c:pt idx="150">
                  <c:v>3517366.8119794219</c:v>
                </c:pt>
                <c:pt idx="151">
                  <c:v>3517366.8119794219</c:v>
                </c:pt>
                <c:pt idx="152">
                  <c:v>3517366.8119794219</c:v>
                </c:pt>
                <c:pt idx="153">
                  <c:v>3517366.8119794219</c:v>
                </c:pt>
                <c:pt idx="154">
                  <c:v>3517366.8119794219</c:v>
                </c:pt>
                <c:pt idx="155">
                  <c:v>3517366.8119794219</c:v>
                </c:pt>
                <c:pt idx="156">
                  <c:v>3517366.8119794219</c:v>
                </c:pt>
                <c:pt idx="157">
                  <c:v>3517366.8119794219</c:v>
                </c:pt>
                <c:pt idx="158">
                  <c:v>3517366.8119794219</c:v>
                </c:pt>
                <c:pt idx="159">
                  <c:v>3517366.8119794219</c:v>
                </c:pt>
                <c:pt idx="160">
                  <c:v>3517366.8119794219</c:v>
                </c:pt>
                <c:pt idx="161">
                  <c:v>3517366.8119794219</c:v>
                </c:pt>
                <c:pt idx="162">
                  <c:v>3517366.8119794219</c:v>
                </c:pt>
                <c:pt idx="163">
                  <c:v>3517366.8119794219</c:v>
                </c:pt>
                <c:pt idx="164">
                  <c:v>3517366.8119794219</c:v>
                </c:pt>
                <c:pt idx="165">
                  <c:v>3517366.8119794219</c:v>
                </c:pt>
                <c:pt idx="166">
                  <c:v>3517366.8119794219</c:v>
                </c:pt>
                <c:pt idx="167">
                  <c:v>3517366.8119794219</c:v>
                </c:pt>
                <c:pt idx="168">
                  <c:v>3517366.8119794219</c:v>
                </c:pt>
                <c:pt idx="169">
                  <c:v>3517366.8119794219</c:v>
                </c:pt>
                <c:pt idx="170">
                  <c:v>3517366.8119794219</c:v>
                </c:pt>
                <c:pt idx="171">
                  <c:v>3517366.8119794219</c:v>
                </c:pt>
                <c:pt idx="172">
                  <c:v>3517366.8119794219</c:v>
                </c:pt>
                <c:pt idx="173">
                  <c:v>3517366.8119794219</c:v>
                </c:pt>
                <c:pt idx="174">
                  <c:v>3517366.8119794219</c:v>
                </c:pt>
                <c:pt idx="175">
                  <c:v>3517366.8119794219</c:v>
                </c:pt>
                <c:pt idx="176">
                  <c:v>3517366.8119794219</c:v>
                </c:pt>
                <c:pt idx="177">
                  <c:v>3517366.8119794219</c:v>
                </c:pt>
                <c:pt idx="178">
                  <c:v>3517366.8119794219</c:v>
                </c:pt>
                <c:pt idx="179">
                  <c:v>3517366.8119794219</c:v>
                </c:pt>
                <c:pt idx="180">
                  <c:v>3517366.8119794219</c:v>
                </c:pt>
                <c:pt idx="181">
                  <c:v>3517366.8119794219</c:v>
                </c:pt>
                <c:pt idx="182">
                  <c:v>3517366.8119794219</c:v>
                </c:pt>
                <c:pt idx="183">
                  <c:v>3517366.8119794219</c:v>
                </c:pt>
                <c:pt idx="184">
                  <c:v>3517366.8119794219</c:v>
                </c:pt>
                <c:pt idx="185">
                  <c:v>3517366.8119794219</c:v>
                </c:pt>
                <c:pt idx="186">
                  <c:v>3517366.8119794219</c:v>
                </c:pt>
                <c:pt idx="187">
                  <c:v>3517366.8119794219</c:v>
                </c:pt>
                <c:pt idx="188">
                  <c:v>3517366.8119794219</c:v>
                </c:pt>
                <c:pt idx="189">
                  <c:v>3517366.8119794219</c:v>
                </c:pt>
                <c:pt idx="190">
                  <c:v>3517366.8119794219</c:v>
                </c:pt>
                <c:pt idx="191">
                  <c:v>3517366.8119794219</c:v>
                </c:pt>
                <c:pt idx="192">
                  <c:v>3517366.8119794219</c:v>
                </c:pt>
                <c:pt idx="193">
                  <c:v>3517366.8119794219</c:v>
                </c:pt>
                <c:pt idx="194">
                  <c:v>3517366.8119794219</c:v>
                </c:pt>
                <c:pt idx="195">
                  <c:v>3517366.8119794219</c:v>
                </c:pt>
                <c:pt idx="196">
                  <c:v>3517366.8119794219</c:v>
                </c:pt>
                <c:pt idx="197">
                  <c:v>3517366.8119794219</c:v>
                </c:pt>
                <c:pt idx="198">
                  <c:v>3517366.8119794219</c:v>
                </c:pt>
                <c:pt idx="199">
                  <c:v>3517366.8119794219</c:v>
                </c:pt>
                <c:pt idx="200">
                  <c:v>3517366.8119794219</c:v>
                </c:pt>
                <c:pt idx="201">
                  <c:v>3517366.8119794219</c:v>
                </c:pt>
                <c:pt idx="202">
                  <c:v>3517366.8119794219</c:v>
                </c:pt>
                <c:pt idx="203">
                  <c:v>3517366.8119794219</c:v>
                </c:pt>
                <c:pt idx="204">
                  <c:v>3517366.8119794219</c:v>
                </c:pt>
                <c:pt idx="205">
                  <c:v>3517366.8119794219</c:v>
                </c:pt>
                <c:pt idx="206">
                  <c:v>3517366.8119794219</c:v>
                </c:pt>
                <c:pt idx="207">
                  <c:v>3517366.8119794219</c:v>
                </c:pt>
                <c:pt idx="208">
                  <c:v>3517366.8119794219</c:v>
                </c:pt>
                <c:pt idx="209">
                  <c:v>3517366.8119794219</c:v>
                </c:pt>
                <c:pt idx="210">
                  <c:v>3517366.8119794219</c:v>
                </c:pt>
                <c:pt idx="211">
                  <c:v>3517366.8119794219</c:v>
                </c:pt>
                <c:pt idx="212">
                  <c:v>3517366.8119794219</c:v>
                </c:pt>
                <c:pt idx="213">
                  <c:v>3517366.8119794219</c:v>
                </c:pt>
                <c:pt idx="214">
                  <c:v>3517366.8119794219</c:v>
                </c:pt>
                <c:pt idx="215">
                  <c:v>3517366.8119794219</c:v>
                </c:pt>
                <c:pt idx="216">
                  <c:v>3517366.8119794219</c:v>
                </c:pt>
                <c:pt idx="217">
                  <c:v>3517366.8119794219</c:v>
                </c:pt>
                <c:pt idx="218">
                  <c:v>3517366.8119794219</c:v>
                </c:pt>
                <c:pt idx="219">
                  <c:v>3517366.8119794219</c:v>
                </c:pt>
                <c:pt idx="220">
                  <c:v>3517366.8119794219</c:v>
                </c:pt>
                <c:pt idx="221">
                  <c:v>3517366.8119794219</c:v>
                </c:pt>
                <c:pt idx="222">
                  <c:v>3517366.8119794219</c:v>
                </c:pt>
                <c:pt idx="223">
                  <c:v>3517366.8119794219</c:v>
                </c:pt>
                <c:pt idx="224">
                  <c:v>3517366.8119794219</c:v>
                </c:pt>
                <c:pt idx="225">
                  <c:v>3517366.8119794219</c:v>
                </c:pt>
                <c:pt idx="226">
                  <c:v>3517366.8119794219</c:v>
                </c:pt>
                <c:pt idx="227">
                  <c:v>3517366.8119794219</c:v>
                </c:pt>
                <c:pt idx="228">
                  <c:v>3517366.8119794219</c:v>
                </c:pt>
                <c:pt idx="229">
                  <c:v>3517366.8119794219</c:v>
                </c:pt>
                <c:pt idx="230">
                  <c:v>3517366.8119794219</c:v>
                </c:pt>
                <c:pt idx="231">
                  <c:v>3517366.8119794219</c:v>
                </c:pt>
                <c:pt idx="232">
                  <c:v>3517366.8119794219</c:v>
                </c:pt>
                <c:pt idx="233">
                  <c:v>3517366.8119794219</c:v>
                </c:pt>
                <c:pt idx="234">
                  <c:v>3517366.8119794219</c:v>
                </c:pt>
                <c:pt idx="235">
                  <c:v>3517366.8119794219</c:v>
                </c:pt>
                <c:pt idx="236">
                  <c:v>3517366.8119794219</c:v>
                </c:pt>
                <c:pt idx="237">
                  <c:v>3517366.8119794219</c:v>
                </c:pt>
                <c:pt idx="238">
                  <c:v>3517366.8119794219</c:v>
                </c:pt>
                <c:pt idx="239">
                  <c:v>3517366.8119794219</c:v>
                </c:pt>
                <c:pt idx="240">
                  <c:v>3517366.8119794219</c:v>
                </c:pt>
                <c:pt idx="241">
                  <c:v>3517366.8119794219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1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100.9132661834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81435</c:v>
                </c:pt>
                <c:pt idx="65">
                  <c:v>81498</c:v>
                </c:pt>
                <c:pt idx="66">
                  <c:v>81591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2875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  <c:pt idx="10">
                  <c:v>883</c:v>
                </c:pt>
                <c:pt idx="11">
                  <c:v>1071</c:v>
                </c:pt>
                <c:pt idx="12">
                  <c:v>1442</c:v>
                </c:pt>
                <c:pt idx="13">
                  <c:v>1930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Days_Since_100!$H$63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Days_Since_100!$H$64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Days_Since_100!$H$65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Days_Since_100!$H$66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Days_Since_100!$H$67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Days_Since_100!$H$68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Days_Since_100!$H$69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Days_Since_100!$H$70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9"/>
          <c:tx>
            <c:strRef>
              <c:f>Days_Since_100!$H$71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70"/>
          <c:tx>
            <c:strRef>
              <c:f>Days_Since_100!$H$72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71"/>
          <c:tx>
            <c:strRef>
              <c:f>Days_Since_100!$H$73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2"/>
          <c:tx>
            <c:strRef>
              <c:f>Days_Since_100!$H$74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3"/>
          <c:tx>
            <c:strRef>
              <c:f>Days_Since_100!$H$75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4"/>
          <c:tx>
            <c:strRef>
              <c:f>Days_Since_100!$H$76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5"/>
          <c:tx>
            <c:strRef>
              <c:f>Days_Since_100!$H$77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6"/>
          <c:tx>
            <c:strRef>
              <c:f>Days_Since_100!$H$78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7"/>
          <c:tx>
            <c:strRef>
              <c:f>Days_Since_100!$H$79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8"/>
          <c:tx>
            <c:strRef>
              <c:f>Days_Since_100!$H$80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9"/>
          <c:tx>
            <c:strRef>
              <c:f>Days_Since_100!$H$81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80"/>
          <c:tx>
            <c:strRef>
              <c:f>Days_Since_100!$H$82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81"/>
          <c:tx>
            <c:strRef>
              <c:f>Days_Since_100!$H$83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2"/>
          <c:tx>
            <c:strRef>
              <c:f>Days_Since_100!$H$84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3"/>
          <c:tx>
            <c:strRef>
              <c:f>Days_Since_100!$H$85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4"/>
          <c:tx>
            <c:strRef>
              <c:f>Days_Since_100!$H$86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5"/>
          <c:tx>
            <c:strRef>
              <c:f>Days_Since_100!$H$87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6"/>
          <c:tx>
            <c:strRef>
              <c:f>Days_Since_100!$H$88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7"/>
          <c:tx>
            <c:strRef>
              <c:f>Days_Since_100!$H$89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7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058274547877"/>
          <c:y val="7.8034561373258995E-2"/>
          <c:w val="0.17510941725452131"/>
          <c:h val="0.813809781410911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48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3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5527614325999"/>
          <c:y val="0.10493380998229521"/>
          <c:w val="0.16664472385674009"/>
          <c:h val="0.80981536474978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134469</xdr:colOff>
      <xdr:row>0</xdr:row>
      <xdr:rowOff>164353</xdr:rowOff>
    </xdr:from>
    <xdr:to>
      <xdr:col>20</xdr:col>
      <xdr:colOff>343646</xdr:colOff>
      <xdr:row>27</xdr:row>
      <xdr:rowOff>134471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27</xdr:row>
      <xdr:rowOff>119529</xdr:rowOff>
    </xdr:from>
    <xdr:to>
      <xdr:col>20</xdr:col>
      <xdr:colOff>343647</xdr:colOff>
      <xdr:row>51</xdr:row>
      <xdr:rowOff>164351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0.30015</cdr:x>
      <cdr:y>0.70694</cdr:y>
    </cdr:from>
    <cdr:to>
      <cdr:x>0.41149</cdr:x>
      <cdr:y>0.76695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3163139" y="3740429"/>
          <a:ext cx="1173373" cy="317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0.19066</cdr:x>
      <cdr:y>0.1592</cdr:y>
    </cdr:from>
    <cdr:to>
      <cdr:x>0.38843</cdr:x>
      <cdr:y>0.22703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009297" y="842323"/>
          <a:ext cx="2084175" cy="3588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0.49079</cdr:x>
      <cdr:y>0.27572</cdr:y>
    </cdr:from>
    <cdr:to>
      <cdr:x>0.6897</cdr:x>
      <cdr:y>0.34355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172213" y="1458843"/>
          <a:ext cx="2096259" cy="3588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9" zoomScaleNormal="69" workbookViewId="0">
      <selection activeCell="W45" sqref="W45:Y47"/>
    </sheetView>
  </sheetViews>
  <sheetFormatPr defaultRowHeight="13.8" x14ac:dyDescent="0.25"/>
  <cols>
    <col min="1" max="1" width="3.21875" style="39" customWidth="1"/>
    <col min="2" max="2" width="32.44140625" style="39" bestFit="1" customWidth="1"/>
    <col min="3" max="3" width="18.33203125" style="39" customWidth="1"/>
    <col min="4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98" t="str">
        <f>C7&amp;" Covid-19 Active Case Projections"</f>
        <v>United Kingdom Covid-19 Active Case Projections</v>
      </c>
      <c r="C2" s="99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0"/>
      <c r="C3" s="101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28" t="s">
        <v>544</v>
      </c>
      <c r="X3" s="129"/>
      <c r="Y3" s="130"/>
      <c r="Z3" s="137" t="s">
        <v>349</v>
      </c>
      <c r="AA3" s="138"/>
      <c r="AB3" s="138"/>
      <c r="AC3" s="139"/>
    </row>
    <row r="4" spans="1:32" x14ac:dyDescent="0.25">
      <c r="A4" s="46"/>
      <c r="B4" s="100"/>
      <c r="C4" s="101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31"/>
      <c r="X4" s="132"/>
      <c r="Y4" s="133"/>
      <c r="Z4" s="140"/>
      <c r="AA4" s="141"/>
      <c r="AB4" s="141"/>
      <c r="AC4" s="142"/>
    </row>
    <row r="5" spans="1:32" x14ac:dyDescent="0.25">
      <c r="A5" s="46"/>
      <c r="B5" s="102"/>
      <c r="C5" s="103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34"/>
      <c r="X5" s="135"/>
      <c r="Y5" s="136"/>
      <c r="Z5" s="143"/>
      <c r="AA5" s="144"/>
      <c r="AB5" s="144"/>
      <c r="AC5" s="145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6" t="s">
        <v>477</v>
      </c>
      <c r="C7" s="104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07"/>
      <c r="C8" s="105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28" t="s">
        <v>543</v>
      </c>
      <c r="X8" s="129"/>
      <c r="Y8" s="130"/>
      <c r="Z8" s="137">
        <v>5</v>
      </c>
      <c r="AA8" s="139"/>
      <c r="AB8" s="146" t="s">
        <v>552</v>
      </c>
      <c r="AC8" s="147"/>
      <c r="AD8" s="147"/>
      <c r="AE8" s="147"/>
      <c r="AF8" s="147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31"/>
      <c r="X9" s="132"/>
      <c r="Y9" s="133"/>
      <c r="Z9" s="140"/>
      <c r="AA9" s="142"/>
      <c r="AB9" s="146"/>
      <c r="AC9" s="147"/>
      <c r="AD9" s="147"/>
      <c r="AE9" s="147"/>
      <c r="AF9" s="147"/>
    </row>
    <row r="10" spans="1:32" ht="15.6" customHeight="1" x14ac:dyDescent="0.25">
      <c r="A10" s="46"/>
      <c r="B10" s="106" t="s">
        <v>506</v>
      </c>
      <c r="C10" s="114">
        <f>Projections_Data!C4</f>
        <v>8164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34"/>
      <c r="X10" s="135"/>
      <c r="Y10" s="136"/>
      <c r="Z10" s="143"/>
      <c r="AA10" s="145"/>
      <c r="AB10" s="146"/>
      <c r="AC10" s="147"/>
      <c r="AD10" s="147"/>
      <c r="AE10" s="147"/>
      <c r="AF10" s="147"/>
    </row>
    <row r="11" spans="1:32" ht="15.6" customHeight="1" x14ac:dyDescent="0.25">
      <c r="A11" s="46"/>
      <c r="B11" s="107"/>
      <c r="C11" s="115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06" t="s">
        <v>592</v>
      </c>
      <c r="C12" s="112">
        <f ca="1">Projections_Data!C6</f>
        <v>6739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07"/>
      <c r="C13" s="113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56" t="s">
        <v>545</v>
      </c>
      <c r="X13" s="156"/>
      <c r="Y13" s="156"/>
      <c r="Z13" s="156"/>
      <c r="AA13" s="156"/>
    </row>
    <row r="14" spans="1:32" ht="15.6" customHeight="1" x14ac:dyDescent="0.25">
      <c r="A14" s="46"/>
      <c r="B14" s="106" t="s">
        <v>593</v>
      </c>
      <c r="C14" s="110">
        <f ca="1">Projections_Data!C7</f>
        <v>1002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56"/>
      <c r="X14" s="156"/>
      <c r="Y14" s="156"/>
      <c r="Z14" s="156"/>
      <c r="AA14" s="156"/>
    </row>
    <row r="15" spans="1:32" ht="15.6" customHeight="1" x14ac:dyDescent="0.25">
      <c r="A15" s="46"/>
      <c r="B15" s="107"/>
      <c r="C15" s="111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57" t="s">
        <v>546</v>
      </c>
      <c r="X15" s="157"/>
      <c r="Y15" s="157"/>
      <c r="Z15" s="158">
        <v>0.4</v>
      </c>
      <c r="AA15" s="159"/>
    </row>
    <row r="16" spans="1:32" ht="15.6" customHeight="1" x14ac:dyDescent="0.25">
      <c r="A16" s="46"/>
      <c r="B16" s="106" t="s">
        <v>515</v>
      </c>
      <c r="C16" s="108">
        <f>Projections_Data!C8</f>
        <v>423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57"/>
      <c r="X16" s="157"/>
      <c r="Y16" s="157"/>
      <c r="Z16" s="159"/>
      <c r="AA16" s="159"/>
    </row>
    <row r="17" spans="1:42" ht="15.6" customHeight="1" x14ac:dyDescent="0.25">
      <c r="A17" s="46"/>
      <c r="B17" s="107"/>
      <c r="C17" s="109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57" t="s">
        <v>547</v>
      </c>
      <c r="X17" s="157"/>
      <c r="Y17" s="157"/>
      <c r="Z17" s="158">
        <v>0.25</v>
      </c>
      <c r="AA17" s="159"/>
    </row>
    <row r="18" spans="1:42" ht="15.6" customHeight="1" x14ac:dyDescent="0.25">
      <c r="A18" s="46"/>
      <c r="B18" s="106" t="s">
        <v>508</v>
      </c>
      <c r="C18" s="152">
        <f>Projections_Data!C14</f>
        <v>10174.138424288141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57"/>
      <c r="X18" s="157"/>
      <c r="Y18" s="157"/>
      <c r="Z18" s="159"/>
      <c r="AA18" s="159"/>
    </row>
    <row r="19" spans="1:42" ht="15.6" customHeight="1" x14ac:dyDescent="0.25">
      <c r="A19" s="46"/>
      <c r="B19" s="107"/>
      <c r="C19" s="153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57" t="s">
        <v>548</v>
      </c>
      <c r="X19" s="157"/>
      <c r="Y19" s="157"/>
      <c r="Z19" s="158">
        <v>0.1</v>
      </c>
      <c r="AA19" s="159"/>
    </row>
    <row r="20" spans="1:42" ht="19.8" customHeight="1" x14ac:dyDescent="0.25">
      <c r="A20" s="46"/>
      <c r="B20" s="148" t="s">
        <v>590</v>
      </c>
      <c r="C20" s="150">
        <f ca="1">Projections_Data!C11</f>
        <v>0.24587887548521414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57"/>
      <c r="X20" s="157"/>
      <c r="Y20" s="157"/>
      <c r="Z20" s="159"/>
      <c r="AA20" s="159"/>
    </row>
    <row r="21" spans="1:42" ht="19.8" customHeight="1" x14ac:dyDescent="0.25">
      <c r="A21" s="46"/>
      <c r="B21" s="149"/>
      <c r="C21" s="15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20" t="s">
        <v>505</v>
      </c>
      <c r="C22" s="116">
        <f>Projections_Data!C23</f>
        <v>43904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21"/>
      <c r="C23" s="11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6" t="s">
        <v>504</v>
      </c>
      <c r="C24" s="116">
        <f>Projections_Data!C24</f>
        <v>43910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07"/>
      <c r="C25" s="11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54" t="s">
        <v>530</v>
      </c>
      <c r="C26" s="154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55"/>
      <c r="C27" s="155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98" t="str">
        <f>Projections_Data!B35</f>
        <v xml:space="preserve">United Kingdom critically ill projections </v>
      </c>
      <c r="C29" s="99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0"/>
      <c r="C30" s="101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0"/>
      <c r="C31" s="101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2"/>
      <c r="C32" s="103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56" t="s">
        <v>549</v>
      </c>
      <c r="X32" s="156"/>
      <c r="Y32" s="156"/>
      <c r="Z32" s="160"/>
      <c r="AA32" s="160"/>
      <c r="AB32" s="161" t="s">
        <v>550</v>
      </c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56"/>
      <c r="X33" s="156"/>
      <c r="Y33" s="156"/>
      <c r="Z33" s="160"/>
      <c r="AA33" s="160"/>
      <c r="AB33" s="161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</row>
    <row r="34" spans="1:43" ht="15.6" customHeight="1" x14ac:dyDescent="0.25">
      <c r="A34" s="46"/>
      <c r="B34" s="125" t="s">
        <v>465</v>
      </c>
      <c r="C34" s="127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56"/>
      <c r="X34" s="156"/>
      <c r="Y34" s="156"/>
      <c r="Z34" s="160"/>
      <c r="AA34" s="160"/>
      <c r="AB34" s="161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</row>
    <row r="35" spans="1:43" ht="18" customHeight="1" x14ac:dyDescent="0.25">
      <c r="A35" s="46"/>
      <c r="B35" s="125"/>
      <c r="C35" s="12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56"/>
      <c r="X35" s="156"/>
      <c r="Y35" s="156"/>
      <c r="Z35" s="160"/>
      <c r="AA35" s="160"/>
      <c r="AB35" s="161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</row>
    <row r="36" spans="1:43" ht="18" customHeight="1" x14ac:dyDescent="0.25">
      <c r="A36" s="46"/>
      <c r="B36" s="119" t="s">
        <v>520</v>
      </c>
      <c r="C36" s="118">
        <f>Projections_Data!C15</f>
        <v>0.12953209211170993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56"/>
      <c r="X36" s="156"/>
      <c r="Y36" s="156"/>
      <c r="Z36" s="160"/>
      <c r="AA36" s="160"/>
      <c r="AB36" s="161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</row>
    <row r="37" spans="1:43" ht="20.399999999999999" customHeight="1" x14ac:dyDescent="0.25">
      <c r="A37" s="46"/>
      <c r="B37" s="119"/>
      <c r="C37" s="118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19" t="s">
        <v>519</v>
      </c>
      <c r="C38" s="127">
        <f ca="1">Projections!C12*Projections!C36</f>
        <v>872.91676874081327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19"/>
      <c r="C39" s="12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56" t="s">
        <v>465</v>
      </c>
      <c r="X39" s="156"/>
      <c r="Y39" s="156"/>
      <c r="Z39" s="164"/>
      <c r="AA39" s="164"/>
      <c r="AB39" s="163" t="s">
        <v>551</v>
      </c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</row>
    <row r="40" spans="1:43" ht="20.399999999999999" customHeight="1" x14ac:dyDescent="0.25">
      <c r="A40" s="46"/>
      <c r="B40" s="119" t="s">
        <v>488</v>
      </c>
      <c r="C40" s="126">
        <f ca="1">Projections_Data!D31</f>
        <v>43922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56"/>
      <c r="X40" s="156"/>
      <c r="Y40" s="156"/>
      <c r="Z40" s="164"/>
      <c r="AA40" s="164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</row>
    <row r="41" spans="1:43" ht="20.399999999999999" customHeight="1" x14ac:dyDescent="0.25">
      <c r="A41" s="46"/>
      <c r="B41" s="119"/>
      <c r="C41" s="12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56"/>
      <c r="X41" s="156"/>
      <c r="Y41" s="156"/>
      <c r="Z41" s="164"/>
      <c r="AA41" s="164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</row>
    <row r="42" spans="1:43" ht="20.399999999999999" customHeight="1" x14ac:dyDescent="0.25">
      <c r="A42" s="46"/>
      <c r="B42" s="125" t="s">
        <v>489</v>
      </c>
      <c r="C42" s="124">
        <f ca="1">IFERROR(C40-TODAY(),"N/A")</f>
        <v>7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56"/>
      <c r="X42" s="156"/>
      <c r="Y42" s="156"/>
      <c r="Z42" s="164"/>
      <c r="AA42" s="164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</row>
    <row r="43" spans="1:43" ht="18" customHeight="1" x14ac:dyDescent="0.25">
      <c r="A43" s="46"/>
      <c r="B43" s="125"/>
      <c r="C43" s="124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2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2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3"/>
      <c r="C45" s="123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28" t="s">
        <v>543</v>
      </c>
      <c r="X45" s="129"/>
      <c r="Y45" s="130"/>
      <c r="Z45" s="137"/>
      <c r="AA45" s="139"/>
    </row>
    <row r="46" spans="1:43" ht="15.6" customHeight="1" x14ac:dyDescent="0.25">
      <c r="A46" s="46"/>
      <c r="B46" s="123"/>
      <c r="C46" s="123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31"/>
      <c r="X46" s="132"/>
      <c r="Y46" s="133"/>
      <c r="Z46" s="140"/>
      <c r="AA46" s="142"/>
    </row>
    <row r="47" spans="1:43" ht="13.8" customHeight="1" x14ac:dyDescent="0.25">
      <c r="A47" s="46"/>
      <c r="B47" s="123"/>
      <c r="C47" s="123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34"/>
      <c r="X47" s="135"/>
      <c r="Y47" s="136"/>
      <c r="Z47" s="143"/>
      <c r="AA47" s="145"/>
    </row>
    <row r="48" spans="1:43" ht="14.4" customHeight="1" x14ac:dyDescent="0.25">
      <c r="A48" s="46"/>
      <c r="B48" s="123"/>
      <c r="C48" s="123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5" t="str">
        <f>"Source: Analysis of John Hopkins University and WHO data.
Data updated: "&amp;TEXT(Projections_Data!C2,"DD/MM/YYYY")&amp;"."</f>
        <v>Source: Analysis of John Hopkins University and WHO data.
Data updated: 24/03/2020.</v>
      </c>
      <c r="C49" s="95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6"/>
      <c r="C50" s="96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6"/>
      <c r="C51" s="96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6"/>
      <c r="C52" s="96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15" customHeight="1" thickBot="1" x14ac:dyDescent="0.3">
      <c r="A53" s="49"/>
      <c r="B53" s="97"/>
      <c r="C53" s="97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workbookViewId="0">
      <selection activeCell="T81" sqref="T81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5" t="s">
        <v>560</v>
      </c>
      <c r="C2" s="165"/>
      <c r="D2" s="165"/>
      <c r="E2" s="165"/>
      <c r="F2" s="165"/>
      <c r="G2" s="165"/>
      <c r="H2" s="165"/>
    </row>
    <row r="3" spans="2:18" ht="34.799999999999997" thickBot="1" x14ac:dyDescent="0.25">
      <c r="B3" s="63" t="s">
        <v>512</v>
      </c>
      <c r="C3" s="64" t="s">
        <v>477</v>
      </c>
      <c r="D3" s="64" t="s">
        <v>559</v>
      </c>
      <c r="E3" s="64" t="s">
        <v>503</v>
      </c>
      <c r="F3" s="64" t="s">
        <v>566</v>
      </c>
      <c r="G3" s="64" t="s">
        <v>568</v>
      </c>
      <c r="H3" s="65" t="s">
        <v>569</v>
      </c>
      <c r="J3" s="72" t="s">
        <v>541</v>
      </c>
      <c r="K3" s="64" t="s">
        <v>516</v>
      </c>
      <c r="L3" s="64" t="s">
        <v>478</v>
      </c>
      <c r="M3" s="65" t="s">
        <v>517</v>
      </c>
      <c r="Q3" s="73" t="s">
        <v>542</v>
      </c>
    </row>
    <row r="4" spans="2:18" s="59" customFormat="1" ht="13.8" customHeight="1" x14ac:dyDescent="0.2">
      <c r="B4" s="83">
        <v>1</v>
      </c>
      <c r="C4" s="78" t="s">
        <v>78</v>
      </c>
      <c r="D4" s="79">
        <f>VLOOKUP(C4,Country_Data!B:F,5,FALSE)</f>
        <v>5283</v>
      </c>
      <c r="E4" s="79">
        <f>D4*Projections_Data!$C$15</f>
        <v>684.31804262616356</v>
      </c>
      <c r="F4" s="79">
        <f>VLOOKUP(C4,Country_Data!C:G,5,FALSE)</f>
        <v>28</v>
      </c>
      <c r="G4" s="80">
        <f>IFERROR(VLOOKUP(C4,Days_Since_100!C:G,5,FALSE)-1,0)</f>
        <v>0.21285076692873184</v>
      </c>
      <c r="H4" s="84">
        <f>IFERROR(VLOOKUP(C4,Deaths_since_10!C:G,5,FALSE)-1,0)</f>
        <v>0.51829448593783134</v>
      </c>
      <c r="I4" s="58"/>
      <c r="J4" s="68" t="str">
        <f t="shared" ref="J4:J43" si="0"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1">B4+1</f>
        <v>2</v>
      </c>
      <c r="C5" s="62" t="s">
        <v>81</v>
      </c>
      <c r="D5" s="75">
        <f>VLOOKUP(C5,Country_Data!B:F,5,FALSE)</f>
        <v>2247</v>
      </c>
      <c r="E5" s="75">
        <f>D5*Projections_Data!$C$15</f>
        <v>291.05861097501224</v>
      </c>
      <c r="F5" s="75">
        <f>VLOOKUP(C5,Country_Data!C:G,5,FALSE)</f>
        <v>46</v>
      </c>
      <c r="G5" s="76">
        <f>IFERROR(VLOOKUP(C5,Days_Since_100!C:G,5,FALSE)-1,0)</f>
        <v>0.29330898408360984</v>
      </c>
      <c r="H5" s="77">
        <f>IFERROR(VLOOKUP(C5,Deaths_since_10!C:G,5,FALSE)-1,0)</f>
        <v>0.4300172840151899</v>
      </c>
      <c r="J5" s="68">
        <f t="shared" si="0"/>
        <v>13.309925239702995</v>
      </c>
      <c r="K5" s="67">
        <v>4.2</v>
      </c>
      <c r="L5" s="61">
        <f>VLOOKUP(C5,Country_Data!C:J,8,FALSE)</f>
        <v>212559417</v>
      </c>
      <c r="M5" s="60">
        <f>(L5/100000)*K5</f>
        <v>8927.4955140000002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1"/>
        <v>3</v>
      </c>
      <c r="C6" s="62" t="s">
        <v>63</v>
      </c>
      <c r="D6" s="75">
        <f>VLOOKUP(C6,Country_Data!B:F,5,FALSE)</f>
        <v>4269</v>
      </c>
      <c r="E6" s="75">
        <f>D6*Projections_Data!$C$15</f>
        <v>552.9725012248897</v>
      </c>
      <c r="F6" s="75">
        <f>VLOOKUP(C6,Country_Data!C:G,5,FALSE)</f>
        <v>122</v>
      </c>
      <c r="G6" s="76">
        <f>IFERROR(VLOOKUP(C6,Days_Since_100!C:G,5,FALSE)-1,0)</f>
        <v>0.18919298971676257</v>
      </c>
      <c r="H6" s="77">
        <f>IFERROR(VLOOKUP(C6,Deaths_since_10!C:G,5,FALSE)-1,0)</f>
        <v>0.42176594387426025</v>
      </c>
      <c r="J6" s="68">
        <f t="shared" si="0"/>
        <v>-4.2112496197850913</v>
      </c>
      <c r="K6" s="67">
        <v>2.2999999999999998</v>
      </c>
      <c r="L6" s="61">
        <f>VLOOKUP(C6,Country_Data!C:J,8,FALSE)</f>
        <v>11589623</v>
      </c>
      <c r="M6" s="60">
        <f>(L6/100000)*K6</f>
        <v>266.561329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1"/>
        <v>4</v>
      </c>
      <c r="C7" s="62" t="s">
        <v>108</v>
      </c>
      <c r="D7" s="75">
        <f>VLOOKUP(C7,Country_Data!B:F,5,FALSE)</f>
        <v>2362</v>
      </c>
      <c r="E7" s="75">
        <f>D7*Projections_Data!$C$15</f>
        <v>305.95480156785885</v>
      </c>
      <c r="F7" s="75">
        <f>VLOOKUP(C7,Country_Data!C:G,5,FALSE)</f>
        <v>33</v>
      </c>
      <c r="G7" s="76">
        <f>IFERROR(VLOOKUP(C7,Days_Since_100!C:G,5,FALSE)-1,0)</f>
        <v>0.24647062260172059</v>
      </c>
      <c r="H7" s="77">
        <f>IFERROR(VLOOKUP(C7,Deaths_since_10!C:G,5,FALSE)-1,0)</f>
        <v>0.40101966532769362</v>
      </c>
      <c r="J7" s="68">
        <f t="shared" si="0"/>
        <v>6.137627253940753</v>
      </c>
      <c r="K7" s="67">
        <v>11.6</v>
      </c>
      <c r="L7" s="61">
        <f>VLOOKUP(C7,Country_Data!C:J,8,FALSE)</f>
        <v>10196709</v>
      </c>
      <c r="M7" s="60">
        <f>(L7/100000)*K7</f>
        <v>1182.818244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1"/>
        <v>5</v>
      </c>
      <c r="C8" s="62" t="s">
        <v>103</v>
      </c>
      <c r="D8" s="75">
        <f>VLOOKUP(C8,Country_Data!B:F,5,FALSE)</f>
        <v>1082</v>
      </c>
      <c r="E8" s="75">
        <f>D8*Projections_Data!$C$15</f>
        <v>140.15372366487014</v>
      </c>
      <c r="F8" s="75">
        <f>VLOOKUP(C8,Country_Data!C:G,5,FALSE)</f>
        <v>27</v>
      </c>
      <c r="G8" s="76">
        <f>IFERROR(VLOOKUP(C8,Days_Since_100!C:G,5,FALSE)-1,0)</f>
        <v>0.40305545581589741</v>
      </c>
      <c r="H8" s="77">
        <f>IFERROR(VLOOKUP(C8,Deaths_since_10!C:G,5,FALSE)-1,0)</f>
        <v>0.38873014965882713</v>
      </c>
      <c r="J8" s="68" t="str">
        <f t="shared" si="0"/>
        <v/>
      </c>
      <c r="K8" s="67"/>
      <c r="L8" s="61">
        <f>VLOOKUP(C8,Country_Data!C:J,8,FALSE)</f>
        <v>17643054</v>
      </c>
      <c r="M8" s="60"/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1"/>
        <v>6</v>
      </c>
      <c r="C9" s="62" t="s">
        <v>38</v>
      </c>
      <c r="D9" s="75">
        <f>VLOOKUP(C9,Country_Data!B:F,5,FALSE)</f>
        <v>53740</v>
      </c>
      <c r="E9" s="75">
        <f>D9*Projections_Data!$C$15</f>
        <v>6961.0546300832921</v>
      </c>
      <c r="F9" s="75">
        <f>VLOOKUP(C9,Country_Data!C:G,5,FALSE)</f>
        <v>706</v>
      </c>
      <c r="G9" s="76">
        <f>IFERROR(VLOOKUP(C9,Days_Since_100!C:G,5,FALSE)-1,0)</f>
        <v>0.31480504864402459</v>
      </c>
      <c r="H9" s="77">
        <f>IFERROR(VLOOKUP(C9,Deaths_since_10!C:G,5,FALSE)-1,0)</f>
        <v>0.31284338853824423</v>
      </c>
      <c r="J9" s="68" t="str">
        <f t="shared" si="0"/>
        <v/>
      </c>
      <c r="K9" s="67"/>
      <c r="L9" s="61">
        <f>VLOOKUP(C9,Country_Data!C:J,8,FALSE)</f>
        <v>331002651</v>
      </c>
      <c r="M9" s="60">
        <f t="shared" ref="M9:M27" si="2">(L9/100000)*K9</f>
        <v>0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1"/>
        <v>7</v>
      </c>
      <c r="C10" s="62" t="s">
        <v>89</v>
      </c>
      <c r="D10" s="75">
        <f>VLOOKUP(C10,Country_Data!B:F,5,FALSE)</f>
        <v>5580</v>
      </c>
      <c r="E10" s="75">
        <f>D10*Projections_Data!$C$15</f>
        <v>722.78907398334138</v>
      </c>
      <c r="F10" s="75">
        <f>VLOOKUP(C10,Country_Data!C:G,5,FALSE)</f>
        <v>277</v>
      </c>
      <c r="G10" s="76">
        <f>IFERROR(VLOOKUP(C10,Days_Since_100!C:G,5,FALSE)-1,0)</f>
        <v>0.17731590150666587</v>
      </c>
      <c r="H10" s="77">
        <f>IFERROR(VLOOKUP(C10,Deaths_since_10!C:G,5,FALSE)-1,0)</f>
        <v>0.29180752120508546</v>
      </c>
      <c r="J10" s="68" t="str">
        <f t="shared" si="0"/>
        <v/>
      </c>
      <c r="K10" s="67"/>
      <c r="L10" s="61">
        <f>VLOOKUP(C10,Country_Data!C:J,8,FALSE)</f>
        <v>17134872</v>
      </c>
      <c r="M10" s="60">
        <f t="shared" si="2"/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1"/>
        <v>8</v>
      </c>
      <c r="C11" s="62" t="s">
        <v>53</v>
      </c>
      <c r="D11" s="75">
        <f>VLOOKUP(C11,Country_Data!B:F,5,FALSE)</f>
        <v>32986</v>
      </c>
      <c r="E11" s="75">
        <f>D11*Projections_Data!$C$15</f>
        <v>4272.7455903968639</v>
      </c>
      <c r="F11" s="75">
        <f>VLOOKUP(C11,Country_Data!C:G,5,FALSE)</f>
        <v>157</v>
      </c>
      <c r="G11" s="76">
        <f>IFERROR(VLOOKUP(C11,Days_Since_100!C:G,5,FALSE)-1,0)</f>
        <v>0.16577349736940339</v>
      </c>
      <c r="H11" s="77">
        <f>IFERROR(VLOOKUP(C11,Deaths_since_10!C:G,5,FALSE)-1,0)</f>
        <v>0.28970206493748685</v>
      </c>
      <c r="J11" s="68" t="str">
        <f t="shared" si="0"/>
        <v/>
      </c>
      <c r="K11" s="67"/>
      <c r="L11" s="61">
        <f>VLOOKUP(C11,Country_Data!C:J,8,FALSE)</f>
        <v>83783942</v>
      </c>
      <c r="M11" s="60">
        <f t="shared" si="2"/>
        <v>0</v>
      </c>
      <c r="O11" s="59">
        <f t="array" ref="O11">IF(OR(C11=$Q$4:$Q$22),1,0)</f>
        <v>1</v>
      </c>
    </row>
    <row r="12" spans="2:18" s="59" customFormat="1" ht="13.8" customHeight="1" x14ac:dyDescent="0.3">
      <c r="B12" s="66">
        <f t="shared" si="1"/>
        <v>9</v>
      </c>
      <c r="C12" s="62" t="s">
        <v>60</v>
      </c>
      <c r="D12" s="75">
        <f>VLOOKUP(C12,Country_Data!B:F,5,FALSE)</f>
        <v>39885</v>
      </c>
      <c r="E12" s="75">
        <f>D12*Projections_Data!$C$15</f>
        <v>5166.3874938755507</v>
      </c>
      <c r="F12" s="75">
        <f>VLOOKUP(C12,Country_Data!C:G,5,FALSE)</f>
        <v>2808</v>
      </c>
      <c r="G12" s="76">
        <f>IFERROR(VLOOKUP(C12,Days_Since_100!C:G,5,FALSE)-1,0)</f>
        <v>0.17296794896823098</v>
      </c>
      <c r="H12" s="77">
        <f>IFERROR(VLOOKUP(C12,Deaths_since_10!C:G,5,FALSE)-1,0)</f>
        <v>0.27603857144514055</v>
      </c>
      <c r="J12" s="68">
        <f t="shared" si="0"/>
        <v>-3.2303289590476996</v>
      </c>
      <c r="K12" s="67">
        <v>6.6</v>
      </c>
      <c r="L12" s="61">
        <f>VLOOKUP(C12,Country_Data!C:J,8,FALSE)</f>
        <v>46754778</v>
      </c>
      <c r="M12" s="60">
        <f t="shared" si="2"/>
        <v>3085.8153479999996</v>
      </c>
      <c r="O12" s="59">
        <f t="array" ref="O12">IF(OR(C12=$Q$4:$Q$22),1,0)</f>
        <v>1</v>
      </c>
    </row>
    <row r="13" spans="2:18" s="59" customFormat="1" ht="13.8" customHeight="1" x14ac:dyDescent="0.3">
      <c r="B13" s="66">
        <f t="shared" si="1"/>
        <v>10</v>
      </c>
      <c r="C13" s="62" t="s">
        <v>43</v>
      </c>
      <c r="D13" s="75">
        <f>VLOOKUP(C13,Country_Data!B:F,5,FALSE)</f>
        <v>1624</v>
      </c>
      <c r="E13" s="75">
        <f>D13*Projections_Data!$C$15</f>
        <v>210.36011758941694</v>
      </c>
      <c r="F13" s="75">
        <f>VLOOKUP(C13,Country_Data!C:G,5,FALSE)</f>
        <v>16</v>
      </c>
      <c r="G13" s="76">
        <f>IFERROR(VLOOKUP(C13,Days_Since_100!C:G,5,FALSE)-1,0)</f>
        <v>0.12530099555970642</v>
      </c>
      <c r="H13" s="77">
        <f>IFERROR(VLOOKUP(C13,Deaths_since_10!C:G,5,FALSE)-1,0)</f>
        <v>0.26491106406735176</v>
      </c>
      <c r="J13" s="68">
        <f t="shared" si="0"/>
        <v>29.599722506298548</v>
      </c>
      <c r="K13" s="67">
        <v>21.4</v>
      </c>
      <c r="L13" s="61">
        <f>VLOOKUP(C13,Country_Data!C:J,8,FALSE)</f>
        <v>32365999</v>
      </c>
      <c r="M13" s="60">
        <f t="shared" si="2"/>
        <v>6926.323785999999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1"/>
        <v>11</v>
      </c>
      <c r="C14" s="62" t="s">
        <v>349</v>
      </c>
      <c r="D14" s="75">
        <f>VLOOKUP(C14,Country_Data!B:F,5,FALSE)</f>
        <v>8164</v>
      </c>
      <c r="E14" s="75">
        <f>D14*Projections_Data!$C$15</f>
        <v>1057.5</v>
      </c>
      <c r="F14" s="75">
        <f>VLOOKUP(C14,Country_Data!C:G,5,FALSE)</f>
        <v>423</v>
      </c>
      <c r="G14" s="76">
        <f>IFERROR(VLOOKUP(C14,Days_Since_100!C:G,5,FALSE)-1,0)</f>
        <v>0.24621979719354981</v>
      </c>
      <c r="H14" s="77">
        <f>IFERROR(VLOOKUP(C14,Deaths_since_10!C:G,5,FALSE)-1,0)</f>
        <v>0.25110066863380553</v>
      </c>
      <c r="J14" s="68">
        <f t="shared" si="0"/>
        <v>11.987663060946803</v>
      </c>
      <c r="K14" s="67">
        <v>21.8</v>
      </c>
      <c r="L14" s="61">
        <f>VLOOKUP(C14,Country_Data!C:J,8,FALSE)</f>
        <v>67886011</v>
      </c>
      <c r="M14" s="60">
        <f t="shared" si="2"/>
        <v>14799.150398</v>
      </c>
      <c r="O14" s="59">
        <f t="array" ref="O14">IF(OR(C14=$Q$4:$Q$22),1,0)</f>
        <v>1</v>
      </c>
      <c r="P14" s="166" t="s">
        <v>596</v>
      </c>
      <c r="Q14" s="167">
        <v>20</v>
      </c>
      <c r="R14" s="166" t="s">
        <v>597</v>
      </c>
    </row>
    <row r="15" spans="2:18" s="59" customFormat="1" ht="13.8" customHeight="1" x14ac:dyDescent="0.3">
      <c r="B15" s="66">
        <f t="shared" si="1"/>
        <v>12</v>
      </c>
      <c r="C15" s="62" t="s">
        <v>137</v>
      </c>
      <c r="D15" s="75">
        <f>VLOOKUP(C15,Country_Data!B:F,5,FALSE)</f>
        <v>901</v>
      </c>
      <c r="E15" s="75">
        <f>D15*Projections_Data!$C$15</f>
        <v>116.70841499265065</v>
      </c>
      <c r="F15" s="75">
        <f>VLOOKUP(C15,Country_Data!C:G,5,FALSE)</f>
        <v>10</v>
      </c>
      <c r="G15" s="76">
        <f>IFERROR(VLOOKUP(C15,Days_Since_100!C:G,5,FALSE)-1,0)</f>
        <v>0.20475652625478125</v>
      </c>
      <c r="H15" s="77">
        <f>IFERROR(VLOOKUP(C15,Deaths_since_10!C:G,5,FALSE)-1,0)</f>
        <v>0.25</v>
      </c>
      <c r="J15" s="68" t="str">
        <f t="shared" si="0"/>
        <v/>
      </c>
      <c r="K15" s="67"/>
      <c r="L15" s="61">
        <f>VLOOKUP(C15,Country_Data!C:J,8,FALSE)</f>
        <v>37846611</v>
      </c>
      <c r="M15" s="60">
        <f t="shared" si="2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1"/>
        <v>13</v>
      </c>
      <c r="C16" s="62" t="s">
        <v>77</v>
      </c>
      <c r="D16" s="75">
        <f>VLOOKUP(C16,Country_Data!B:F,5,FALSE)</f>
        <v>9877</v>
      </c>
      <c r="E16" s="75">
        <f>D16*Projections_Data!$C$15</f>
        <v>1279.3884737873591</v>
      </c>
      <c r="F16" s="75">
        <f>VLOOKUP(C16,Country_Data!C:G,5,FALSE)</f>
        <v>122</v>
      </c>
      <c r="G16" s="76">
        <f>IFERROR(VLOOKUP(C16,Days_Since_100!C:G,5,FALSE)-1,0)</f>
        <v>0.19371180327774251</v>
      </c>
      <c r="H16" s="77">
        <f>IFERROR(VLOOKUP(C16,Deaths_since_10!C:G,5,FALSE)-1,0)</f>
        <v>0.24369874128697844</v>
      </c>
      <c r="J16" s="68" t="str">
        <f t="shared" si="0"/>
        <v/>
      </c>
      <c r="K16" s="67"/>
      <c r="L16" s="61">
        <f>VLOOKUP(C16,Country_Data!C:J,8,FALSE)</f>
        <v>8654622</v>
      </c>
      <c r="M16" s="60">
        <f t="shared" si="2"/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1"/>
        <v>14</v>
      </c>
      <c r="C17" s="62" t="s">
        <v>41</v>
      </c>
      <c r="D17" s="75">
        <f>VLOOKUP(C17,Country_Data!B:F,5,FALSE)</f>
        <v>22622</v>
      </c>
      <c r="E17" s="75">
        <f>D17*Projections_Data!$C$15</f>
        <v>2930.2749877511023</v>
      </c>
      <c r="F17" s="75">
        <f>VLOOKUP(C17,Country_Data!C:G,5,FALSE)</f>
        <v>1102</v>
      </c>
      <c r="G17" s="76">
        <f>IFERROR(VLOOKUP(C17,Days_Since_100!C:G,5,FALSE)-1,0)</f>
        <v>0.15575258666178837</v>
      </c>
      <c r="H17" s="77">
        <f>IFERROR(VLOOKUP(C17,Deaths_since_10!C:G,5,FALSE)-1,0)</f>
        <v>0.2425896472472755</v>
      </c>
      <c r="J17" s="68">
        <f t="shared" si="0"/>
        <v>2.4498350113333811</v>
      </c>
      <c r="K17" s="67">
        <v>6.4</v>
      </c>
      <c r="L17" s="61">
        <f>VLOOKUP(C17,Country_Data!C:J,8,FALSE)</f>
        <v>65273511</v>
      </c>
      <c r="M17" s="60">
        <f t="shared" si="2"/>
        <v>4177.5047039999999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1"/>
        <v>15</v>
      </c>
      <c r="C18" s="62" t="s">
        <v>45</v>
      </c>
      <c r="D18" s="75">
        <f>VLOOKUP(C18,Country_Data!B:F,5,FALSE)</f>
        <v>2790</v>
      </c>
      <c r="E18" s="75">
        <f>D18*Projections_Data!$C$15</f>
        <v>361.39453699167069</v>
      </c>
      <c r="F18" s="75">
        <f>VLOOKUP(C18,Country_Data!C:G,5,FALSE)</f>
        <v>26</v>
      </c>
      <c r="G18" s="76">
        <f>IFERROR(VLOOKUP(C18,Days_Since_100!C:G,5,FALSE)-1,0)</f>
        <v>0.28381617538359372</v>
      </c>
      <c r="H18" s="77">
        <f>IFERROR(VLOOKUP(C18,Deaths_since_10!C:G,5,FALSE)-1,0)</f>
        <v>0.23636347834823446</v>
      </c>
      <c r="J18" s="68">
        <f t="shared" si="0"/>
        <v>7.9048084278553672</v>
      </c>
      <c r="K18" s="67">
        <v>6.9</v>
      </c>
      <c r="L18" s="61">
        <f>VLOOKUP(C18,Country_Data!C:J,8,FALSE)</f>
        <v>37742154</v>
      </c>
      <c r="M18" s="60">
        <f t="shared" si="2"/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1"/>
        <v>16</v>
      </c>
      <c r="C19" s="62" t="s">
        <v>107</v>
      </c>
      <c r="D19" s="75">
        <f>VLOOKUP(C19,Country_Data!B:F,5,FALSE)</f>
        <v>686</v>
      </c>
      <c r="E19" s="75">
        <f>D19*Projections_Data!$C$15</f>
        <v>88.859015188633009</v>
      </c>
      <c r="F19" s="75">
        <f>VLOOKUP(C19,Country_Data!C:G,5,FALSE)</f>
        <v>55</v>
      </c>
      <c r="G19" s="76">
        <f>IFERROR(VLOOKUP(C19,Days_Since_100!C:G,5,FALSE)-1,0)</f>
        <v>0.17142029870555087</v>
      </c>
      <c r="H19" s="77">
        <f>IFERROR(VLOOKUP(C19,Deaths_since_10!C:G,5,FALSE)-1,0)</f>
        <v>0.17080491296489231</v>
      </c>
      <c r="J19" s="68" t="str">
        <f t="shared" si="0"/>
        <v/>
      </c>
      <c r="K19" s="67"/>
      <c r="L19" s="61">
        <f>VLOOKUP(C19,Country_Data!C:J,8,FALSE)</f>
        <v>273523615</v>
      </c>
      <c r="M19" s="60">
        <f t="shared" si="2"/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1"/>
        <v>17</v>
      </c>
      <c r="C20" s="62" t="s">
        <v>56</v>
      </c>
      <c r="D20" s="75">
        <f>VLOOKUP(C20,Country_Data!B:F,5,FALSE)</f>
        <v>552</v>
      </c>
      <c r="E20" s="75">
        <f>D20*Projections_Data!$C$15</f>
        <v>71.501714845663884</v>
      </c>
      <c r="F20" s="75">
        <f>VLOOKUP(C20,Country_Data!C:G,5,FALSE)</f>
        <v>35</v>
      </c>
      <c r="G20" s="76">
        <f>IFERROR(VLOOKUP(C20,Days_Since_100!C:G,5,FALSE)-1,0)</f>
        <v>0.20530197661547667</v>
      </c>
      <c r="H20" s="77">
        <f>IFERROR(VLOOKUP(C20,Deaths_since_10!C:G,5,FALSE)-1,0)</f>
        <v>0.15537728404441831</v>
      </c>
      <c r="J20" s="68">
        <f t="shared" si="0"/>
        <v>28.143592986870907</v>
      </c>
      <c r="K20" s="67">
        <v>12.5</v>
      </c>
      <c r="L20" s="61">
        <f>VLOOKUP(C20,Country_Data!C:J,8,FALSE)</f>
        <v>109581078</v>
      </c>
      <c r="M20" s="60">
        <f t="shared" si="2"/>
        <v>13697.634750000001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1"/>
        <v>18</v>
      </c>
      <c r="C21" s="62" t="s">
        <v>58</v>
      </c>
      <c r="D21" s="75">
        <f>VLOOKUP(C21,Country_Data!B:F,5,FALSE)</f>
        <v>69176</v>
      </c>
      <c r="E21" s="75">
        <f>D21*Projections_Data!$C$15</f>
        <v>8960.5120039196463</v>
      </c>
      <c r="F21" s="75">
        <f>VLOOKUP(C21,Country_Data!C:G,5,FALSE)</f>
        <v>6820</v>
      </c>
      <c r="G21" s="76">
        <f>IFERROR(VLOOKUP(C21,Days_Since_100!C:G,5,FALSE)-1,0)</f>
        <v>0.11009514083520799</v>
      </c>
      <c r="H21" s="77">
        <f>IFERROR(VLOOKUP(C21,Deaths_since_10!C:G,5,FALSE)-1,0)</f>
        <v>0.14903551336301368</v>
      </c>
      <c r="J21" s="68">
        <f t="shared" si="0"/>
        <v>-8.6573758991722389</v>
      </c>
      <c r="K21" s="67">
        <v>6</v>
      </c>
      <c r="L21" s="61">
        <f>VLOOKUP(C21,Country_Data!C:J,8,FALSE)</f>
        <v>60461826</v>
      </c>
      <c r="M21" s="60">
        <f t="shared" si="2"/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1"/>
        <v>19</v>
      </c>
      <c r="C22" s="62" t="s">
        <v>124</v>
      </c>
      <c r="D22" s="75">
        <f>VLOOKUP(C22,Country_Data!B:F,5,FALSE)</f>
        <v>922</v>
      </c>
      <c r="E22" s="75">
        <f>D22*Projections_Data!$C$15</f>
        <v>119.42858892699655</v>
      </c>
      <c r="F22" s="75">
        <f>VLOOKUP(C22,Country_Data!C:G,5,FALSE)</f>
        <v>2</v>
      </c>
      <c r="G22" s="76">
        <f>IFERROR(VLOOKUP(C22,Days_Since_100!C:G,5,FALSE)-1,0)</f>
        <v>0.31108483125573128</v>
      </c>
      <c r="H22" s="77">
        <f>IFERROR(VLOOKUP(C22,Deaths_since_10!C:G,5,FALSE)-1,0)</f>
        <v>0</v>
      </c>
      <c r="J22" s="68">
        <f t="shared" si="0"/>
        <v>14.194209687613904</v>
      </c>
      <c r="K22" s="67">
        <v>29.2</v>
      </c>
      <c r="L22" s="61">
        <f>VLOOKUP(C22,Country_Data!C:J,8,FALSE)</f>
        <v>19116201</v>
      </c>
      <c r="M22" s="60">
        <f t="shared" si="2"/>
        <v>5581.9306919999999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1"/>
        <v>20</v>
      </c>
      <c r="C23" s="62" t="s">
        <v>145</v>
      </c>
      <c r="D23" s="75">
        <f>VLOOKUP(C23,Country_Data!B:F,5,FALSE)</f>
        <v>554</v>
      </c>
      <c r="E23" s="75">
        <f>D23*Projections_Data!$C$15</f>
        <v>71.760779029887303</v>
      </c>
      <c r="F23" s="75">
        <f>VLOOKUP(C23,Country_Data!C:G,5,FALSE)</f>
        <v>0</v>
      </c>
      <c r="G23" s="76">
        <f>IFERROR(VLOOKUP(C23,Days_Since_100!C:G,5,FALSE)-1,0)</f>
        <v>0.29862482614223529</v>
      </c>
      <c r="H23" s="77">
        <f>IFERROR(VLOOKUP(C23,Deaths_since_10!C:G,5,FALSE)-1,0)</f>
        <v>0</v>
      </c>
      <c r="J23" s="68" t="str">
        <f t="shared" si="0"/>
        <v/>
      </c>
      <c r="K23" s="67"/>
      <c r="L23" s="61">
        <f>VLOOKUP(C23,Country_Data!C:J,8,FALSE)</f>
        <v>59308690</v>
      </c>
      <c r="M23" s="60">
        <f t="shared" si="2"/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1"/>
        <v>21</v>
      </c>
      <c r="C24" s="62" t="s">
        <v>99</v>
      </c>
      <c r="D24" s="75">
        <f>VLOOKUP(C24,Country_Data!B:F,5,FALSE)</f>
        <v>1099</v>
      </c>
      <c r="E24" s="75">
        <f>D24*Projections_Data!$C$15</f>
        <v>142.35576923076923</v>
      </c>
      <c r="F24" s="75">
        <f>VLOOKUP(C24,Country_Data!C:G,5,FALSE)</f>
        <v>8</v>
      </c>
      <c r="G24" s="76">
        <f>IFERROR(VLOOKUP(C24,Days_Since_100!C:G,5,FALSE)-1,0)</f>
        <v>0.26820825883940858</v>
      </c>
      <c r="H24" s="77">
        <f>IFERROR(VLOOKUP(C24,Deaths_since_10!C:G,5,FALSE)-1,0)</f>
        <v>0</v>
      </c>
      <c r="J24" s="68">
        <f t="shared" si="0"/>
        <v>0.36472010974735591</v>
      </c>
      <c r="K24" s="67">
        <v>24.8</v>
      </c>
      <c r="L24" s="61">
        <f>VLOOKUP(C24,Country_Data!C:J,8,FALSE)</f>
        <v>625978</v>
      </c>
      <c r="M24" s="60">
        <f t="shared" si="2"/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1"/>
        <v>22</v>
      </c>
      <c r="C25" s="62" t="s">
        <v>35</v>
      </c>
      <c r="D25" s="75">
        <f>VLOOKUP(C25,Country_Data!B:F,5,FALSE)</f>
        <v>827</v>
      </c>
      <c r="E25" s="75">
        <f>D25*Projections_Data!$C$15</f>
        <v>107.12304017638411</v>
      </c>
      <c r="F25" s="75">
        <f>VLOOKUP(C25,Country_Data!C:G,5,FALSE)</f>
        <v>4</v>
      </c>
      <c r="G25" s="76">
        <f>IFERROR(VLOOKUP(C25,Days_Since_100!C:G,5,FALSE)-1,0)</f>
        <v>0.24907156300808819</v>
      </c>
      <c r="H25" s="77">
        <f>IFERROR(VLOOKUP(C25,Deaths_since_10!C:G,5,FALSE)-1,0)</f>
        <v>0</v>
      </c>
      <c r="J25" s="68" t="str">
        <f t="shared" si="0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1"/>
        <v>23</v>
      </c>
      <c r="C26" s="62" t="s">
        <v>48</v>
      </c>
      <c r="D26" s="75">
        <f>VLOOKUP(C26,Country_Data!B:F,5,FALSE)</f>
        <v>2044</v>
      </c>
      <c r="E26" s="75">
        <f>D26*Projections_Data!$C$15</f>
        <v>264.76359627633508</v>
      </c>
      <c r="F26" s="75">
        <f>VLOOKUP(C26,Country_Data!C:G,5,FALSE)</f>
        <v>8</v>
      </c>
      <c r="G26" s="76">
        <f>IFERROR(VLOOKUP(C26,Days_Since_100!C:G,5,FALSE)-1,0)</f>
        <v>0.24585286689000907</v>
      </c>
      <c r="H26" s="77">
        <f>IFERROR(VLOOKUP(C26,Deaths_since_10!C:G,5,FALSE)-1,0)</f>
        <v>0</v>
      </c>
      <c r="J26" s="68" t="str">
        <f t="shared" si="0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1"/>
        <v>24</v>
      </c>
      <c r="C27" s="62" t="s">
        <v>86</v>
      </c>
      <c r="D27" s="75">
        <f>VLOOKUP(C27,Country_Data!B:F,5,FALSE)</f>
        <v>794</v>
      </c>
      <c r="E27" s="75">
        <f>D27*Projections_Data!$C$15</f>
        <v>102.84848113669769</v>
      </c>
      <c r="F27" s="75">
        <f>VLOOKUP(C27,Country_Data!C:G,5,FALSE)</f>
        <v>11</v>
      </c>
      <c r="G27" s="76">
        <f>IFERROR(VLOOKUP(C27,Days_Since_100!C:G,5,FALSE)-1,0)</f>
        <v>0.23443477223563369</v>
      </c>
      <c r="H27" s="77">
        <f>IFERROR(VLOOKUP(C27,Deaths_since_10!C:G,5,FALSE)-1,0)</f>
        <v>0</v>
      </c>
      <c r="J27" s="68" t="str">
        <f t="shared" si="0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1"/>
        <v>25</v>
      </c>
      <c r="C28" s="62" t="s">
        <v>79</v>
      </c>
      <c r="D28" s="75">
        <f>VLOOKUP(C28,Country_Data!B:F,5,FALSE)</f>
        <v>1930</v>
      </c>
      <c r="E28" s="75">
        <f>D28*Projections_Data!$C$15</f>
        <v>249.99693777560017</v>
      </c>
      <c r="F28" s="75">
        <f>VLOOKUP(C28,Country_Data!C:G,5,FALSE)</f>
        <v>3</v>
      </c>
      <c r="G28" s="76">
        <f>IFERROR(VLOOKUP(C28,Days_Since_100!C:G,5,FALSE)-1,0)</f>
        <v>0.23308702527042979</v>
      </c>
      <c r="H28" s="77">
        <f>IFERROR(VLOOKUP(C28,Deaths_since_10!C:G,5,FALSE)-1,0)</f>
        <v>0</v>
      </c>
      <c r="J28" s="68" t="str">
        <f t="shared" si="0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1"/>
        <v>26</v>
      </c>
      <c r="C29" s="62" t="s">
        <v>113</v>
      </c>
      <c r="D29" s="75">
        <f>VLOOKUP(C29,Country_Data!B:F,5,FALSE)</f>
        <v>767</v>
      </c>
      <c r="E29" s="75">
        <f>D29*Projections_Data!$C$15</f>
        <v>99.35111464968152</v>
      </c>
      <c r="F29" s="75">
        <f>VLOOKUP(C29,Country_Data!C:G,5,FALSE)</f>
        <v>1</v>
      </c>
      <c r="G29" s="76">
        <f>IFERROR(VLOOKUP(C29,Days_Since_100!C:G,5,FALSE)-1,0)</f>
        <v>0.22859561298210607</v>
      </c>
      <c r="H29" s="77">
        <f>IFERROR(VLOOKUP(C29,Deaths_since_10!C:G,5,FALSE)-1,0)</f>
        <v>0</v>
      </c>
      <c r="J29" s="68">
        <f t="shared" si="0"/>
        <v>17.127492615849082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1"/>
        <v>27</v>
      </c>
      <c r="C30" s="62" t="s">
        <v>57</v>
      </c>
      <c r="D30" s="75">
        <f>VLOOKUP(C30,Country_Data!B:F,5,FALSE)</f>
        <v>536</v>
      </c>
      <c r="E30" s="75">
        <f>D30*Projections_Data!$C$15</f>
        <v>69.42920137187653</v>
      </c>
      <c r="F30" s="75">
        <f>VLOOKUP(C30,Country_Data!C:G,5,FALSE)</f>
        <v>10</v>
      </c>
      <c r="G30" s="76">
        <f>IFERROR(VLOOKUP(C30,Days_Since_100!C:G,5,FALSE)-1,0)</f>
        <v>0.22538514712944724</v>
      </c>
      <c r="H30" s="77">
        <f>IFERROR(VLOOKUP(C30,Deaths_since_10!C:G,5,FALSE)-1,0)</f>
        <v>0</v>
      </c>
      <c r="J30" s="68" t="str">
        <f t="shared" si="0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1"/>
        <v>28</v>
      </c>
      <c r="C31" s="62" t="s">
        <v>344</v>
      </c>
      <c r="D31" s="75">
        <f>VLOOKUP(C31,Country_Data!B:F,5,FALSE)</f>
        <v>495</v>
      </c>
      <c r="E31" s="75">
        <f>D31*Projections_Data!$C$15</f>
        <v>64.118385595296417</v>
      </c>
      <c r="F31" s="75">
        <f>VLOOKUP(C31,Country_Data!C:G,5,FALSE)</f>
        <v>1</v>
      </c>
      <c r="G31" s="76">
        <f>IFERROR(VLOOKUP(C31,Days_Since_100!C:G,5,FALSE)-1,0)</f>
        <v>0.19991483995176895</v>
      </c>
      <c r="H31" s="77">
        <f>IFERROR(VLOOKUP(C31,Deaths_since_10!C:G,5,FALSE)-1,0)</f>
        <v>0</v>
      </c>
      <c r="J31" s="68">
        <f t="shared" si="0"/>
        <v>27.417271008603876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1"/>
        <v>29</v>
      </c>
      <c r="C32" s="62" t="s">
        <v>98</v>
      </c>
      <c r="D32" s="75">
        <f>VLOOKUP(C32,Country_Data!B:F,5,FALSE)</f>
        <v>1329</v>
      </c>
      <c r="E32" s="75">
        <f>D32*Projections_Data!$C$15</f>
        <v>172.1481504164625</v>
      </c>
      <c r="F32" s="75">
        <f>VLOOKUP(C32,Country_Data!C:G,5,FALSE)</f>
        <v>7</v>
      </c>
      <c r="G32" s="76">
        <f>IFERROR(VLOOKUP(C32,Days_Since_100!C:G,5,FALSE)-1,0)</f>
        <v>0.18996436792764237</v>
      </c>
      <c r="H32" s="77">
        <f>IFERROR(VLOOKUP(C32,Deaths_since_10!C:G,5,FALSE)-1,0)</f>
        <v>0</v>
      </c>
      <c r="J32" s="68" t="str">
        <f t="shared" si="0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1"/>
        <v>30</v>
      </c>
      <c r="C33" s="62" t="s">
        <v>80</v>
      </c>
      <c r="D33" s="75">
        <f>VLOOKUP(C33,Country_Data!B:F,5,FALSE)</f>
        <v>972</v>
      </c>
      <c r="E33" s="75">
        <f>D33*Projections_Data!$C$15</f>
        <v>125.90519353258206</v>
      </c>
      <c r="F33" s="75">
        <f>VLOOKUP(C33,Country_Data!C:G,5,FALSE)</f>
        <v>7</v>
      </c>
      <c r="G33" s="76">
        <f>IFERROR(VLOOKUP(C33,Days_Since_100!C:G,5,FALSE)-1,0)</f>
        <v>0.1644533172271867</v>
      </c>
      <c r="H33" s="77">
        <f>IFERROR(VLOOKUP(C33,Deaths_since_10!C:G,5,FALSE)-1,0)</f>
        <v>0</v>
      </c>
      <c r="J33" s="68" t="str">
        <f t="shared" si="0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1"/>
        <v>31</v>
      </c>
      <c r="C34" s="62" t="s">
        <v>111</v>
      </c>
      <c r="D34" s="75">
        <f>VLOOKUP(C34,Country_Data!B:F,5,FALSE)</f>
        <v>197</v>
      </c>
      <c r="E34" s="75">
        <f>D34*Projections_Data!$C$15</f>
        <v>25.517822146006857</v>
      </c>
      <c r="F34" s="75">
        <f>VLOOKUP(C34,Country_Data!C:G,5,FALSE)</f>
        <v>0</v>
      </c>
      <c r="G34" s="76">
        <f>IFERROR(VLOOKUP(C34,Days_Since_100!C:G,5,FALSE)-1,0)</f>
        <v>0.15421260227269551</v>
      </c>
      <c r="H34" s="77">
        <f>IFERROR(VLOOKUP(C34,Deaths_since_10!C:G,5,FALSE)-1,0)</f>
        <v>0</v>
      </c>
      <c r="J34" s="68">
        <f t="shared" si="0"/>
        <v>14.612258106188881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1"/>
        <v>32</v>
      </c>
      <c r="C35" s="62" t="s">
        <v>67</v>
      </c>
      <c r="D35" s="75">
        <f>VLOOKUP(C35,Country_Data!B:F,5,FALSE)</f>
        <v>318</v>
      </c>
      <c r="E35" s="75">
        <f>D35*Projections_Data!$C$15</f>
        <v>41.191205291523758</v>
      </c>
      <c r="F35" s="75">
        <f>VLOOKUP(C35,Country_Data!C:G,5,FALSE)</f>
        <v>4</v>
      </c>
      <c r="G35" s="76">
        <f>IFERROR(VLOOKUP(C35,Days_Since_100!C:G,5,FALSE)-1,0)</f>
        <v>0.15161017527218523</v>
      </c>
      <c r="H35" s="77">
        <f>IFERROR(VLOOKUP(C35,Deaths_since_10!C:G,5,FALSE)-1,0)</f>
        <v>0</v>
      </c>
      <c r="J35" s="68">
        <f t="shared" si="0"/>
        <v>16.387704410259079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1"/>
        <v>33</v>
      </c>
      <c r="C36" s="62" t="s">
        <v>342</v>
      </c>
      <c r="D36" s="75">
        <f>VLOOKUP(C36,Country_Data!B:F,5,FALSE)</f>
        <v>215</v>
      </c>
      <c r="E36" s="75">
        <f>D36*Projections_Data!$C$15</f>
        <v>27.849399804017636</v>
      </c>
      <c r="F36" s="75">
        <f>VLOOKUP(C36,Country_Data!C:G,5,FALSE)</f>
        <v>2</v>
      </c>
      <c r="G36" s="76">
        <f>IFERROR(VLOOKUP(C36,Days_Since_100!C:G,5,FALSE)-1,0)</f>
        <v>0.14763277027265342</v>
      </c>
      <c r="H36" s="77">
        <f>IFERROR(VLOOKUP(C36,Deaths_since_10!C:G,5,FALSE)-1,0)</f>
        <v>0</v>
      </c>
      <c r="J36" s="68" t="str">
        <f t="shared" si="0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792</v>
      </c>
      <c r="E37" s="75">
        <f>D37*Projections_Data!$C$15</f>
        <v>102.58941695247427</v>
      </c>
      <c r="F37" s="75">
        <f>VLOOKUP(C37,Country_Data!C:G,5,FALSE)</f>
        <v>1</v>
      </c>
      <c r="G37" s="76">
        <f>IFERROR(VLOOKUP(C37,Days_Since_100!C:G,5,FALSE)-1,0)</f>
        <v>0.14639171317376021</v>
      </c>
      <c r="H37" s="77">
        <f>IFERROR(VLOOKUP(C37,Deaths_since_10!C:G,5,FALSE)-1,0)</f>
        <v>0</v>
      </c>
      <c r="I37" s="58"/>
      <c r="J37" s="68" t="str">
        <f t="shared" si="0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218</v>
      </c>
      <c r="E38" s="75">
        <f>D38*Projections_Data!$C$15</f>
        <v>28.237996080352765</v>
      </c>
      <c r="F38" s="75">
        <f>VLOOKUP(C38,Country_Data!C:G,5,FALSE)</f>
        <v>3</v>
      </c>
      <c r="G38" s="76">
        <f>IFERROR(VLOOKUP(C38,Days_Since_100!C:G,5,FALSE)-1,0)</f>
        <v>0.14462491030360036</v>
      </c>
      <c r="H38" s="77">
        <f>IFERROR(VLOOKUP(C38,Deaths_since_10!C:G,5,FALSE)-1,0)</f>
        <v>0</v>
      </c>
      <c r="J38" s="68" t="str">
        <f t="shared" si="0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648</v>
      </c>
      <c r="E39" s="75">
        <f>D39*Projections_Data!$C$15</f>
        <v>83.936795688388031</v>
      </c>
      <c r="F39" s="75">
        <f>VLOOKUP(C39,Country_Data!C:G,5,FALSE)</f>
        <v>5</v>
      </c>
      <c r="G39" s="76">
        <f>IFERROR(VLOOKUP(C39,Days_Since_100!C:G,5,FALSE)-1,0)</f>
        <v>0.14449055558818991</v>
      </c>
      <c r="H39" s="77">
        <f>IFERROR(VLOOKUP(C39,Deaths_since_10!C:G,5,FALSE)-1,0)</f>
        <v>0</v>
      </c>
      <c r="J39" s="68" t="str">
        <f t="shared" si="0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648</v>
      </c>
      <c r="E40" s="75">
        <f>D40*Projections_Data!$C$15</f>
        <v>83.936795688388031</v>
      </c>
      <c r="F40" s="75">
        <f>VLOOKUP(C40,Country_Data!C:G,5,FALSE)</f>
        <v>5</v>
      </c>
      <c r="G40" s="76">
        <f>IFERROR(VLOOKUP(C40,Days_Since_100!C:G,5,FALSE)-1,0)</f>
        <v>0.14449055558818991</v>
      </c>
      <c r="H40" s="77">
        <f>IFERROR(VLOOKUP(C40,Deaths_since_10!C:G,5,FALSE)-1,0)</f>
        <v>0</v>
      </c>
      <c r="J40" s="68">
        <f t="shared" si="0"/>
        <v>-3.2329697150084948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416</v>
      </c>
      <c r="E41" s="75">
        <f>D41*Projections_Data!$C$15</f>
        <v>53.885350318471332</v>
      </c>
      <c r="F41" s="75">
        <f>VLOOKUP(C41,Country_Data!C:G,5,FALSE)</f>
        <v>7</v>
      </c>
      <c r="G41" s="76">
        <f>IFERROR(VLOOKUP(C41,Days_Since_100!C:G,5,FALSE)-1,0)</f>
        <v>0.12195514544619956</v>
      </c>
      <c r="H41" s="77">
        <f>IFERROR(VLOOKUP(C41,Deaths_since_10!C:G,5,FALSE)-1,0)</f>
        <v>0</v>
      </c>
      <c r="J41" s="68">
        <f t="shared" si="0"/>
        <v>45.092905911581447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204</v>
      </c>
      <c r="E42" s="75">
        <f>D42*Projections_Data!$C$15</f>
        <v>26.424546790788828</v>
      </c>
      <c r="F42" s="75">
        <f>VLOOKUP(C42,Country_Data!C:G,5,FALSE)</f>
        <v>1</v>
      </c>
      <c r="G42" s="76">
        <f>IFERROR(VLOOKUP(C42,Days_Since_100!C:G,5,FALSE)-1,0)</f>
        <v>0.10648367613104859</v>
      </c>
      <c r="H42" s="77">
        <f>IFERROR(VLOOKUP(C42,Deaths_since_10!C:G,5,FALSE)-1,0)</f>
        <v>0</v>
      </c>
      <c r="I42" s="58"/>
      <c r="J42" s="68" t="str">
        <f t="shared" si="0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558</v>
      </c>
      <c r="E43" s="75">
        <f>D43*Projections_Data!$C$15</f>
        <v>72.278907398334141</v>
      </c>
      <c r="F43" s="75">
        <f>VLOOKUP(C43,Country_Data!C:G,5,FALSE)</f>
        <v>2</v>
      </c>
      <c r="G43" s="76">
        <f>IFERROR(VLOOKUP(C43,Days_Since_100!C:G,5,FALSE)-1,0)</f>
        <v>0.10093840223689399</v>
      </c>
      <c r="H43" s="77">
        <f>IFERROR(VLOOKUP(C43,Deaths_since_10!C:G,5,FALSE)-1,0)</f>
        <v>0</v>
      </c>
      <c r="J43" s="68" t="str">
        <f t="shared" si="0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402</v>
      </c>
      <c r="E44" s="75">
        <f>D44*Projections_Data!$C$15</f>
        <v>52.071901028907391</v>
      </c>
      <c r="F44" s="75">
        <f>VLOOKUP(C44,Country_Data!C:G,5,FALSE)</f>
        <v>20</v>
      </c>
      <c r="G44" s="76">
        <f>IFERROR(VLOOKUP(C44,Days_Since_100!C:G,5,FALSE)-1,0)</f>
        <v>9.4453255830372118E-2</v>
      </c>
      <c r="H44" s="77">
        <f>IFERROR(VLOOKUP(C44,Deaths_since_10!C:G,5,FALSE)-1,0)</f>
        <v>0.25743342968293548</v>
      </c>
      <c r="J44" s="68">
        <f t="shared" ref="J44:J66" si="5">IFERROR(LOG((M44/E44),1+G44),"")</f>
        <v>37.234475226155759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2863</v>
      </c>
      <c r="E45" s="75">
        <f>D45*Projections_Data!$C$15</f>
        <v>370.85037971582557</v>
      </c>
      <c r="F45" s="75">
        <f>VLOOKUP(C45,Country_Data!C:G,5,FALSE)</f>
        <v>12</v>
      </c>
      <c r="G45" s="76">
        <f>IFERROR(VLOOKUP(C45,Days_Since_100!C:G,5,FALSE)-1,0)</f>
        <v>0.10396529728225756</v>
      </c>
      <c r="H45" s="77">
        <f>IFERROR(VLOOKUP(C45,Deaths_since_10!C:G,5,FALSE)-1,0)</f>
        <v>0.19999999999999996</v>
      </c>
      <c r="J45" s="68">
        <f t="shared" si="5"/>
        <v>1.5828030641465234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2286</v>
      </c>
      <c r="E46" s="75">
        <f>D46*Projections_Data!$C$15</f>
        <v>296.1103625673689</v>
      </c>
      <c r="F46" s="75">
        <f>VLOOKUP(C46,Country_Data!C:G,5,FALSE)</f>
        <v>36</v>
      </c>
      <c r="G46" s="76">
        <f>IFERROR(VLOOKUP(C46,Days_Since_100!C:G,5,FALSE)-1,0)</f>
        <v>9.6991055318288444E-2</v>
      </c>
      <c r="H46" s="77">
        <f>IFERROR(VLOOKUP(C46,Deaths_since_10!C:G,5,FALSE)-1,0)</f>
        <v>0.2675992195350152</v>
      </c>
      <c r="J46" s="68">
        <f t="shared" si="5"/>
        <v>17.341678954551366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743</v>
      </c>
      <c r="E47" s="75">
        <f>D47*Projections_Data!$C$15</f>
        <v>96.242344439000476</v>
      </c>
      <c r="F47" s="75">
        <f>VLOOKUP(C47,Country_Data!C:G,5,FALSE)</f>
        <v>20</v>
      </c>
      <c r="G47" s="76">
        <f>IFERROR(VLOOKUP(C47,Days_Since_100!C:G,5,FALSE)-1,0)</f>
        <v>0.12192159214912857</v>
      </c>
      <c r="H47" s="77">
        <f>IFERROR(VLOOKUP(C47,Deaths_since_10!C:G,5,FALSE)-1,0)</f>
        <v>0.15441567326431938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316</v>
      </c>
      <c r="E48" s="75">
        <f>D48*Projections_Data!$C$15</f>
        <v>40.932141107300339</v>
      </c>
      <c r="F48" s="75">
        <f>VLOOKUP(C48,Country_Data!C:G,5,FALSE)</f>
        <v>27</v>
      </c>
      <c r="G48" s="76">
        <f>IFERROR(VLOOKUP(C48,Days_Since_100!C:G,5,FALSE)-1,0)</f>
        <v>0.10478347805926491</v>
      </c>
      <c r="H48" s="77">
        <f>IFERROR(VLOOKUP(C48,Deaths_since_10!C:G,5,FALSE)-1,0)</f>
        <v>0.15740161058219848</v>
      </c>
      <c r="J48" s="68">
        <f t="shared" si="5"/>
        <v>40.571795335707073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480</v>
      </c>
      <c r="E49" s="75">
        <f>D49*Projections_Data!$C$15</f>
        <v>62.175404213620766</v>
      </c>
      <c r="F49" s="75">
        <f>VLOOKUP(C49,Country_Data!C:G,5,FALSE)</f>
        <v>4</v>
      </c>
      <c r="G49" s="76">
        <f>IFERROR(VLOOKUP(C49,Days_Since_100!C:G,5,FALSE)-1,0)</f>
        <v>0.10911107218709981</v>
      </c>
      <c r="H49" s="77">
        <f>IFERROR(VLOOKUP(C49,Deaths_since_10!C:G,5,FALSE)-1,0)</f>
        <v>0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1718</v>
      </c>
      <c r="E50" s="75">
        <f>D50*Projections_Data!$C$15</f>
        <v>222.53613424791766</v>
      </c>
      <c r="F50" s="75">
        <f>VLOOKUP(C50,Country_Data!C:G,5,FALSE)</f>
        <v>32</v>
      </c>
      <c r="G50" s="76">
        <f>IFERROR(VLOOKUP(C50,Days_Since_100!C:G,5,FALSE)-1,0)</f>
        <v>6.9984321874870581E-2</v>
      </c>
      <c r="H50" s="77">
        <f>IFERROR(VLOOKUP(C50,Deaths_since_10!C:G,5,FALSE)-1,0)</f>
        <v>0.3731780959380786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187</v>
      </c>
      <c r="E51" s="75">
        <f>D51*Projections_Data!$C$15</f>
        <v>24.222501224889758</v>
      </c>
      <c r="F51" s="75">
        <f>VLOOKUP(C51,Country_Data!C:G,5,FALSE)</f>
        <v>21</v>
      </c>
      <c r="G51" s="76">
        <f>IFERROR(VLOOKUP(C51,Days_Since_100!C:G,5,FALSE)-1,0)</f>
        <v>9.4608784223157549E-2</v>
      </c>
      <c r="H51" s="77">
        <f>IFERROR(VLOOKUP(C51,Deaths_since_10!C:G,5,FALSE)-1,0)</f>
        <v>0.13806042630985371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248</v>
      </c>
      <c r="E52" s="75">
        <f>D52*Projections_Data!$C$15</f>
        <v>32.123958843704067</v>
      </c>
      <c r="F52" s="75">
        <f>VLOOKUP(C52,Country_Data!C:G,5,FALSE)</f>
        <v>2</v>
      </c>
      <c r="G52" s="76">
        <f>IFERROR(VLOOKUP(C52,Days_Since_100!C:G,5,FALSE)-1,0)</f>
        <v>0.12115260160214425</v>
      </c>
      <c r="H52" s="77">
        <f>IFERROR(VLOOKUP(C52,Deaths_since_10!C:G,5,FALSE)-1,0)</f>
        <v>0</v>
      </c>
      <c r="J52" s="68">
        <f t="shared" si="5"/>
        <v>26.466663799693116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392</v>
      </c>
      <c r="E53" s="75">
        <f>D53*Projections_Data!$C$15</f>
        <v>50.776580107790295</v>
      </c>
      <c r="F53" s="75">
        <f>VLOOKUP(C53,Country_Data!C:G,5,FALSE)</f>
        <v>3</v>
      </c>
      <c r="G53" s="76">
        <f>IFERROR(VLOOKUP(C53,Days_Since_100!C:G,5,FALSE)-1,0)</f>
        <v>7.11449736820573E-2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369</v>
      </c>
      <c r="E54" s="75">
        <f>D54*Projections_Data!$C$15</f>
        <v>47.797341989220968</v>
      </c>
      <c r="F54" s="75">
        <f>VLOOKUP(C54,Country_Data!C:G,5,FALSE)</f>
        <v>0</v>
      </c>
      <c r="G54" s="76">
        <f>IFERROR(VLOOKUP(C54,Days_Since_100!C:G,5,FALSE)-1,0)</f>
        <v>6.6849163333137174E-2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191</v>
      </c>
      <c r="E55" s="75">
        <f>D55*Projections_Data!$C$15</f>
        <v>24.740629593336596</v>
      </c>
      <c r="F55" s="75">
        <f>VLOOKUP(C55,Country_Data!C:G,5,FALSE)</f>
        <v>0</v>
      </c>
      <c r="G55" s="76">
        <f>IFERROR(VLOOKUP(C55,Days_Since_100!C:G,5,FALSE)-1,0)</f>
        <v>5.2335764172217303E-2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24811</v>
      </c>
      <c r="E56" s="75">
        <f>D56*Projections_Data!$C$15</f>
        <v>3213.8207373836353</v>
      </c>
      <c r="F56" s="75">
        <f>VLOOKUP(C56,Country_Data!C:G,5,FALSE)</f>
        <v>1934</v>
      </c>
      <c r="G56" s="76">
        <f>IFERROR(VLOOKUP(C56,Days_Since_100!C:G,5,FALSE)-1,0)</f>
        <v>6.1529948599049034E-2</v>
      </c>
      <c r="H56" s="77">
        <f>IFERROR(VLOOKUP(C56,Deaths_since_10!C:G,5,FALSE)-1,0)</f>
        <v>8.5371189205131648E-2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1193</v>
      </c>
      <c r="E57" s="75">
        <f>D57*Projections_Data!$C$15</f>
        <v>154.53178588926994</v>
      </c>
      <c r="F57" s="75">
        <f>VLOOKUP(C57,Country_Data!C:G,5,FALSE)</f>
        <v>43</v>
      </c>
      <c r="G57" s="76">
        <f>IFERROR(VLOOKUP(C57,Days_Since_100!C:G,5,FALSE)-1,0)</f>
        <v>5.2431151403422582E-2</v>
      </c>
      <c r="H57" s="77">
        <f>IFERROR(VLOOKUP(C57,Deaths_since_10!C:G,5,FALSE)-1,0)</f>
        <v>8.1967190705377613E-2</v>
      </c>
      <c r="J57" s="68">
        <f t="shared" si="5"/>
        <v>80.036910579739043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526</v>
      </c>
      <c r="E58" s="75">
        <f>D58*Projections_Data!$C$15</f>
        <v>68.13388045075942</v>
      </c>
      <c r="F58" s="75">
        <f>VLOOKUP(C58,Country_Data!C:G,5,FALSE)</f>
        <v>0</v>
      </c>
      <c r="G58" s="76">
        <f>IFERROR(VLOOKUP(C58,Days_Since_100!C:G,5,FALSE)-1,0)</f>
        <v>2.7177700446376907E-2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 t="e">
        <f>VLOOKUP(C59,Country_Data!C:J,8,FALSE)</f>
        <v>#N/A</v>
      </c>
      <c r="M59" s="60" t="e">
        <f t="shared" si="6"/>
        <v>#N/A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81591</v>
      </c>
      <c r="E60" s="75">
        <f>D60*Projections_Data!$C$15</f>
        <v>10568.652927486526</v>
      </c>
      <c r="F60" s="75">
        <f>VLOOKUP(C60,Country_Data!C:G,5,FALSE)</f>
        <v>3281</v>
      </c>
      <c r="G60" s="76">
        <f>IFERROR(VLOOKUP(C60,Days_Since_100!C:G,5,FALSE)-1,0)</f>
        <v>1.0697184188031006E-3</v>
      </c>
      <c r="H60" s="77">
        <f>IFERROR(VLOOKUP(C60,Deaths_since_10!C:G,5,FALSE)-1,0)</f>
        <v>1.9621219052798899E-3</v>
      </c>
      <c r="I60" s="59"/>
      <c r="J60" s="68">
        <f t="shared" si="5"/>
        <v>1486.9802488910536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1394</v>
      </c>
      <c r="E61" s="75">
        <f>D61*Projections_Data!$C$15</f>
        <v>180.56773640372364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9037</v>
      </c>
      <c r="E62" s="75">
        <f>D62*Projections_Data!$C$15</f>
        <v>1170.5815164135226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124</v>
      </c>
      <c r="E63" s="75">
        <f>D63*Projections_Data!$C$15</f>
        <v>16.061979421852033</v>
      </c>
      <c r="F63" s="75">
        <f>VLOOKUP(C63,Country_Data!C:G,5,FALSE)</f>
        <v>3</v>
      </c>
      <c r="G63" s="76">
        <f>IFERROR(VLOOKUP(C63,Days_Since_100!C:G,5,FALSE)-1,0)</f>
        <v>6.8965517241379226E-2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1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9</v>
      </c>
      <c r="G65" s="75"/>
      <c r="H65" s="77">
        <f>IFERROR(VLOOKUP(C65,Deaths_since_10!C:G,5,FALSE)-1,0)</f>
        <v>0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2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567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T29"/>
  <sheetViews>
    <sheetView zoomScale="70" zoomScaleNormal="70" workbookViewId="0">
      <selection activeCell="S4" sqref="S4"/>
    </sheetView>
  </sheetViews>
  <sheetFormatPr defaultRowHeight="14.4" x14ac:dyDescent="0.3"/>
  <cols>
    <col min="19" max="19" width="11.33203125" bestFit="1" customWidth="1"/>
  </cols>
  <sheetData>
    <row r="3" spans="12:20" x14ac:dyDescent="0.3">
      <c r="S3" t="s">
        <v>598</v>
      </c>
      <c r="T3" t="s">
        <v>515</v>
      </c>
    </row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75000</v>
      </c>
      <c r="T5">
        <v>3000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13" sqref="G1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43914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8164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20</v>
      </c>
      <c r="F5" s="19" t="s">
        <v>506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2716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 t="e">
        <f>IF(VLOOKUP($B$2,Days_Since_100!$H:$KU,Projections_Data!AA$4+2,FALSE)=0,#N/A,VLOOKUP($B$2,Days_Since_100!$H:$KU,Projections_Data!AA$4+2,FALSE))</f>
        <v>#N/A</v>
      </c>
      <c r="AB5" s="40" t="e">
        <f>IF(VLOOKUP($B$2,Days_Since_100!$H:$KU,Projections_Data!AB$4+2,FALSE)=0,#N/A,VLOOKUP($B$2,Days_Since_100!$H:$KU,Projections_Data!AB$4+2,FALSE))</f>
        <v>#N/A</v>
      </c>
      <c r="AC5" s="40" t="e">
        <f>IF(VLOOKUP($B$2,Days_Since_100!$H:$KU,Projections_Data!AC$4+2,FALSE)=0,#N/A,VLOOKUP($B$2,Days_Since_100!$H:$KU,Projections_Data!AC$4+2,FALSE))</f>
        <v>#N/A</v>
      </c>
      <c r="AD5" s="40" t="e">
        <f>IF(VLOOKUP($B$2,Days_Since_100!$H:$KU,Projections_Data!AD$4+2,FALSE)=0,#N/A,VLOOKUP($B$2,Days_Since_100!$H:$KU,Projections_Data!AD$4+2,FALSE))</f>
        <v>#N/A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507</v>
      </c>
      <c r="C6" s="21">
        <f ca="1">HLOOKUP(C5-1,G4:IN8,5,FALSE)</f>
        <v>6739</v>
      </c>
      <c r="D6" s="42">
        <v>0.02</v>
      </c>
      <c r="F6" s="19" t="s">
        <v>585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 t="e">
        <f ca="1">IF(Projections_Data!AA$4+2-$C$9&lt;2,#N/A,IF(VLOOKUP($B$2,Deaths_since_10!$H:$KU,Projections_Data!AA$4+2-$C$9,FALSE)=0,#N/A,VLOOKUP($B$2,Deaths_since_10!$H:$KU,Projections_Data!AA$4+2-$C$9,FALSE)))</f>
        <v>#N/A</v>
      </c>
      <c r="AB6" s="40" t="e">
        <f ca="1">IF(Projections_Data!AB$4+2-$C$9&lt;2,#N/A,IF(VLOOKUP($B$2,Deaths_since_10!$H:$KU,Projections_Data!AB$4+2-$C$9,FALSE)=0,#N/A,VLOOKUP($B$2,Deaths_since_10!$H:$KU,Projections_Data!AB$4+2-$C$9,FALSE)))</f>
        <v>#N/A</v>
      </c>
      <c r="AC6" s="40" t="e">
        <f ca="1">IF(Projections_Data!AC$4+2-$C$9&lt;2,#N/A,IF(VLOOKUP($B$2,Deaths_since_10!$H:$KU,Projections_Data!AC$4+2-$C$9,FALSE)=0,#N/A,VLOOKUP($B$2,Deaths_since_10!$H:$KU,Projections_Data!AC$4+2-$C$9,FALSE)))</f>
        <v>#N/A</v>
      </c>
      <c r="AD6" s="40" t="e">
        <f ca="1">IF(Projections_Data!AD$4+2-$C$9&lt;2,#N/A,IF(VLOOKUP($B$2,Deaths_since_10!$H:$KU,Projections_Data!AD$4+2-$C$9,FALSE)=0,#N/A,VLOOKUP($B$2,Deaths_since_10!$H:$KU,Projections_Data!AD$4+2-$C$9,FALSE)))</f>
        <v>#N/A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509</v>
      </c>
      <c r="C7" s="21">
        <f ca="1">C4-C6-C8</f>
        <v>1002</v>
      </c>
      <c r="F7" s="19" t="s">
        <v>591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40</v>
      </c>
      <c r="V7" s="40">
        <f t="shared" ref="V7" ca="1" si="15">(V5-U5)-(V6-U6)</f>
        <v>1258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 t="e">
        <f t="shared" ref="AA7" ca="1" si="19">(AA5-Z5)-(AA6-Z6)</f>
        <v>#N/A</v>
      </c>
      <c r="AB7" s="40" t="e">
        <f t="shared" ref="AB7" ca="1" si="20">(AB5-AA5)-(AB6-AA6)</f>
        <v>#N/A</v>
      </c>
      <c r="AC7" s="40" t="e">
        <f t="shared" ref="AC7" ca="1" si="21">(AC5-AB5)-(AC6-AB6)</f>
        <v>#N/A</v>
      </c>
      <c r="AD7" s="40" t="e">
        <f t="shared" ref="AD7" ca="1" si="22">(AD5-AC5)-(AD6-AC6)</f>
        <v>#N/A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t="shared" ref="AI7" ca="1" si="27">(AI5-AH5)-(AI6-AH6)</f>
        <v>#N/A</v>
      </c>
      <c r="AJ7" s="40" t="e">
        <f t="shared" ref="AJ7" ca="1" si="28">(AJ5-AI5)-(AJ6-AI6)</f>
        <v>#N/A</v>
      </c>
      <c r="AK7" s="40" t="e">
        <f t="shared" ref="AK7" ca="1" si="29">(AK5-AJ5)-(AK6-AJ6)</f>
        <v>#N/A</v>
      </c>
      <c r="AL7" s="40" t="e">
        <f t="shared" ref="AL7" ca="1" si="30">(AL5-AK5)-(AL6-AK6)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510</v>
      </c>
      <c r="C8" s="21">
        <f>VLOOKUP(B2,Country_Data!C:G,5,FALSE)</f>
        <v>423</v>
      </c>
      <c r="F8" s="19" t="s">
        <v>507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9">SUM(I7:S7)-H7</f>
        <v>1685</v>
      </c>
      <c r="T8" s="40">
        <f t="shared" ca="1" si="69"/>
        <v>2296</v>
      </c>
      <c r="U8" s="40">
        <f t="shared" ca="1" si="69"/>
        <v>2245</v>
      </c>
      <c r="V8" s="40">
        <f t="shared" ca="1" si="69"/>
        <v>3474</v>
      </c>
      <c r="W8" s="40">
        <f t="shared" ca="1" si="69"/>
        <v>4395</v>
      </c>
      <c r="X8" s="40">
        <f t="shared" ca="1" si="69"/>
        <v>4937</v>
      </c>
      <c r="Y8" s="40">
        <f t="shared" ca="1" si="69"/>
        <v>5681</v>
      </c>
      <c r="Z8" s="40">
        <f t="shared" ca="1" si="69"/>
        <v>6739</v>
      </c>
      <c r="AA8" s="40" t="e">
        <f t="shared" ca="1" si="69"/>
        <v>#N/A</v>
      </c>
      <c r="AB8" s="40" t="e">
        <f t="shared" ca="1" si="69"/>
        <v>#N/A</v>
      </c>
      <c r="AC8" s="40" t="e">
        <f t="shared" ca="1" si="69"/>
        <v>#N/A</v>
      </c>
      <c r="AD8" s="40" t="e">
        <f t="shared" ca="1" si="69"/>
        <v>#N/A</v>
      </c>
      <c r="AE8" s="40" t="e">
        <f t="shared" ca="1" si="69"/>
        <v>#N/A</v>
      </c>
      <c r="AF8" s="40" t="e">
        <f t="shared" ca="1" si="69"/>
        <v>#N/A</v>
      </c>
      <c r="AG8" s="40" t="e">
        <f t="shared" ca="1" si="69"/>
        <v>#N/A</v>
      </c>
      <c r="AH8" s="40" t="e">
        <f t="shared" ca="1" si="69"/>
        <v>#N/A</v>
      </c>
      <c r="AI8" s="40" t="e">
        <f t="shared" ca="1" si="69"/>
        <v>#N/A</v>
      </c>
      <c r="AJ8" s="40" t="e">
        <f t="shared" ca="1" si="69"/>
        <v>#N/A</v>
      </c>
      <c r="AK8" s="40" t="e">
        <f ca="1">SUM(AA7:AK7)-Z7</f>
        <v>#N/A</v>
      </c>
      <c r="AL8" s="40" t="e">
        <f t="shared" ca="1" si="69"/>
        <v>#N/A</v>
      </c>
      <c r="AM8" s="40" t="e">
        <f t="shared" ca="1" si="69"/>
        <v>#N/A</v>
      </c>
      <c r="AN8" s="40" t="e">
        <f t="shared" ca="1" si="69"/>
        <v>#N/A</v>
      </c>
      <c r="AO8" s="40" t="e">
        <f t="shared" ca="1" si="69"/>
        <v>#N/A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575</v>
      </c>
      <c r="C9" s="85">
        <f ca="1">VLOOKUP(B2,Country_Data!C:P,14,FALSE)</f>
        <v>6</v>
      </c>
      <c r="F9" s="19" t="s">
        <v>586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3"/>
        <v>164</v>
      </c>
      <c r="I9" s="40">
        <f t="shared" ca="1" si="73"/>
        <v>207</v>
      </c>
      <c r="J9" s="40">
        <f t="shared" ca="1" si="73"/>
        <v>274</v>
      </c>
      <c r="K9" s="40">
        <f t="shared" ca="1" si="73"/>
        <v>322</v>
      </c>
      <c r="L9" s="40">
        <f t="shared" ca="1" si="73"/>
        <v>384</v>
      </c>
      <c r="M9" s="40">
        <f t="shared" ca="1" si="73"/>
        <v>459</v>
      </c>
      <c r="N9" s="40">
        <f t="shared" ca="1" si="73"/>
        <v>588</v>
      </c>
      <c r="O9" s="40">
        <f t="shared" ca="1" si="73"/>
        <v>799</v>
      </c>
      <c r="P9" s="40">
        <f t="shared" ca="1" si="73"/>
        <v>1131</v>
      </c>
      <c r="Q9" s="40">
        <f t="shared" ca="1" si="73"/>
        <v>1328</v>
      </c>
      <c r="R9" s="40">
        <f t="shared" ca="1" si="73"/>
        <v>1271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2245</v>
      </c>
      <c r="V9" s="40">
        <f t="shared" ca="1" si="73"/>
        <v>3474</v>
      </c>
      <c r="W9" s="40">
        <f t="shared" ca="1" si="73"/>
        <v>4395</v>
      </c>
      <c r="X9" s="40">
        <f t="shared" ca="1" si="73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3"/>
        <v>6739</v>
      </c>
      <c r="AA9" s="40">
        <f t="shared" ca="1" si="73"/>
        <v>8395.9777418948579</v>
      </c>
      <c r="AB9" s="40">
        <f t="shared" ca="1" si="73"/>
        <v>10460.371307670854</v>
      </c>
      <c r="AC9" s="40">
        <f t="shared" ca="1" si="73"/>
        <v>13032.355641958762</v>
      </c>
      <c r="AD9" s="40">
        <f t="shared" ca="1" si="73"/>
        <v>16236.736592126968</v>
      </c>
      <c r="AE9" s="40">
        <f t="shared" ca="1" si="73"/>
        <v>20229.007126948774</v>
      </c>
      <c r="AF9" s="40">
        <f t="shared" ca="1" si="73"/>
        <v>25202.892651505321</v>
      </c>
      <c r="AG9" s="40">
        <f t="shared" ca="1" si="73"/>
        <v>31399.751555632018</v>
      </c>
      <c r="AH9" s="40">
        <f t="shared" ca="1" si="73"/>
        <v>39120.287158645922</v>
      </c>
      <c r="AI9" s="40">
        <f t="shared" ca="1" si="73"/>
        <v>48739.139373872444</v>
      </c>
      <c r="AJ9" s="40">
        <f t="shared" ca="1" si="73"/>
        <v>60723.064155237327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75653.582885743599</v>
      </c>
      <c r="AL9" s="40">
        <f t="shared" ca="1" si="73"/>
        <v>94255.200772117678</v>
      </c>
      <c r="AM9" s="40">
        <f t="shared" ca="1" si="73"/>
        <v>117430.56354659906</v>
      </c>
      <c r="AN9" s="40">
        <f t="shared" ca="1" si="73"/>
        <v>146304.25845903181</v>
      </c>
      <c r="AO9" s="40">
        <f t="shared" ca="1" si="73"/>
        <v>182277.38500763668</v>
      </c>
      <c r="AP9" s="40">
        <f t="shared" ca="1" si="73"/>
        <v>227095.54345969981</v>
      </c>
      <c r="AQ9" s="40">
        <f t="shared" ca="1" si="73"/>
        <v>282933.54031327437</v>
      </c>
      <c r="AR9" s="40">
        <f t="shared" ca="1" si="73"/>
        <v>352500.9210425528</v>
      </c>
      <c r="AS9" s="40">
        <f t="shared" ca="1" si="73"/>
        <v>439173.45111599792</v>
      </c>
      <c r="AT9" s="40">
        <f t="shared" ca="1" si="73"/>
        <v>547156.92541936017</v>
      </c>
      <c r="AU9" s="40">
        <f t="shared" ca="1" si="73"/>
        <v>681691.25495541957</v>
      </c>
      <c r="AV9" s="40">
        <f t="shared" ca="1" si="73"/>
        <v>849304.73415196256</v>
      </c>
      <c r="AW9" s="40">
        <f t="shared" ca="1" si="73"/>
        <v>1058130.8271295158</v>
      </c>
      <c r="AX9" s="40">
        <f t="shared" ca="1" si="73"/>
        <v>1318302.8450203608</v>
      </c>
      <c r="AY9" s="40">
        <f t="shared" ca="1" si="73"/>
        <v>1642445.6661029255</v>
      </c>
      <c r="AZ9" s="40">
        <f t="shared" ca="1" si="73"/>
        <v>2046288.3595298764</v>
      </c>
      <c r="BA9" s="40">
        <f t="shared" ca="1" si="73"/>
        <v>2549427.4402895658</v>
      </c>
      <c r="BB9" s="40">
        <f t="shared" ca="1" si="73"/>
        <v>3176277.792439112</v>
      </c>
      <c r="BC9" s="40">
        <f t="shared" ca="1" si="73"/>
        <v>3957257.4042726993</v>
      </c>
      <c r="BD9" s="40">
        <f t="shared" ca="1" si="73"/>
        <v>4930263.4048408084</v>
      </c>
      <c r="BE9" s="40">
        <f t="shared" ca="1" si="73"/>
        <v>6142511.0266689695</v>
      </c>
      <c r="BF9" s="40">
        <f t="shared" ca="1" si="73"/>
        <v>7652824.7305618636</v>
      </c>
      <c r="BG9" s="40">
        <f t="shared" ca="1" si="73"/>
        <v>9534492.6695978511</v>
      </c>
      <c r="BH9" s="40">
        <f t="shared" ca="1" si="73"/>
        <v>11878823.005520588</v>
      </c>
      <c r="BI9" s="40">
        <f t="shared" ca="1" si="73"/>
        <v>14799574.648205882</v>
      </c>
      <c r="BJ9" s="40">
        <f t="shared" ca="1" si="73"/>
        <v>18438477.420366228</v>
      </c>
      <c r="BK9" s="40">
        <f t="shared" ca="1" si="73"/>
        <v>22972109.514145389</v>
      </c>
      <c r="BL9" s="40">
        <f t="shared" ca="1" si="73"/>
        <v>27154404.400000002</v>
      </c>
      <c r="BM9" s="40">
        <f t="shared" ca="1" si="73"/>
        <v>27154404.400000002</v>
      </c>
      <c r="BN9" s="40">
        <f t="shared" ca="1" si="73"/>
        <v>27154404.400000002</v>
      </c>
      <c r="BO9" s="40">
        <f t="shared" ca="1" si="73"/>
        <v>27154404.400000002</v>
      </c>
      <c r="BP9" s="40">
        <f t="shared" ca="1" si="73"/>
        <v>27154404.400000002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27154404.400000002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27154404.400000002</v>
      </c>
      <c r="BS9" s="40">
        <f t="shared" ca="1" si="75"/>
        <v>27154404.400000002</v>
      </c>
      <c r="BT9" s="40">
        <f t="shared" ca="1" si="75"/>
        <v>27154404.400000002</v>
      </c>
      <c r="BU9" s="40">
        <f t="shared" ca="1" si="75"/>
        <v>27154404.400000002</v>
      </c>
      <c r="BV9" s="40">
        <f t="shared" ca="1" si="75"/>
        <v>27154404.400000002</v>
      </c>
      <c r="BW9" s="40">
        <f t="shared" ca="1" si="75"/>
        <v>27154404.400000002</v>
      </c>
      <c r="BX9" s="40">
        <f t="shared" ca="1" si="75"/>
        <v>27154404.400000002</v>
      </c>
      <c r="BY9" s="40">
        <f t="shared" ca="1" si="75"/>
        <v>27154404.400000002</v>
      </c>
      <c r="BZ9" s="40">
        <f t="shared" ca="1" si="75"/>
        <v>27154404.400000002</v>
      </c>
      <c r="CA9" s="40">
        <f t="shared" ca="1" si="75"/>
        <v>27154404.400000002</v>
      </c>
      <c r="CB9" s="40">
        <f t="shared" ca="1" si="75"/>
        <v>27154404.400000002</v>
      </c>
      <c r="CC9" s="40">
        <f t="shared" ca="1" si="75"/>
        <v>27154404.400000002</v>
      </c>
      <c r="CD9" s="40">
        <f t="shared" ca="1" si="75"/>
        <v>27154404.400000002</v>
      </c>
      <c r="CE9" s="40">
        <f t="shared" ca="1" si="75"/>
        <v>27154404.400000002</v>
      </c>
      <c r="CF9" s="40">
        <f t="shared" ca="1" si="75"/>
        <v>27154404.400000002</v>
      </c>
      <c r="CG9" s="40">
        <f t="shared" ca="1" si="75"/>
        <v>27154404.400000002</v>
      </c>
      <c r="CH9" s="40">
        <f t="shared" ca="1" si="75"/>
        <v>27154404.400000002</v>
      </c>
      <c r="CI9" s="40">
        <f t="shared" ca="1" si="75"/>
        <v>27154404.400000002</v>
      </c>
      <c r="CJ9" s="40">
        <f t="shared" ca="1" si="75"/>
        <v>27154404.400000002</v>
      </c>
      <c r="CK9" s="40">
        <f t="shared" ca="1" si="75"/>
        <v>27154404.400000002</v>
      </c>
      <c r="CL9" s="40">
        <f t="shared" ca="1" si="75"/>
        <v>27154404.400000002</v>
      </c>
      <c r="CM9" s="40">
        <f t="shared" ca="1" si="75"/>
        <v>27154404.400000002</v>
      </c>
      <c r="CN9" s="40">
        <f t="shared" ca="1" si="75"/>
        <v>27154404.400000002</v>
      </c>
      <c r="CO9" s="40">
        <f t="shared" ca="1" si="75"/>
        <v>27154404.400000002</v>
      </c>
      <c r="CP9" s="40">
        <f t="shared" ca="1" si="75"/>
        <v>27154404.400000002</v>
      </c>
      <c r="CQ9" s="40">
        <f t="shared" ca="1" si="75"/>
        <v>27154404.400000002</v>
      </c>
      <c r="CR9" s="40">
        <f t="shared" ca="1" si="75"/>
        <v>27154404.400000002</v>
      </c>
      <c r="CS9" s="40">
        <f t="shared" ca="1" si="75"/>
        <v>27154404.400000002</v>
      </c>
      <c r="CT9" s="40">
        <f t="shared" ca="1" si="75"/>
        <v>27154404.400000002</v>
      </c>
      <c r="CU9" s="40">
        <f t="shared" ca="1" si="75"/>
        <v>27154404.400000002</v>
      </c>
      <c r="CV9" s="40">
        <f t="shared" ca="1" si="75"/>
        <v>27154404.400000002</v>
      </c>
      <c r="CW9" s="40">
        <f t="shared" ca="1" si="75"/>
        <v>27154404.400000002</v>
      </c>
      <c r="CX9" s="40">
        <f t="shared" ca="1" si="75"/>
        <v>27154404.400000002</v>
      </c>
      <c r="CY9" s="40">
        <f t="shared" ca="1" si="75"/>
        <v>27154404.400000002</v>
      </c>
      <c r="CZ9" s="40">
        <f t="shared" ca="1" si="75"/>
        <v>27154404.400000002</v>
      </c>
      <c r="DA9" s="40">
        <f t="shared" ca="1" si="75"/>
        <v>27154404.400000002</v>
      </c>
      <c r="DB9" s="40">
        <f t="shared" ca="1" si="75"/>
        <v>27154404.400000002</v>
      </c>
      <c r="DC9" s="40">
        <f t="shared" ca="1" si="75"/>
        <v>27154404.400000002</v>
      </c>
      <c r="DD9" s="40">
        <f t="shared" ca="1" si="75"/>
        <v>27154404.400000002</v>
      </c>
      <c r="DE9" s="40">
        <f t="shared" ca="1" si="75"/>
        <v>27154404.400000002</v>
      </c>
      <c r="DF9" s="40">
        <f t="shared" ca="1" si="75"/>
        <v>27154404.400000002</v>
      </c>
      <c r="DG9" s="40">
        <f t="shared" ca="1" si="75"/>
        <v>27154404.400000002</v>
      </c>
      <c r="DH9" s="40">
        <f t="shared" ca="1" si="75"/>
        <v>27154404.400000002</v>
      </c>
      <c r="DI9" s="40">
        <f t="shared" ca="1" si="75"/>
        <v>27154404.400000002</v>
      </c>
      <c r="DJ9" s="40">
        <f t="shared" ca="1" si="75"/>
        <v>27154404.400000002</v>
      </c>
      <c r="DK9" s="40">
        <f t="shared" ca="1" si="75"/>
        <v>27154404.400000002</v>
      </c>
      <c r="DL9" s="40">
        <f t="shared" ca="1" si="75"/>
        <v>27154404.400000002</v>
      </c>
      <c r="DM9" s="40">
        <f t="shared" ca="1" si="75"/>
        <v>27154404.400000002</v>
      </c>
      <c r="DN9" s="40">
        <f t="shared" ca="1" si="75"/>
        <v>27154404.400000002</v>
      </c>
      <c r="DO9" s="40">
        <f t="shared" ca="1" si="75"/>
        <v>27154404.400000002</v>
      </c>
      <c r="DP9" s="40">
        <f t="shared" ca="1" si="75"/>
        <v>27154404.400000002</v>
      </c>
      <c r="DQ9" s="40">
        <f t="shared" ca="1" si="75"/>
        <v>27154404.400000002</v>
      </c>
      <c r="DR9" s="40">
        <f t="shared" ca="1" si="75"/>
        <v>27154404.400000002</v>
      </c>
      <c r="DS9" s="40">
        <f t="shared" ca="1" si="75"/>
        <v>27154404.400000002</v>
      </c>
      <c r="DT9" s="40">
        <f t="shared" ca="1" si="75"/>
        <v>27154404.400000002</v>
      </c>
      <c r="DU9" s="40">
        <f t="shared" ca="1" si="75"/>
        <v>27154404.400000002</v>
      </c>
      <c r="DV9" s="40">
        <f t="shared" ca="1" si="75"/>
        <v>27154404.400000002</v>
      </c>
      <c r="DW9" s="40">
        <f t="shared" ca="1" si="75"/>
        <v>27154404.400000002</v>
      </c>
      <c r="DX9" s="40">
        <f t="shared" ca="1" si="75"/>
        <v>27154404.400000002</v>
      </c>
      <c r="DY9" s="40">
        <f t="shared" ca="1" si="75"/>
        <v>27154404.400000002</v>
      </c>
      <c r="DZ9" s="40">
        <f t="shared" ca="1" si="75"/>
        <v>27154404.400000002</v>
      </c>
      <c r="EA9" s="40">
        <f t="shared" ca="1" si="75"/>
        <v>27154404.400000002</v>
      </c>
      <c r="EB9" s="40">
        <f t="shared" ca="1" si="75"/>
        <v>27154404.400000002</v>
      </c>
      <c r="EC9" s="40">
        <f t="shared" ca="1" si="75"/>
        <v>27154404.400000002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6"/>
        <v>27154404.400000002</v>
      </c>
      <c r="EF9" s="40">
        <f t="shared" ca="1" si="76"/>
        <v>27154404.400000002</v>
      </c>
      <c r="EG9" s="40">
        <f t="shared" ca="1" si="76"/>
        <v>27154404.400000002</v>
      </c>
      <c r="EH9" s="40">
        <f t="shared" ca="1" si="76"/>
        <v>27154404.400000002</v>
      </c>
      <c r="EI9" s="40">
        <f t="shared" ca="1" si="76"/>
        <v>27154404.400000002</v>
      </c>
      <c r="EJ9" s="40">
        <f t="shared" ca="1" si="76"/>
        <v>27154404.400000002</v>
      </c>
      <c r="EK9" s="40">
        <f t="shared" ca="1" si="76"/>
        <v>27154404.400000002</v>
      </c>
      <c r="EL9" s="40">
        <f t="shared" ca="1" si="76"/>
        <v>27154404.400000002</v>
      </c>
      <c r="EM9" s="40">
        <f t="shared" ca="1" si="76"/>
        <v>27154404.400000002</v>
      </c>
      <c r="EN9" s="40">
        <f t="shared" ca="1" si="76"/>
        <v>27154404.400000002</v>
      </c>
      <c r="EO9" s="40">
        <f t="shared" ca="1" si="76"/>
        <v>27154404.400000002</v>
      </c>
      <c r="EP9" s="40">
        <f t="shared" ca="1" si="76"/>
        <v>27154404.400000002</v>
      </c>
      <c r="EQ9" s="40">
        <f t="shared" ca="1" si="76"/>
        <v>27154404.400000002</v>
      </c>
      <c r="ER9" s="40">
        <f t="shared" ca="1" si="76"/>
        <v>27154404.400000002</v>
      </c>
      <c r="ES9" s="40">
        <f t="shared" ca="1" si="76"/>
        <v>27154404.400000002</v>
      </c>
      <c r="ET9" s="40">
        <f t="shared" ca="1" si="76"/>
        <v>27154404.400000002</v>
      </c>
      <c r="EU9" s="40">
        <f t="shared" ca="1" si="76"/>
        <v>27154404.400000002</v>
      </c>
      <c r="EV9" s="40">
        <f t="shared" ca="1" si="76"/>
        <v>27154404.400000002</v>
      </c>
      <c r="EW9" s="40">
        <f t="shared" ca="1" si="76"/>
        <v>27154404.400000002</v>
      </c>
      <c r="EX9" s="40">
        <f t="shared" ca="1" si="76"/>
        <v>27154404.400000002</v>
      </c>
      <c r="EY9" s="40">
        <f t="shared" ca="1" si="76"/>
        <v>27154404.400000002</v>
      </c>
      <c r="EZ9" s="40">
        <f t="shared" ca="1" si="76"/>
        <v>27154404.400000002</v>
      </c>
      <c r="FA9" s="40">
        <f t="shared" ca="1" si="76"/>
        <v>27154404.400000002</v>
      </c>
      <c r="FB9" s="40">
        <f t="shared" ca="1" si="76"/>
        <v>27154404.400000002</v>
      </c>
      <c r="FC9" s="40">
        <f t="shared" ca="1" si="76"/>
        <v>27154404.400000002</v>
      </c>
      <c r="FD9" s="40">
        <f t="shared" ca="1" si="76"/>
        <v>27154404.400000002</v>
      </c>
      <c r="FE9" s="40">
        <f t="shared" ca="1" si="76"/>
        <v>27154404.400000002</v>
      </c>
      <c r="FF9" s="40">
        <f t="shared" ca="1" si="76"/>
        <v>27154404.400000002</v>
      </c>
      <c r="FG9" s="40">
        <f t="shared" ca="1" si="76"/>
        <v>27154404.400000002</v>
      </c>
      <c r="FH9" s="40">
        <f t="shared" ca="1" si="76"/>
        <v>27154404.400000002</v>
      </c>
      <c r="FI9" s="40">
        <f t="shared" ca="1" si="76"/>
        <v>27154404.400000002</v>
      </c>
      <c r="FJ9" s="40">
        <f t="shared" ca="1" si="76"/>
        <v>27154404.400000002</v>
      </c>
      <c r="FK9" s="40">
        <f t="shared" ca="1" si="76"/>
        <v>27154404.400000002</v>
      </c>
      <c r="FL9" s="40">
        <f t="shared" ca="1" si="76"/>
        <v>27154404.400000002</v>
      </c>
      <c r="FM9" s="40">
        <f t="shared" ca="1" si="76"/>
        <v>27154404.400000002</v>
      </c>
      <c r="FN9" s="40">
        <f t="shared" ca="1" si="76"/>
        <v>27154404.400000002</v>
      </c>
      <c r="FO9" s="40">
        <f t="shared" ca="1" si="76"/>
        <v>27154404.400000002</v>
      </c>
      <c r="FP9" s="40">
        <f t="shared" ca="1" si="76"/>
        <v>27154404.400000002</v>
      </c>
      <c r="FQ9" s="40">
        <f t="shared" ca="1" si="76"/>
        <v>27154404.400000002</v>
      </c>
      <c r="FR9" s="40">
        <f t="shared" ca="1" si="76"/>
        <v>27154404.400000002</v>
      </c>
      <c r="FS9" s="40">
        <f t="shared" ca="1" si="76"/>
        <v>27154404.400000002</v>
      </c>
      <c r="FT9" s="40">
        <f t="shared" ca="1" si="76"/>
        <v>27154404.400000002</v>
      </c>
      <c r="FU9" s="40">
        <f t="shared" ca="1" si="76"/>
        <v>27154404.400000002</v>
      </c>
      <c r="FV9" s="40">
        <f t="shared" ca="1" si="76"/>
        <v>27154404.400000002</v>
      </c>
      <c r="FW9" s="40">
        <f t="shared" ca="1" si="76"/>
        <v>27154404.400000002</v>
      </c>
      <c r="FX9" s="40">
        <f t="shared" ca="1" si="76"/>
        <v>27154404.400000002</v>
      </c>
      <c r="FY9" s="40">
        <f t="shared" ca="1" si="76"/>
        <v>27154404.400000002</v>
      </c>
      <c r="FZ9" s="40">
        <f t="shared" ca="1" si="76"/>
        <v>27154404.400000002</v>
      </c>
      <c r="GA9" s="40">
        <f t="shared" ca="1" si="76"/>
        <v>27154404.400000002</v>
      </c>
      <c r="GB9" s="40">
        <f t="shared" ca="1" si="76"/>
        <v>27154404.400000002</v>
      </c>
      <c r="GC9" s="40">
        <f t="shared" ca="1" si="76"/>
        <v>27154404.400000002</v>
      </c>
      <c r="GD9" s="40">
        <f t="shared" ca="1" si="76"/>
        <v>27154404.400000002</v>
      </c>
      <c r="GE9" s="40">
        <f t="shared" ca="1" si="76"/>
        <v>27154404.400000002</v>
      </c>
      <c r="GF9" s="40">
        <f t="shared" ca="1" si="76"/>
        <v>27154404.400000002</v>
      </c>
      <c r="GG9" s="40">
        <f t="shared" ca="1" si="76"/>
        <v>27154404.400000002</v>
      </c>
      <c r="GH9" s="40">
        <f t="shared" ca="1" si="76"/>
        <v>27154404.400000002</v>
      </c>
      <c r="GI9" s="40">
        <f t="shared" ca="1" si="76"/>
        <v>27154404.400000002</v>
      </c>
      <c r="GJ9" s="40">
        <f t="shared" ca="1" si="76"/>
        <v>27154404.400000002</v>
      </c>
      <c r="GK9" s="40">
        <f t="shared" ca="1" si="76"/>
        <v>27154404.400000002</v>
      </c>
      <c r="GL9" s="40">
        <f t="shared" ca="1" si="76"/>
        <v>27154404.400000002</v>
      </c>
      <c r="GM9" s="40">
        <f t="shared" ca="1" si="76"/>
        <v>27154404.400000002</v>
      </c>
      <c r="GN9" s="40">
        <f t="shared" ca="1" si="76"/>
        <v>27154404.400000002</v>
      </c>
      <c r="GO9" s="40">
        <f t="shared" ca="1" si="76"/>
        <v>27154404.400000002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7"/>
        <v>27154404.400000002</v>
      </c>
      <c r="GR9" s="40">
        <f t="shared" ca="1" si="77"/>
        <v>27154404.400000002</v>
      </c>
      <c r="GS9" s="40">
        <f t="shared" ca="1" si="77"/>
        <v>27154404.400000002</v>
      </c>
      <c r="GT9" s="40">
        <f t="shared" ca="1" si="77"/>
        <v>27154404.400000002</v>
      </c>
      <c r="GU9" s="40">
        <f t="shared" ca="1" si="77"/>
        <v>27154404.400000002</v>
      </c>
      <c r="GV9" s="40">
        <f t="shared" ca="1" si="77"/>
        <v>27154404.400000002</v>
      </c>
      <c r="GW9" s="40">
        <f t="shared" ca="1" si="77"/>
        <v>27154404.400000002</v>
      </c>
      <c r="GX9" s="40">
        <f t="shared" ca="1" si="77"/>
        <v>27154404.400000002</v>
      </c>
      <c r="GY9" s="40">
        <f t="shared" ca="1" si="77"/>
        <v>27154404.400000002</v>
      </c>
      <c r="GZ9" s="40">
        <f t="shared" ca="1" si="77"/>
        <v>27154404.400000002</v>
      </c>
      <c r="HA9" s="40">
        <f t="shared" ca="1" si="77"/>
        <v>27154404.400000002</v>
      </c>
      <c r="HB9" s="40">
        <f t="shared" ca="1" si="77"/>
        <v>27154404.400000002</v>
      </c>
      <c r="HC9" s="40">
        <f t="shared" ca="1" si="77"/>
        <v>27154404.400000002</v>
      </c>
      <c r="HD9" s="40">
        <f t="shared" ca="1" si="77"/>
        <v>27154404.400000002</v>
      </c>
      <c r="HE9" s="40">
        <f t="shared" ca="1" si="77"/>
        <v>27154404.400000002</v>
      </c>
      <c r="HF9" s="40">
        <f t="shared" ca="1" si="77"/>
        <v>27154404.400000002</v>
      </c>
      <c r="HG9" s="40">
        <f t="shared" ca="1" si="77"/>
        <v>27154404.400000002</v>
      </c>
      <c r="HH9" s="40">
        <f t="shared" ca="1" si="77"/>
        <v>27154404.400000002</v>
      </c>
      <c r="HI9" s="40">
        <f t="shared" ca="1" si="77"/>
        <v>27154404.400000002</v>
      </c>
      <c r="HJ9" s="40">
        <f t="shared" ca="1" si="77"/>
        <v>27154404.400000002</v>
      </c>
      <c r="HK9" s="40">
        <f t="shared" ca="1" si="77"/>
        <v>27154404.400000002</v>
      </c>
      <c r="HL9" s="40">
        <f t="shared" ca="1" si="77"/>
        <v>27154404.400000002</v>
      </c>
      <c r="HM9" s="40">
        <f t="shared" ca="1" si="77"/>
        <v>27154404.400000002</v>
      </c>
      <c r="HN9" s="40">
        <f t="shared" ca="1" si="77"/>
        <v>27154404.400000002</v>
      </c>
      <c r="HO9" s="40">
        <f t="shared" ca="1" si="77"/>
        <v>27154404.400000002</v>
      </c>
      <c r="HP9" s="40">
        <f t="shared" ca="1" si="77"/>
        <v>27154404.400000002</v>
      </c>
      <c r="HQ9" s="40">
        <f t="shared" ca="1" si="77"/>
        <v>27154404.400000002</v>
      </c>
      <c r="HR9" s="40">
        <f t="shared" ca="1" si="77"/>
        <v>27154404.400000002</v>
      </c>
      <c r="HS9" s="40">
        <f t="shared" ca="1" si="77"/>
        <v>27154404.400000002</v>
      </c>
      <c r="HT9" s="40">
        <f t="shared" ca="1" si="77"/>
        <v>27154404.400000002</v>
      </c>
      <c r="HU9" s="40">
        <f t="shared" ca="1" si="77"/>
        <v>27154404.400000002</v>
      </c>
      <c r="HV9" s="40">
        <f t="shared" ca="1" si="77"/>
        <v>27154404.400000002</v>
      </c>
      <c r="HW9" s="40">
        <f t="shared" ca="1" si="77"/>
        <v>27154404.400000002</v>
      </c>
      <c r="HX9" s="40">
        <f t="shared" ca="1" si="77"/>
        <v>27154404.400000002</v>
      </c>
      <c r="HY9" s="40">
        <f t="shared" ca="1" si="77"/>
        <v>27154404.400000002</v>
      </c>
      <c r="HZ9" s="40">
        <f t="shared" ca="1" si="77"/>
        <v>27154404.400000002</v>
      </c>
      <c r="IA9" s="40">
        <f t="shared" ca="1" si="77"/>
        <v>27154404.400000002</v>
      </c>
      <c r="IB9" s="40">
        <f t="shared" ca="1" si="77"/>
        <v>27154404.400000002</v>
      </c>
      <c r="IC9" s="40">
        <f t="shared" ca="1" si="77"/>
        <v>27154404.400000002</v>
      </c>
      <c r="ID9" s="40">
        <f t="shared" ca="1" si="77"/>
        <v>27154404.400000002</v>
      </c>
      <c r="IE9" s="40">
        <f t="shared" ca="1" si="77"/>
        <v>27154404.400000002</v>
      </c>
      <c r="IF9" s="40">
        <f t="shared" ca="1" si="77"/>
        <v>27154404.400000002</v>
      </c>
      <c r="IG9" s="40">
        <f t="shared" ca="1" si="77"/>
        <v>27154404.400000002</v>
      </c>
      <c r="IH9" s="40">
        <f t="shared" ca="1" si="77"/>
        <v>27154404.400000002</v>
      </c>
      <c r="II9" s="40">
        <f t="shared" ca="1" si="77"/>
        <v>27154404.400000002</v>
      </c>
      <c r="IJ9" s="40">
        <f t="shared" ca="1" si="77"/>
        <v>27154404.400000002</v>
      </c>
      <c r="IK9" s="40">
        <f t="shared" ca="1" si="77"/>
        <v>27154404.400000002</v>
      </c>
      <c r="IL9" s="40">
        <f t="shared" ca="1" si="77"/>
        <v>27154404.400000002</v>
      </c>
      <c r="IM9" s="40">
        <f t="shared" ca="1" si="77"/>
        <v>27154404.400000002</v>
      </c>
      <c r="IN9" s="40">
        <f t="shared" ca="1" si="77"/>
        <v>27154404.400000002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 t="shared" ref="G10" si="78"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9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80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80"/>
        <v>274</v>
      </c>
      <c r="K10" s="40">
        <f t="shared" ca="1" si="80"/>
        <v>322</v>
      </c>
      <c r="L10" s="40">
        <f t="shared" ca="1" si="80"/>
        <v>384</v>
      </c>
      <c r="M10" s="40">
        <f t="shared" ca="1" si="80"/>
        <v>459</v>
      </c>
      <c r="N10" s="40">
        <f t="shared" ca="1" si="80"/>
        <v>588</v>
      </c>
      <c r="O10" s="40">
        <f t="shared" ca="1" si="80"/>
        <v>799</v>
      </c>
      <c r="P10" s="40">
        <f t="shared" ca="1" si="80"/>
        <v>1131</v>
      </c>
      <c r="Q10" s="40">
        <f t="shared" ca="1" si="80"/>
        <v>1328</v>
      </c>
      <c r="R10" s="40">
        <f t="shared" ca="1" si="80"/>
        <v>1271</v>
      </c>
      <c r="S10" s="40">
        <f t="shared" ca="1" si="80"/>
        <v>1685</v>
      </c>
      <c r="T10" s="40">
        <f t="shared" ca="1" si="80"/>
        <v>2296</v>
      </c>
      <c r="U10" s="40">
        <f t="shared" ca="1" si="80"/>
        <v>2245</v>
      </c>
      <c r="V10" s="40">
        <f t="shared" ca="1" si="80"/>
        <v>3474</v>
      </c>
      <c r="W10" s="40">
        <f t="shared" ca="1" si="80"/>
        <v>4395</v>
      </c>
      <c r="X10" s="40">
        <f t="shared" ca="1" si="80"/>
        <v>4937</v>
      </c>
      <c r="Y10" s="40">
        <f t="shared" ca="1" si="80"/>
        <v>5681</v>
      </c>
      <c r="Z10" s="40">
        <f t="shared" ca="1" si="80"/>
        <v>6739</v>
      </c>
      <c r="AA10" s="40">
        <f t="shared" ca="1" si="80"/>
        <v>7412.9000000000005</v>
      </c>
      <c r="AB10" s="40">
        <f t="shared" ca="1" si="80"/>
        <v>8154.1900000000014</v>
      </c>
      <c r="AC10" s="40">
        <f t="shared" ca="1" si="80"/>
        <v>8969.6090000000022</v>
      </c>
      <c r="AD10" s="40">
        <f t="shared" ca="1" si="80"/>
        <v>9866.5699000000041</v>
      </c>
      <c r="AE10" s="40">
        <f t="shared" ca="1" si="80"/>
        <v>10853.226890000005</v>
      </c>
      <c r="AF10" s="40">
        <f t="shared" ca="1" si="80"/>
        <v>11938.549579000008</v>
      </c>
      <c r="AG10" s="40">
        <f t="shared" ca="1" si="80"/>
        <v>13132.404536900009</v>
      </c>
      <c r="AH10" s="40">
        <f t="shared" ca="1" si="80"/>
        <v>14445.64499059001</v>
      </c>
      <c r="AI10" s="40">
        <f t="shared" ca="1" si="80"/>
        <v>15890.209489649013</v>
      </c>
      <c r="AJ10" s="40">
        <f t="shared" ca="1" si="80"/>
        <v>17479.230438613915</v>
      </c>
      <c r="AK10" s="40">
        <f t="shared" ca="1" si="80"/>
        <v>19227.153482475307</v>
      </c>
      <c r="AL10" s="40">
        <f t="shared" ca="1" si="80"/>
        <v>21149.86883072284</v>
      </c>
      <c r="AM10" s="40">
        <f t="shared" ca="1" si="80"/>
        <v>23264.855713795125</v>
      </c>
      <c r="AN10" s="40">
        <f t="shared" ca="1" si="80"/>
        <v>25591.34128517464</v>
      </c>
      <c r="AO10" s="40">
        <f t="shared" ca="1" si="80"/>
        <v>28150.475413692107</v>
      </c>
      <c r="AP10" s="40">
        <f t="shared" ca="1" si="80"/>
        <v>30965.522955061322</v>
      </c>
      <c r="AQ10" s="40">
        <f t="shared" ca="1" si="80"/>
        <v>34062.075250567454</v>
      </c>
      <c r="AR10" s="40">
        <f t="shared" ca="1" si="80"/>
        <v>37468.282775624204</v>
      </c>
      <c r="AS10" s="40">
        <f t="shared" ca="1" si="80"/>
        <v>41215.111053186629</v>
      </c>
      <c r="AT10" s="40">
        <f t="shared" ca="1" si="80"/>
        <v>45336.622158505299</v>
      </c>
      <c r="AU10" s="40">
        <f t="shared" ca="1" si="80"/>
        <v>49870.284374355833</v>
      </c>
      <c r="AV10" s="40">
        <f t="shared" ca="1" si="80"/>
        <v>54857.312811791424</v>
      </c>
      <c r="AW10" s="40">
        <f t="shared" ca="1" si="80"/>
        <v>60343.044092970573</v>
      </c>
      <c r="AX10" s="40">
        <f t="shared" ca="1" si="80"/>
        <v>66377.348502267632</v>
      </c>
      <c r="AY10" s="40">
        <f t="shared" ca="1" si="80"/>
        <v>73015.083352494403</v>
      </c>
      <c r="AZ10" s="40">
        <f t="shared" ca="1" si="80"/>
        <v>80316.591687743843</v>
      </c>
      <c r="BA10" s="40">
        <f t="shared" ca="1" si="80"/>
        <v>88348.250856518236</v>
      </c>
      <c r="BB10" s="40">
        <f t="shared" ca="1" si="80"/>
        <v>97183.075942170064</v>
      </c>
      <c r="BC10" s="40">
        <f t="shared" ca="1" si="80"/>
        <v>106901.38353638707</v>
      </c>
      <c r="BD10" s="40">
        <f t="shared" ca="1" si="80"/>
        <v>117591.52189002579</v>
      </c>
      <c r="BE10" s="40">
        <f t="shared" ca="1" si="80"/>
        <v>129350.67407902838</v>
      </c>
      <c r="BF10" s="40">
        <f t="shared" ca="1" si="80"/>
        <v>142285.74148693122</v>
      </c>
      <c r="BG10" s="40">
        <f t="shared" ca="1" si="80"/>
        <v>156514.31563562434</v>
      </c>
      <c r="BH10" s="40">
        <f t="shared" ca="1" si="80"/>
        <v>172165.74719918679</v>
      </c>
      <c r="BI10" s="40">
        <f t="shared" ca="1" si="80"/>
        <v>189382.32191910548</v>
      </c>
      <c r="BJ10" s="40">
        <f t="shared" ca="1" si="80"/>
        <v>208320.55411101604</v>
      </c>
      <c r="BK10" s="40">
        <f t="shared" ca="1" si="80"/>
        <v>229152.60952211765</v>
      </c>
      <c r="BL10" s="40">
        <f t="shared" ca="1" si="80"/>
        <v>252067.87047432942</v>
      </c>
      <c r="BM10" s="40">
        <f t="shared" ca="1" si="80"/>
        <v>277274.65752176236</v>
      </c>
      <c r="BN10" s="40">
        <f t="shared" ca="1" si="80"/>
        <v>305002.1232739386</v>
      </c>
      <c r="BO10" s="40">
        <f t="shared" ca="1" si="80"/>
        <v>335502.33560133248</v>
      </c>
      <c r="BP10" s="40">
        <f t="shared" ca="1" si="80"/>
        <v>369052.56916146574</v>
      </c>
      <c r="BQ10" s="40">
        <f t="shared" ca="1" si="80"/>
        <v>405957.82607761235</v>
      </c>
      <c r="BR10" s="40">
        <f t="shared" ca="1" si="80"/>
        <v>446553.60868537362</v>
      </c>
      <c r="BS10" s="40">
        <f t="shared" ca="1" si="80"/>
        <v>491208.96955391101</v>
      </c>
      <c r="BT10" s="40">
        <f t="shared" ca="1" si="80"/>
        <v>540329.86650930217</v>
      </c>
      <c r="BU10" s="40">
        <f t="shared" ref="BU10:EF10" ca="1" si="81">IF(IF(AND(ISNA(BU$8),ISNA(BT$8)),BT10*(1+$E$10),IF(AND(BT$8&gt;0,ISNA(BU$8)),BT10*(1+$E$10),BU$8))&gt;$C$21,$C$21,IF(AND(ISNA(BU$8),ISNA(BT$8)),BT10*(1+$E$10),IF(AND(BT$8&gt;0,ISNA(BU$8)),BT10*(1+$E$10),BU$8)))</f>
        <v>594362.85316023242</v>
      </c>
      <c r="BV10" s="40">
        <f t="shared" ca="1" si="81"/>
        <v>653799.1384762557</v>
      </c>
      <c r="BW10" s="40">
        <f t="shared" ca="1" si="81"/>
        <v>719179.0523238813</v>
      </c>
      <c r="BX10" s="40">
        <f t="shared" ca="1" si="81"/>
        <v>791096.95755626948</v>
      </c>
      <c r="BY10" s="40">
        <f t="shared" ca="1" si="81"/>
        <v>870206.65331189649</v>
      </c>
      <c r="BZ10" s="40">
        <f t="shared" ca="1" si="81"/>
        <v>957227.31864308624</v>
      </c>
      <c r="CA10" s="40">
        <f t="shared" ca="1" si="81"/>
        <v>1052950.0505073951</v>
      </c>
      <c r="CB10" s="40">
        <f t="shared" ca="1" si="81"/>
        <v>1158245.0555581346</v>
      </c>
      <c r="CC10" s="40">
        <f t="shared" ca="1" si="81"/>
        <v>1274069.5611139482</v>
      </c>
      <c r="CD10" s="40">
        <f t="shared" ca="1" si="81"/>
        <v>1401476.5172253433</v>
      </c>
      <c r="CE10" s="40">
        <f t="shared" ca="1" si="81"/>
        <v>1541624.1689478778</v>
      </c>
      <c r="CF10" s="40">
        <f t="shared" ca="1" si="81"/>
        <v>1695786.5858426658</v>
      </c>
      <c r="CG10" s="40">
        <f t="shared" ca="1" si="81"/>
        <v>1865365.2444269324</v>
      </c>
      <c r="CH10" s="40">
        <f t="shared" ca="1" si="81"/>
        <v>2051901.7688696259</v>
      </c>
      <c r="CI10" s="40">
        <f t="shared" ca="1" si="81"/>
        <v>2257091.9457565886</v>
      </c>
      <c r="CJ10" s="40">
        <f t="shared" ca="1" si="81"/>
        <v>2482801.1403322476</v>
      </c>
      <c r="CK10" s="40">
        <f t="shared" ca="1" si="81"/>
        <v>2731081.2543654726</v>
      </c>
      <c r="CL10" s="40">
        <f t="shared" ca="1" si="81"/>
        <v>3004189.3798020203</v>
      </c>
      <c r="CM10" s="40">
        <f t="shared" ca="1" si="81"/>
        <v>3304608.3177822228</v>
      </c>
      <c r="CN10" s="40">
        <f t="shared" ca="1" si="81"/>
        <v>3635069.1495604455</v>
      </c>
      <c r="CO10" s="40">
        <f t="shared" ca="1" si="81"/>
        <v>3998576.0645164903</v>
      </c>
      <c r="CP10" s="40">
        <f t="shared" ca="1" si="81"/>
        <v>4398433.6709681395</v>
      </c>
      <c r="CQ10" s="40">
        <f t="shared" ca="1" si="81"/>
        <v>4838277.0380649539</v>
      </c>
      <c r="CR10" s="40">
        <f t="shared" ca="1" si="81"/>
        <v>5322104.7418714501</v>
      </c>
      <c r="CS10" s="40">
        <f t="shared" ca="1" si="81"/>
        <v>5854315.216058596</v>
      </c>
      <c r="CT10" s="40">
        <f t="shared" ca="1" si="81"/>
        <v>6439746.7376644565</v>
      </c>
      <c r="CU10" s="40">
        <f t="shared" ca="1" si="81"/>
        <v>7083721.4114309028</v>
      </c>
      <c r="CV10" s="40">
        <f t="shared" ca="1" si="81"/>
        <v>7792093.5525739938</v>
      </c>
      <c r="CW10" s="40">
        <f t="shared" ca="1" si="81"/>
        <v>8571302.9078313932</v>
      </c>
      <c r="CX10" s="40">
        <f t="shared" ca="1" si="81"/>
        <v>9428433.198614534</v>
      </c>
      <c r="CY10" s="40">
        <f t="shared" ca="1" si="81"/>
        <v>10371276.518475989</v>
      </c>
      <c r="CZ10" s="40">
        <f t="shared" ca="1" si="81"/>
        <v>11408404.170323588</v>
      </c>
      <c r="DA10" s="40">
        <f t="shared" ca="1" si="81"/>
        <v>12549244.587355947</v>
      </c>
      <c r="DB10" s="40">
        <f t="shared" ca="1" si="81"/>
        <v>13804169.046091544</v>
      </c>
      <c r="DC10" s="40">
        <f t="shared" ca="1" si="81"/>
        <v>15184585.950700698</v>
      </c>
      <c r="DD10" s="40">
        <f t="shared" ca="1" si="81"/>
        <v>16703044.54577077</v>
      </c>
      <c r="DE10" s="40">
        <f t="shared" ca="1" si="81"/>
        <v>18373349.000347849</v>
      </c>
      <c r="DF10" s="40">
        <f t="shared" ca="1" si="81"/>
        <v>20210683.900382634</v>
      </c>
      <c r="DG10" s="40">
        <f t="shared" ca="1" si="81"/>
        <v>22231752.290420901</v>
      </c>
      <c r="DH10" s="40">
        <f t="shared" ca="1" si="81"/>
        <v>24454927.519462992</v>
      </c>
      <c r="DI10" s="40">
        <f t="shared" ca="1" si="81"/>
        <v>26900420.271409292</v>
      </c>
      <c r="DJ10" s="40">
        <f t="shared" ca="1" si="81"/>
        <v>27154404.400000002</v>
      </c>
      <c r="DK10" s="40">
        <f t="shared" ca="1" si="81"/>
        <v>27154404.400000002</v>
      </c>
      <c r="DL10" s="40">
        <f t="shared" ca="1" si="81"/>
        <v>27154404.400000002</v>
      </c>
      <c r="DM10" s="40">
        <f t="shared" ca="1" si="81"/>
        <v>27154404.400000002</v>
      </c>
      <c r="DN10" s="40">
        <f t="shared" ca="1" si="81"/>
        <v>27154404.400000002</v>
      </c>
      <c r="DO10" s="40">
        <f t="shared" ca="1" si="81"/>
        <v>27154404.400000002</v>
      </c>
      <c r="DP10" s="40">
        <f t="shared" ca="1" si="81"/>
        <v>27154404.400000002</v>
      </c>
      <c r="DQ10" s="40">
        <f t="shared" ca="1" si="81"/>
        <v>27154404.400000002</v>
      </c>
      <c r="DR10" s="40">
        <f t="shared" ca="1" si="81"/>
        <v>27154404.400000002</v>
      </c>
      <c r="DS10" s="40">
        <f t="shared" ca="1" si="81"/>
        <v>27154404.400000002</v>
      </c>
      <c r="DT10" s="40">
        <f t="shared" ca="1" si="81"/>
        <v>27154404.400000002</v>
      </c>
      <c r="DU10" s="40">
        <f t="shared" ca="1" si="81"/>
        <v>27154404.400000002</v>
      </c>
      <c r="DV10" s="40">
        <f t="shared" ca="1" si="81"/>
        <v>27154404.400000002</v>
      </c>
      <c r="DW10" s="40">
        <f t="shared" ca="1" si="81"/>
        <v>27154404.400000002</v>
      </c>
      <c r="DX10" s="40">
        <f t="shared" ca="1" si="81"/>
        <v>27154404.400000002</v>
      </c>
      <c r="DY10" s="40">
        <f t="shared" ca="1" si="81"/>
        <v>27154404.400000002</v>
      </c>
      <c r="DZ10" s="40">
        <f t="shared" ca="1" si="81"/>
        <v>27154404.400000002</v>
      </c>
      <c r="EA10" s="40">
        <f t="shared" ca="1" si="81"/>
        <v>27154404.400000002</v>
      </c>
      <c r="EB10" s="40">
        <f t="shared" ca="1" si="81"/>
        <v>27154404.400000002</v>
      </c>
      <c r="EC10" s="40">
        <f t="shared" ca="1" si="81"/>
        <v>27154404.400000002</v>
      </c>
      <c r="ED10" s="40">
        <f t="shared" ca="1" si="81"/>
        <v>27154404.400000002</v>
      </c>
      <c r="EE10" s="40">
        <f t="shared" ca="1" si="81"/>
        <v>27154404.400000002</v>
      </c>
      <c r="EF10" s="40">
        <f t="shared" ca="1" si="81"/>
        <v>27154404.400000002</v>
      </c>
      <c r="EG10" s="40">
        <f t="shared" ref="EG10:GR10" ca="1" si="82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2"/>
        <v>27154404.400000002</v>
      </c>
      <c r="EI10" s="40">
        <f t="shared" ca="1" si="82"/>
        <v>27154404.400000002</v>
      </c>
      <c r="EJ10" s="40">
        <f t="shared" ca="1" si="82"/>
        <v>27154404.400000002</v>
      </c>
      <c r="EK10" s="40">
        <f t="shared" ca="1" si="82"/>
        <v>27154404.400000002</v>
      </c>
      <c r="EL10" s="40">
        <f t="shared" ca="1" si="82"/>
        <v>27154404.400000002</v>
      </c>
      <c r="EM10" s="40">
        <f t="shared" ca="1" si="82"/>
        <v>27154404.400000002</v>
      </c>
      <c r="EN10" s="40">
        <f t="shared" ca="1" si="82"/>
        <v>27154404.400000002</v>
      </c>
      <c r="EO10" s="40">
        <f t="shared" ca="1" si="82"/>
        <v>27154404.400000002</v>
      </c>
      <c r="EP10" s="40">
        <f t="shared" ca="1" si="82"/>
        <v>27154404.400000002</v>
      </c>
      <c r="EQ10" s="40">
        <f t="shared" ca="1" si="82"/>
        <v>27154404.400000002</v>
      </c>
      <c r="ER10" s="40">
        <f t="shared" ca="1" si="82"/>
        <v>27154404.400000002</v>
      </c>
      <c r="ES10" s="40">
        <f t="shared" ca="1" si="82"/>
        <v>27154404.400000002</v>
      </c>
      <c r="ET10" s="40">
        <f t="shared" ca="1" si="82"/>
        <v>27154404.400000002</v>
      </c>
      <c r="EU10" s="40">
        <f t="shared" ca="1" si="82"/>
        <v>27154404.400000002</v>
      </c>
      <c r="EV10" s="40">
        <f t="shared" ca="1" si="82"/>
        <v>27154404.400000002</v>
      </c>
      <c r="EW10" s="40">
        <f t="shared" ca="1" si="82"/>
        <v>27154404.400000002</v>
      </c>
      <c r="EX10" s="40">
        <f t="shared" ca="1" si="82"/>
        <v>27154404.400000002</v>
      </c>
      <c r="EY10" s="40">
        <f t="shared" ca="1" si="82"/>
        <v>27154404.400000002</v>
      </c>
      <c r="EZ10" s="40">
        <f t="shared" ca="1" si="82"/>
        <v>27154404.400000002</v>
      </c>
      <c r="FA10" s="40">
        <f t="shared" ca="1" si="82"/>
        <v>27154404.400000002</v>
      </c>
      <c r="FB10" s="40">
        <f t="shared" ca="1" si="82"/>
        <v>27154404.400000002</v>
      </c>
      <c r="FC10" s="40">
        <f t="shared" ca="1" si="82"/>
        <v>27154404.400000002</v>
      </c>
      <c r="FD10" s="40">
        <f t="shared" ca="1" si="82"/>
        <v>27154404.400000002</v>
      </c>
      <c r="FE10" s="40">
        <f t="shared" ca="1" si="82"/>
        <v>27154404.400000002</v>
      </c>
      <c r="FF10" s="40">
        <f t="shared" ca="1" si="82"/>
        <v>27154404.400000002</v>
      </c>
      <c r="FG10" s="40">
        <f t="shared" ca="1" si="82"/>
        <v>27154404.400000002</v>
      </c>
      <c r="FH10" s="40">
        <f t="shared" ca="1" si="82"/>
        <v>27154404.400000002</v>
      </c>
      <c r="FI10" s="40">
        <f t="shared" ca="1" si="82"/>
        <v>27154404.400000002</v>
      </c>
      <c r="FJ10" s="40">
        <f t="shared" ca="1" si="82"/>
        <v>27154404.400000002</v>
      </c>
      <c r="FK10" s="40">
        <f t="shared" ca="1" si="82"/>
        <v>27154404.400000002</v>
      </c>
      <c r="FL10" s="40">
        <f t="shared" ca="1" si="82"/>
        <v>27154404.400000002</v>
      </c>
      <c r="FM10" s="40">
        <f t="shared" ca="1" si="82"/>
        <v>27154404.400000002</v>
      </c>
      <c r="FN10" s="40">
        <f t="shared" ca="1" si="82"/>
        <v>27154404.400000002</v>
      </c>
      <c r="FO10" s="40">
        <f t="shared" ca="1" si="82"/>
        <v>27154404.400000002</v>
      </c>
      <c r="FP10" s="40">
        <f t="shared" ca="1" si="82"/>
        <v>27154404.400000002</v>
      </c>
      <c r="FQ10" s="40">
        <f t="shared" ca="1" si="82"/>
        <v>27154404.400000002</v>
      </c>
      <c r="FR10" s="40">
        <f t="shared" ca="1" si="82"/>
        <v>27154404.400000002</v>
      </c>
      <c r="FS10" s="40">
        <f t="shared" ca="1" si="82"/>
        <v>27154404.400000002</v>
      </c>
      <c r="FT10" s="40">
        <f t="shared" ca="1" si="82"/>
        <v>27154404.400000002</v>
      </c>
      <c r="FU10" s="40">
        <f t="shared" ca="1" si="82"/>
        <v>27154404.400000002</v>
      </c>
      <c r="FV10" s="40">
        <f t="shared" ca="1" si="82"/>
        <v>27154404.400000002</v>
      </c>
      <c r="FW10" s="40">
        <f t="shared" ca="1" si="82"/>
        <v>27154404.400000002</v>
      </c>
      <c r="FX10" s="40">
        <f t="shared" ca="1" si="82"/>
        <v>27154404.400000002</v>
      </c>
      <c r="FY10" s="40">
        <f t="shared" ca="1" si="82"/>
        <v>27154404.400000002</v>
      </c>
      <c r="FZ10" s="40">
        <f t="shared" ca="1" si="82"/>
        <v>27154404.400000002</v>
      </c>
      <c r="GA10" s="40">
        <f t="shared" ca="1" si="82"/>
        <v>27154404.400000002</v>
      </c>
      <c r="GB10" s="40">
        <f t="shared" ca="1" si="82"/>
        <v>27154404.400000002</v>
      </c>
      <c r="GC10" s="40">
        <f t="shared" ca="1" si="82"/>
        <v>27154404.400000002</v>
      </c>
      <c r="GD10" s="40">
        <f t="shared" ca="1" si="82"/>
        <v>27154404.400000002</v>
      </c>
      <c r="GE10" s="40">
        <f t="shared" ca="1" si="82"/>
        <v>27154404.400000002</v>
      </c>
      <c r="GF10" s="40">
        <f t="shared" ca="1" si="82"/>
        <v>27154404.400000002</v>
      </c>
      <c r="GG10" s="40">
        <f t="shared" ca="1" si="82"/>
        <v>27154404.400000002</v>
      </c>
      <c r="GH10" s="40">
        <f t="shared" ca="1" si="82"/>
        <v>27154404.400000002</v>
      </c>
      <c r="GI10" s="40">
        <f t="shared" ca="1" si="82"/>
        <v>27154404.400000002</v>
      </c>
      <c r="GJ10" s="40">
        <f t="shared" ca="1" si="82"/>
        <v>27154404.400000002</v>
      </c>
      <c r="GK10" s="40">
        <f t="shared" ca="1" si="82"/>
        <v>27154404.400000002</v>
      </c>
      <c r="GL10" s="40">
        <f t="shared" ca="1" si="82"/>
        <v>27154404.400000002</v>
      </c>
      <c r="GM10" s="40">
        <f t="shared" ca="1" si="82"/>
        <v>27154404.400000002</v>
      </c>
      <c r="GN10" s="40">
        <f t="shared" ca="1" si="82"/>
        <v>27154404.400000002</v>
      </c>
      <c r="GO10" s="40">
        <f t="shared" ca="1" si="82"/>
        <v>27154404.400000002</v>
      </c>
      <c r="GP10" s="40">
        <f t="shared" ca="1" si="82"/>
        <v>27154404.400000002</v>
      </c>
      <c r="GQ10" s="40">
        <f t="shared" ca="1" si="82"/>
        <v>27154404.400000002</v>
      </c>
      <c r="GR10" s="40">
        <f t="shared" ca="1" si="82"/>
        <v>27154404.400000002</v>
      </c>
      <c r="GS10" s="40">
        <f t="shared" ref="GS10:IN10" ca="1" si="83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3"/>
        <v>27154404.400000002</v>
      </c>
      <c r="GU10" s="40">
        <f t="shared" ca="1" si="83"/>
        <v>27154404.400000002</v>
      </c>
      <c r="GV10" s="40">
        <f t="shared" ca="1" si="83"/>
        <v>27154404.400000002</v>
      </c>
      <c r="GW10" s="40">
        <f t="shared" ca="1" si="83"/>
        <v>27154404.400000002</v>
      </c>
      <c r="GX10" s="40">
        <f t="shared" ca="1" si="83"/>
        <v>27154404.400000002</v>
      </c>
      <c r="GY10" s="40">
        <f t="shared" ca="1" si="83"/>
        <v>27154404.400000002</v>
      </c>
      <c r="GZ10" s="40">
        <f t="shared" ca="1" si="83"/>
        <v>27154404.400000002</v>
      </c>
      <c r="HA10" s="40">
        <f t="shared" ca="1" si="83"/>
        <v>27154404.400000002</v>
      </c>
      <c r="HB10" s="40">
        <f t="shared" ca="1" si="83"/>
        <v>27154404.400000002</v>
      </c>
      <c r="HC10" s="40">
        <f t="shared" ca="1" si="83"/>
        <v>27154404.400000002</v>
      </c>
      <c r="HD10" s="40">
        <f t="shared" ca="1" si="83"/>
        <v>27154404.400000002</v>
      </c>
      <c r="HE10" s="40">
        <f t="shared" ca="1" si="83"/>
        <v>27154404.400000002</v>
      </c>
      <c r="HF10" s="40">
        <f t="shared" ca="1" si="83"/>
        <v>27154404.400000002</v>
      </c>
      <c r="HG10" s="40">
        <f t="shared" ca="1" si="83"/>
        <v>27154404.400000002</v>
      </c>
      <c r="HH10" s="40">
        <f t="shared" ca="1" si="83"/>
        <v>27154404.400000002</v>
      </c>
      <c r="HI10" s="40">
        <f t="shared" ca="1" si="83"/>
        <v>27154404.400000002</v>
      </c>
      <c r="HJ10" s="40">
        <f t="shared" ca="1" si="83"/>
        <v>27154404.400000002</v>
      </c>
      <c r="HK10" s="40">
        <f t="shared" ca="1" si="83"/>
        <v>27154404.400000002</v>
      </c>
      <c r="HL10" s="40">
        <f t="shared" ca="1" si="83"/>
        <v>27154404.400000002</v>
      </c>
      <c r="HM10" s="40">
        <f t="shared" ca="1" si="83"/>
        <v>27154404.400000002</v>
      </c>
      <c r="HN10" s="40">
        <f t="shared" ca="1" si="83"/>
        <v>27154404.400000002</v>
      </c>
      <c r="HO10" s="40">
        <f t="shared" ca="1" si="83"/>
        <v>27154404.400000002</v>
      </c>
      <c r="HP10" s="40">
        <f t="shared" ca="1" si="83"/>
        <v>27154404.400000002</v>
      </c>
      <c r="HQ10" s="40">
        <f t="shared" ca="1" si="83"/>
        <v>27154404.400000002</v>
      </c>
      <c r="HR10" s="40">
        <f t="shared" ca="1" si="83"/>
        <v>27154404.400000002</v>
      </c>
      <c r="HS10" s="40">
        <f t="shared" ca="1" si="83"/>
        <v>27154404.400000002</v>
      </c>
      <c r="HT10" s="40">
        <f t="shared" ca="1" si="83"/>
        <v>27154404.400000002</v>
      </c>
      <c r="HU10" s="40">
        <f t="shared" ca="1" si="83"/>
        <v>27154404.400000002</v>
      </c>
      <c r="HV10" s="40">
        <f t="shared" ca="1" si="83"/>
        <v>27154404.400000002</v>
      </c>
      <c r="HW10" s="40">
        <f t="shared" ca="1" si="83"/>
        <v>27154404.400000002</v>
      </c>
      <c r="HX10" s="40">
        <f t="shared" ca="1" si="83"/>
        <v>27154404.400000002</v>
      </c>
      <c r="HY10" s="40">
        <f t="shared" ca="1" si="83"/>
        <v>27154404.400000002</v>
      </c>
      <c r="HZ10" s="40">
        <f t="shared" ca="1" si="83"/>
        <v>27154404.400000002</v>
      </c>
      <c r="IA10" s="40">
        <f t="shared" ca="1" si="83"/>
        <v>27154404.400000002</v>
      </c>
      <c r="IB10" s="40">
        <f t="shared" ca="1" si="83"/>
        <v>27154404.400000002</v>
      </c>
      <c r="IC10" s="40">
        <f t="shared" ca="1" si="83"/>
        <v>27154404.400000002</v>
      </c>
      <c r="ID10" s="40">
        <f t="shared" ca="1" si="83"/>
        <v>27154404.400000002</v>
      </c>
      <c r="IE10" s="40">
        <f t="shared" ca="1" si="83"/>
        <v>27154404.400000002</v>
      </c>
      <c r="IF10" s="40">
        <f t="shared" ca="1" si="83"/>
        <v>27154404.400000002</v>
      </c>
      <c r="IG10" s="40">
        <f t="shared" ca="1" si="83"/>
        <v>27154404.400000002</v>
      </c>
      <c r="IH10" s="40">
        <f t="shared" ca="1" si="83"/>
        <v>27154404.400000002</v>
      </c>
      <c r="II10" s="40">
        <f t="shared" ca="1" si="83"/>
        <v>27154404.400000002</v>
      </c>
      <c r="IJ10" s="40">
        <f t="shared" ca="1" si="83"/>
        <v>27154404.400000002</v>
      </c>
      <c r="IK10" s="40">
        <f t="shared" ca="1" si="83"/>
        <v>27154404.400000002</v>
      </c>
      <c r="IL10" s="40">
        <f t="shared" ca="1" si="83"/>
        <v>27154404.400000002</v>
      </c>
      <c r="IM10" s="40">
        <f t="shared" ca="1" si="83"/>
        <v>27154404.400000002</v>
      </c>
      <c r="IN10" s="40">
        <f t="shared" ca="1" si="83"/>
        <v>27154404.400000002</v>
      </c>
    </row>
    <row r="11" spans="2:248" x14ac:dyDescent="0.3">
      <c r="B11" s="19" t="s">
        <v>528</v>
      </c>
      <c r="C11" s="53">
        <f ca="1">(HLOOKUP(C5-1,G4:IN8,5,FALSE)/HLOOKUP(C5-1-C10,G4:IN8,5,FALSE))^(1/C10)-1</f>
        <v>0.24587887548521414</v>
      </c>
      <c r="E11" s="19">
        <v>0.25</v>
      </c>
      <c r="F11" s="19" t="s">
        <v>495</v>
      </c>
      <c r="G11" s="40">
        <f t="shared" ref="G11" si="84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5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6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6"/>
        <v>274</v>
      </c>
      <c r="K11" s="40">
        <f t="shared" ca="1" si="86"/>
        <v>322</v>
      </c>
      <c r="L11" s="40">
        <f t="shared" ca="1" si="86"/>
        <v>384</v>
      </c>
      <c r="M11" s="40">
        <f t="shared" ca="1" si="86"/>
        <v>459</v>
      </c>
      <c r="N11" s="40">
        <f t="shared" ca="1" si="86"/>
        <v>588</v>
      </c>
      <c r="O11" s="40">
        <f t="shared" ca="1" si="86"/>
        <v>799</v>
      </c>
      <c r="P11" s="40">
        <f t="shared" ca="1" si="86"/>
        <v>1131</v>
      </c>
      <c r="Q11" s="40">
        <f t="shared" ca="1" si="86"/>
        <v>1328</v>
      </c>
      <c r="R11" s="40">
        <f t="shared" ca="1" si="86"/>
        <v>1271</v>
      </c>
      <c r="S11" s="40">
        <f t="shared" ca="1" si="86"/>
        <v>1685</v>
      </c>
      <c r="T11" s="40">
        <f t="shared" ca="1" si="86"/>
        <v>2296</v>
      </c>
      <c r="U11" s="40">
        <f t="shared" ca="1" si="86"/>
        <v>2245</v>
      </c>
      <c r="V11" s="40">
        <f t="shared" ca="1" si="86"/>
        <v>3474</v>
      </c>
      <c r="W11" s="40">
        <f t="shared" ca="1" si="86"/>
        <v>4395</v>
      </c>
      <c r="X11" s="40">
        <f t="shared" ca="1" si="86"/>
        <v>4937</v>
      </c>
      <c r="Y11" s="40">
        <f t="shared" ca="1" si="86"/>
        <v>5681</v>
      </c>
      <c r="Z11" s="40">
        <f t="shared" ca="1" si="86"/>
        <v>6739</v>
      </c>
      <c r="AA11" s="40">
        <f t="shared" ca="1" si="86"/>
        <v>8423.75</v>
      </c>
      <c r="AB11" s="40">
        <f t="shared" ca="1" si="86"/>
        <v>10529.6875</v>
      </c>
      <c r="AC11" s="40">
        <f t="shared" ca="1" si="86"/>
        <v>13162.109375</v>
      </c>
      <c r="AD11" s="40">
        <f t="shared" ca="1" si="86"/>
        <v>16452.63671875</v>
      </c>
      <c r="AE11" s="40">
        <f t="shared" ca="1" si="86"/>
        <v>20565.7958984375</v>
      </c>
      <c r="AF11" s="40">
        <f t="shared" ca="1" si="86"/>
        <v>25707.244873046875</v>
      </c>
      <c r="AG11" s="40">
        <f t="shared" ca="1" si="86"/>
        <v>32134.056091308594</v>
      </c>
      <c r="AH11" s="40">
        <f t="shared" ca="1" si="86"/>
        <v>40167.570114135742</v>
      </c>
      <c r="AI11" s="40">
        <f t="shared" ca="1" si="86"/>
        <v>50209.462642669678</v>
      </c>
      <c r="AJ11" s="40">
        <f t="shared" ca="1" si="86"/>
        <v>62761.828303337097</v>
      </c>
      <c r="AK11" s="40">
        <f t="shared" ca="1" si="86"/>
        <v>78452.285379171371</v>
      </c>
      <c r="AL11" s="40">
        <f t="shared" ca="1" si="86"/>
        <v>98065.356723964214</v>
      </c>
      <c r="AM11" s="40">
        <f t="shared" ca="1" si="86"/>
        <v>122581.69590495527</v>
      </c>
      <c r="AN11" s="40">
        <f t="shared" ca="1" si="86"/>
        <v>153227.11988119408</v>
      </c>
      <c r="AO11" s="40">
        <f t="shared" ca="1" si="86"/>
        <v>191533.89985149261</v>
      </c>
      <c r="AP11" s="40">
        <f t="shared" ca="1" si="86"/>
        <v>239417.37481436576</v>
      </c>
      <c r="AQ11" s="40">
        <f t="shared" ca="1" si="86"/>
        <v>299271.7185179572</v>
      </c>
      <c r="AR11" s="40">
        <f t="shared" ca="1" si="86"/>
        <v>374089.64814744651</v>
      </c>
      <c r="AS11" s="40">
        <f t="shared" ca="1" si="86"/>
        <v>467612.06018430815</v>
      </c>
      <c r="AT11" s="40">
        <f t="shared" ca="1" si="86"/>
        <v>584515.07523038518</v>
      </c>
      <c r="AU11" s="40">
        <f t="shared" ca="1" si="86"/>
        <v>730643.84403798147</v>
      </c>
      <c r="AV11" s="40">
        <f t="shared" ca="1" si="86"/>
        <v>913304.8050474769</v>
      </c>
      <c r="AW11" s="40">
        <f t="shared" ca="1" si="86"/>
        <v>1141631.0063093461</v>
      </c>
      <c r="AX11" s="40">
        <f t="shared" ca="1" si="86"/>
        <v>1427038.7578866826</v>
      </c>
      <c r="AY11" s="40">
        <f t="shared" ca="1" si="86"/>
        <v>1783798.4473583533</v>
      </c>
      <c r="AZ11" s="40">
        <f t="shared" ca="1" si="86"/>
        <v>2229748.0591979418</v>
      </c>
      <c r="BA11" s="40">
        <f t="shared" ca="1" si="86"/>
        <v>2787185.0739974272</v>
      </c>
      <c r="BB11" s="40">
        <f t="shared" ca="1" si="86"/>
        <v>3483981.3424967839</v>
      </c>
      <c r="BC11" s="40">
        <f t="shared" ca="1" si="86"/>
        <v>4354976.67812098</v>
      </c>
      <c r="BD11" s="40">
        <f t="shared" ca="1" si="86"/>
        <v>5443720.8476512246</v>
      </c>
      <c r="BE11" s="40">
        <f t="shared" ca="1" si="86"/>
        <v>6804651.0595640307</v>
      </c>
      <c r="BF11" s="40">
        <f t="shared" ca="1" si="86"/>
        <v>8505813.8244550377</v>
      </c>
      <c r="BG11" s="40">
        <f t="shared" ca="1" si="86"/>
        <v>10632267.280568797</v>
      </c>
      <c r="BH11" s="40">
        <f t="shared" ca="1" si="86"/>
        <v>13290334.100710995</v>
      </c>
      <c r="BI11" s="40">
        <f t="shared" ca="1" si="86"/>
        <v>16612917.625888744</v>
      </c>
      <c r="BJ11" s="40">
        <f t="shared" ca="1" si="86"/>
        <v>20766147.03236093</v>
      </c>
      <c r="BK11" s="40">
        <f t="shared" ca="1" si="86"/>
        <v>25957683.790451162</v>
      </c>
      <c r="BL11" s="40">
        <f t="shared" ca="1" si="86"/>
        <v>27154404.400000002</v>
      </c>
      <c r="BM11" s="40">
        <f t="shared" ca="1" si="86"/>
        <v>27154404.400000002</v>
      </c>
      <c r="BN11" s="40">
        <f t="shared" ca="1" si="86"/>
        <v>27154404.400000002</v>
      </c>
      <c r="BO11" s="40">
        <f t="shared" ca="1" si="86"/>
        <v>27154404.400000002</v>
      </c>
      <c r="BP11" s="40">
        <f t="shared" ca="1" si="86"/>
        <v>27154404.400000002</v>
      </c>
      <c r="BQ11" s="40">
        <f t="shared" ca="1" si="86"/>
        <v>27154404.400000002</v>
      </c>
      <c r="BR11" s="40">
        <f t="shared" ca="1" si="86"/>
        <v>27154404.400000002</v>
      </c>
      <c r="BS11" s="40">
        <f t="shared" ca="1" si="86"/>
        <v>27154404.400000002</v>
      </c>
      <c r="BT11" s="40">
        <f t="shared" ca="1" si="86"/>
        <v>27154404.400000002</v>
      </c>
      <c r="BU11" s="40">
        <f t="shared" ref="BU11:EF11" ca="1" si="87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7"/>
        <v>27154404.400000002</v>
      </c>
      <c r="BW11" s="40">
        <f t="shared" ca="1" si="87"/>
        <v>27154404.400000002</v>
      </c>
      <c r="BX11" s="40">
        <f t="shared" ca="1" si="87"/>
        <v>27154404.400000002</v>
      </c>
      <c r="BY11" s="40">
        <f t="shared" ca="1" si="87"/>
        <v>27154404.400000002</v>
      </c>
      <c r="BZ11" s="40">
        <f t="shared" ca="1" si="87"/>
        <v>27154404.400000002</v>
      </c>
      <c r="CA11" s="40">
        <f t="shared" ca="1" si="87"/>
        <v>27154404.400000002</v>
      </c>
      <c r="CB11" s="40">
        <f t="shared" ca="1" si="87"/>
        <v>27154404.400000002</v>
      </c>
      <c r="CC11" s="40">
        <f t="shared" ca="1" si="87"/>
        <v>27154404.400000002</v>
      </c>
      <c r="CD11" s="40">
        <f t="shared" ca="1" si="87"/>
        <v>27154404.400000002</v>
      </c>
      <c r="CE11" s="40">
        <f t="shared" ca="1" si="87"/>
        <v>27154404.400000002</v>
      </c>
      <c r="CF11" s="40">
        <f t="shared" ca="1" si="87"/>
        <v>27154404.400000002</v>
      </c>
      <c r="CG11" s="40">
        <f t="shared" ca="1" si="87"/>
        <v>27154404.400000002</v>
      </c>
      <c r="CH11" s="40">
        <f t="shared" ca="1" si="87"/>
        <v>27154404.400000002</v>
      </c>
      <c r="CI11" s="40">
        <f t="shared" ca="1" si="87"/>
        <v>27154404.400000002</v>
      </c>
      <c r="CJ11" s="40">
        <f t="shared" ca="1" si="87"/>
        <v>27154404.400000002</v>
      </c>
      <c r="CK11" s="40">
        <f t="shared" ca="1" si="87"/>
        <v>27154404.400000002</v>
      </c>
      <c r="CL11" s="40">
        <f t="shared" ca="1" si="87"/>
        <v>27154404.400000002</v>
      </c>
      <c r="CM11" s="40">
        <f t="shared" ca="1" si="87"/>
        <v>27154404.400000002</v>
      </c>
      <c r="CN11" s="40">
        <f t="shared" ca="1" si="87"/>
        <v>27154404.400000002</v>
      </c>
      <c r="CO11" s="40">
        <f t="shared" ca="1" si="87"/>
        <v>27154404.400000002</v>
      </c>
      <c r="CP11" s="40">
        <f t="shared" ca="1" si="87"/>
        <v>27154404.400000002</v>
      </c>
      <c r="CQ11" s="40">
        <f t="shared" ca="1" si="87"/>
        <v>27154404.400000002</v>
      </c>
      <c r="CR11" s="40">
        <f t="shared" ca="1" si="87"/>
        <v>27154404.400000002</v>
      </c>
      <c r="CS11" s="40">
        <f t="shared" ca="1" si="87"/>
        <v>27154404.400000002</v>
      </c>
      <c r="CT11" s="40">
        <f t="shared" ca="1" si="87"/>
        <v>27154404.400000002</v>
      </c>
      <c r="CU11" s="40">
        <f t="shared" ca="1" si="87"/>
        <v>27154404.400000002</v>
      </c>
      <c r="CV11" s="40">
        <f t="shared" ca="1" si="87"/>
        <v>27154404.400000002</v>
      </c>
      <c r="CW11" s="40">
        <f t="shared" ca="1" si="87"/>
        <v>27154404.400000002</v>
      </c>
      <c r="CX11" s="40">
        <f t="shared" ca="1" si="87"/>
        <v>27154404.400000002</v>
      </c>
      <c r="CY11" s="40">
        <f t="shared" ca="1" si="87"/>
        <v>27154404.400000002</v>
      </c>
      <c r="CZ11" s="40">
        <f t="shared" ca="1" si="87"/>
        <v>27154404.400000002</v>
      </c>
      <c r="DA11" s="40">
        <f t="shared" ca="1" si="87"/>
        <v>27154404.400000002</v>
      </c>
      <c r="DB11" s="40">
        <f t="shared" ca="1" si="87"/>
        <v>27154404.400000002</v>
      </c>
      <c r="DC11" s="40">
        <f t="shared" ca="1" si="87"/>
        <v>27154404.400000002</v>
      </c>
      <c r="DD11" s="40">
        <f t="shared" ca="1" si="87"/>
        <v>27154404.400000002</v>
      </c>
      <c r="DE11" s="40">
        <f t="shared" ca="1" si="87"/>
        <v>27154404.400000002</v>
      </c>
      <c r="DF11" s="40">
        <f t="shared" ca="1" si="87"/>
        <v>27154404.400000002</v>
      </c>
      <c r="DG11" s="40">
        <f t="shared" ca="1" si="87"/>
        <v>27154404.400000002</v>
      </c>
      <c r="DH11" s="40">
        <f t="shared" ca="1" si="87"/>
        <v>27154404.400000002</v>
      </c>
      <c r="DI11" s="40">
        <f t="shared" ca="1" si="87"/>
        <v>27154404.400000002</v>
      </c>
      <c r="DJ11" s="40">
        <f t="shared" ca="1" si="87"/>
        <v>27154404.400000002</v>
      </c>
      <c r="DK11" s="40">
        <f t="shared" ca="1" si="87"/>
        <v>27154404.400000002</v>
      </c>
      <c r="DL11" s="40">
        <f t="shared" ca="1" si="87"/>
        <v>27154404.400000002</v>
      </c>
      <c r="DM11" s="40">
        <f t="shared" ca="1" si="87"/>
        <v>27154404.400000002</v>
      </c>
      <c r="DN11" s="40">
        <f t="shared" ca="1" si="87"/>
        <v>27154404.400000002</v>
      </c>
      <c r="DO11" s="40">
        <f t="shared" ca="1" si="87"/>
        <v>27154404.400000002</v>
      </c>
      <c r="DP11" s="40">
        <f t="shared" ca="1" si="87"/>
        <v>27154404.400000002</v>
      </c>
      <c r="DQ11" s="40">
        <f t="shared" ca="1" si="87"/>
        <v>27154404.400000002</v>
      </c>
      <c r="DR11" s="40">
        <f t="shared" ca="1" si="87"/>
        <v>27154404.400000002</v>
      </c>
      <c r="DS11" s="40">
        <f t="shared" ca="1" si="87"/>
        <v>27154404.400000002</v>
      </c>
      <c r="DT11" s="40">
        <f t="shared" ca="1" si="87"/>
        <v>27154404.400000002</v>
      </c>
      <c r="DU11" s="40">
        <f t="shared" ca="1" si="87"/>
        <v>27154404.400000002</v>
      </c>
      <c r="DV11" s="40">
        <f t="shared" ca="1" si="87"/>
        <v>27154404.400000002</v>
      </c>
      <c r="DW11" s="40">
        <f t="shared" ca="1" si="87"/>
        <v>27154404.400000002</v>
      </c>
      <c r="DX11" s="40">
        <f t="shared" ca="1" si="87"/>
        <v>27154404.400000002</v>
      </c>
      <c r="DY11" s="40">
        <f t="shared" ca="1" si="87"/>
        <v>27154404.400000002</v>
      </c>
      <c r="DZ11" s="40">
        <f t="shared" ca="1" si="87"/>
        <v>27154404.400000002</v>
      </c>
      <c r="EA11" s="40">
        <f t="shared" ca="1" si="87"/>
        <v>27154404.400000002</v>
      </c>
      <c r="EB11" s="40">
        <f t="shared" ca="1" si="87"/>
        <v>27154404.400000002</v>
      </c>
      <c r="EC11" s="40">
        <f t="shared" ca="1" si="87"/>
        <v>27154404.400000002</v>
      </c>
      <c r="ED11" s="40">
        <f t="shared" ca="1" si="87"/>
        <v>27154404.400000002</v>
      </c>
      <c r="EE11" s="40">
        <f t="shared" ca="1" si="87"/>
        <v>27154404.400000002</v>
      </c>
      <c r="EF11" s="40">
        <f t="shared" ca="1" si="87"/>
        <v>27154404.400000002</v>
      </c>
      <c r="EG11" s="40">
        <f t="shared" ref="EG11:GR11" ca="1" si="88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8"/>
        <v>27154404.400000002</v>
      </c>
      <c r="EI11" s="40">
        <f t="shared" ca="1" si="88"/>
        <v>27154404.400000002</v>
      </c>
      <c r="EJ11" s="40">
        <f t="shared" ca="1" si="88"/>
        <v>27154404.400000002</v>
      </c>
      <c r="EK11" s="40">
        <f t="shared" ca="1" si="88"/>
        <v>27154404.400000002</v>
      </c>
      <c r="EL11" s="40">
        <f t="shared" ca="1" si="88"/>
        <v>27154404.400000002</v>
      </c>
      <c r="EM11" s="40">
        <f t="shared" ca="1" si="88"/>
        <v>27154404.400000002</v>
      </c>
      <c r="EN11" s="40">
        <f t="shared" ca="1" si="88"/>
        <v>27154404.400000002</v>
      </c>
      <c r="EO11" s="40">
        <f t="shared" ca="1" si="88"/>
        <v>27154404.400000002</v>
      </c>
      <c r="EP11" s="40">
        <f t="shared" ca="1" si="88"/>
        <v>27154404.400000002</v>
      </c>
      <c r="EQ11" s="40">
        <f t="shared" ca="1" si="88"/>
        <v>27154404.400000002</v>
      </c>
      <c r="ER11" s="40">
        <f t="shared" ca="1" si="88"/>
        <v>27154404.400000002</v>
      </c>
      <c r="ES11" s="40">
        <f t="shared" ca="1" si="88"/>
        <v>27154404.400000002</v>
      </c>
      <c r="ET11" s="40">
        <f t="shared" ca="1" si="88"/>
        <v>27154404.400000002</v>
      </c>
      <c r="EU11" s="40">
        <f t="shared" ca="1" si="88"/>
        <v>27154404.400000002</v>
      </c>
      <c r="EV11" s="40">
        <f t="shared" ca="1" si="88"/>
        <v>27154404.400000002</v>
      </c>
      <c r="EW11" s="40">
        <f t="shared" ca="1" si="88"/>
        <v>27154404.400000002</v>
      </c>
      <c r="EX11" s="40">
        <f t="shared" ca="1" si="88"/>
        <v>27154404.400000002</v>
      </c>
      <c r="EY11" s="40">
        <f t="shared" ca="1" si="88"/>
        <v>27154404.400000002</v>
      </c>
      <c r="EZ11" s="40">
        <f t="shared" ca="1" si="88"/>
        <v>27154404.400000002</v>
      </c>
      <c r="FA11" s="40">
        <f t="shared" ca="1" si="88"/>
        <v>27154404.400000002</v>
      </c>
      <c r="FB11" s="40">
        <f t="shared" ca="1" si="88"/>
        <v>27154404.400000002</v>
      </c>
      <c r="FC11" s="40">
        <f t="shared" ca="1" si="88"/>
        <v>27154404.400000002</v>
      </c>
      <c r="FD11" s="40">
        <f t="shared" ca="1" si="88"/>
        <v>27154404.400000002</v>
      </c>
      <c r="FE11" s="40">
        <f t="shared" ca="1" si="88"/>
        <v>27154404.400000002</v>
      </c>
      <c r="FF11" s="40">
        <f t="shared" ca="1" si="88"/>
        <v>27154404.400000002</v>
      </c>
      <c r="FG11" s="40">
        <f t="shared" ca="1" si="88"/>
        <v>27154404.400000002</v>
      </c>
      <c r="FH11" s="40">
        <f t="shared" ca="1" si="88"/>
        <v>27154404.400000002</v>
      </c>
      <c r="FI11" s="40">
        <f t="shared" ca="1" si="88"/>
        <v>27154404.400000002</v>
      </c>
      <c r="FJ11" s="40">
        <f t="shared" ca="1" si="88"/>
        <v>27154404.400000002</v>
      </c>
      <c r="FK11" s="40">
        <f t="shared" ca="1" si="88"/>
        <v>27154404.400000002</v>
      </c>
      <c r="FL11" s="40">
        <f t="shared" ca="1" si="88"/>
        <v>27154404.400000002</v>
      </c>
      <c r="FM11" s="40">
        <f t="shared" ca="1" si="88"/>
        <v>27154404.400000002</v>
      </c>
      <c r="FN11" s="40">
        <f t="shared" ca="1" si="88"/>
        <v>27154404.400000002</v>
      </c>
      <c r="FO11" s="40">
        <f t="shared" ca="1" si="88"/>
        <v>27154404.400000002</v>
      </c>
      <c r="FP11" s="40">
        <f t="shared" ca="1" si="88"/>
        <v>27154404.400000002</v>
      </c>
      <c r="FQ11" s="40">
        <f t="shared" ca="1" si="88"/>
        <v>27154404.400000002</v>
      </c>
      <c r="FR11" s="40">
        <f t="shared" ca="1" si="88"/>
        <v>27154404.400000002</v>
      </c>
      <c r="FS11" s="40">
        <f t="shared" ca="1" si="88"/>
        <v>27154404.400000002</v>
      </c>
      <c r="FT11" s="40">
        <f t="shared" ca="1" si="88"/>
        <v>27154404.400000002</v>
      </c>
      <c r="FU11" s="40">
        <f t="shared" ca="1" si="88"/>
        <v>27154404.400000002</v>
      </c>
      <c r="FV11" s="40">
        <f t="shared" ca="1" si="88"/>
        <v>27154404.400000002</v>
      </c>
      <c r="FW11" s="40">
        <f t="shared" ca="1" si="88"/>
        <v>27154404.400000002</v>
      </c>
      <c r="FX11" s="40">
        <f t="shared" ca="1" si="88"/>
        <v>27154404.400000002</v>
      </c>
      <c r="FY11" s="40">
        <f t="shared" ca="1" si="88"/>
        <v>27154404.400000002</v>
      </c>
      <c r="FZ11" s="40">
        <f t="shared" ca="1" si="88"/>
        <v>27154404.400000002</v>
      </c>
      <c r="GA11" s="40">
        <f t="shared" ca="1" si="88"/>
        <v>27154404.400000002</v>
      </c>
      <c r="GB11" s="40">
        <f t="shared" ca="1" si="88"/>
        <v>27154404.400000002</v>
      </c>
      <c r="GC11" s="40">
        <f t="shared" ca="1" si="88"/>
        <v>27154404.400000002</v>
      </c>
      <c r="GD11" s="40">
        <f t="shared" ca="1" si="88"/>
        <v>27154404.400000002</v>
      </c>
      <c r="GE11" s="40">
        <f t="shared" ca="1" si="88"/>
        <v>27154404.400000002</v>
      </c>
      <c r="GF11" s="40">
        <f t="shared" ca="1" si="88"/>
        <v>27154404.400000002</v>
      </c>
      <c r="GG11" s="40">
        <f t="shared" ca="1" si="88"/>
        <v>27154404.400000002</v>
      </c>
      <c r="GH11" s="40">
        <f t="shared" ca="1" si="88"/>
        <v>27154404.400000002</v>
      </c>
      <c r="GI11" s="40">
        <f t="shared" ca="1" si="88"/>
        <v>27154404.400000002</v>
      </c>
      <c r="GJ11" s="40">
        <f t="shared" ca="1" si="88"/>
        <v>27154404.400000002</v>
      </c>
      <c r="GK11" s="40">
        <f t="shared" ca="1" si="88"/>
        <v>27154404.400000002</v>
      </c>
      <c r="GL11" s="40">
        <f t="shared" ca="1" si="88"/>
        <v>27154404.400000002</v>
      </c>
      <c r="GM11" s="40">
        <f t="shared" ca="1" si="88"/>
        <v>27154404.400000002</v>
      </c>
      <c r="GN11" s="40">
        <f t="shared" ca="1" si="88"/>
        <v>27154404.400000002</v>
      </c>
      <c r="GO11" s="40">
        <f t="shared" ca="1" si="88"/>
        <v>27154404.400000002</v>
      </c>
      <c r="GP11" s="40">
        <f t="shared" ca="1" si="88"/>
        <v>27154404.400000002</v>
      </c>
      <c r="GQ11" s="40">
        <f t="shared" ca="1" si="88"/>
        <v>27154404.400000002</v>
      </c>
      <c r="GR11" s="40">
        <f t="shared" ca="1" si="88"/>
        <v>27154404.400000002</v>
      </c>
      <c r="GS11" s="40">
        <f t="shared" ref="GS11:IN11" ca="1" si="89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9"/>
        <v>27154404.400000002</v>
      </c>
      <c r="GU11" s="40">
        <f t="shared" ca="1" si="89"/>
        <v>27154404.400000002</v>
      </c>
      <c r="GV11" s="40">
        <f t="shared" ca="1" si="89"/>
        <v>27154404.400000002</v>
      </c>
      <c r="GW11" s="40">
        <f t="shared" ca="1" si="89"/>
        <v>27154404.400000002</v>
      </c>
      <c r="GX11" s="40">
        <f t="shared" ca="1" si="89"/>
        <v>27154404.400000002</v>
      </c>
      <c r="GY11" s="40">
        <f t="shared" ca="1" si="89"/>
        <v>27154404.400000002</v>
      </c>
      <c r="GZ11" s="40">
        <f t="shared" ca="1" si="89"/>
        <v>27154404.400000002</v>
      </c>
      <c r="HA11" s="40">
        <f t="shared" ca="1" si="89"/>
        <v>27154404.400000002</v>
      </c>
      <c r="HB11" s="40">
        <f t="shared" ca="1" si="89"/>
        <v>27154404.400000002</v>
      </c>
      <c r="HC11" s="40">
        <f t="shared" ca="1" si="89"/>
        <v>27154404.400000002</v>
      </c>
      <c r="HD11" s="40">
        <f t="shared" ca="1" si="89"/>
        <v>27154404.400000002</v>
      </c>
      <c r="HE11" s="40">
        <f t="shared" ca="1" si="89"/>
        <v>27154404.400000002</v>
      </c>
      <c r="HF11" s="40">
        <f t="shared" ca="1" si="89"/>
        <v>27154404.400000002</v>
      </c>
      <c r="HG11" s="40">
        <f t="shared" ca="1" si="89"/>
        <v>27154404.400000002</v>
      </c>
      <c r="HH11" s="40">
        <f t="shared" ca="1" si="89"/>
        <v>27154404.400000002</v>
      </c>
      <c r="HI11" s="40">
        <f t="shared" ca="1" si="89"/>
        <v>27154404.400000002</v>
      </c>
      <c r="HJ11" s="40">
        <f t="shared" ca="1" si="89"/>
        <v>27154404.400000002</v>
      </c>
      <c r="HK11" s="40">
        <f t="shared" ca="1" si="89"/>
        <v>27154404.400000002</v>
      </c>
      <c r="HL11" s="40">
        <f t="shared" ca="1" si="89"/>
        <v>27154404.400000002</v>
      </c>
      <c r="HM11" s="40">
        <f t="shared" ca="1" si="89"/>
        <v>27154404.400000002</v>
      </c>
      <c r="HN11" s="40">
        <f t="shared" ca="1" si="89"/>
        <v>27154404.400000002</v>
      </c>
      <c r="HO11" s="40">
        <f t="shared" ca="1" si="89"/>
        <v>27154404.400000002</v>
      </c>
      <c r="HP11" s="40">
        <f t="shared" ca="1" si="89"/>
        <v>27154404.400000002</v>
      </c>
      <c r="HQ11" s="40">
        <f t="shared" ca="1" si="89"/>
        <v>27154404.400000002</v>
      </c>
      <c r="HR11" s="40">
        <f t="shared" ca="1" si="89"/>
        <v>27154404.400000002</v>
      </c>
      <c r="HS11" s="40">
        <f t="shared" ca="1" si="89"/>
        <v>27154404.400000002</v>
      </c>
      <c r="HT11" s="40">
        <f t="shared" ca="1" si="89"/>
        <v>27154404.400000002</v>
      </c>
      <c r="HU11" s="40">
        <f t="shared" ca="1" si="89"/>
        <v>27154404.400000002</v>
      </c>
      <c r="HV11" s="40">
        <f t="shared" ca="1" si="89"/>
        <v>27154404.400000002</v>
      </c>
      <c r="HW11" s="40">
        <f t="shared" ca="1" si="89"/>
        <v>27154404.400000002</v>
      </c>
      <c r="HX11" s="40">
        <f t="shared" ca="1" si="89"/>
        <v>27154404.400000002</v>
      </c>
      <c r="HY11" s="40">
        <f t="shared" ca="1" si="89"/>
        <v>27154404.400000002</v>
      </c>
      <c r="HZ11" s="40">
        <f t="shared" ca="1" si="89"/>
        <v>27154404.400000002</v>
      </c>
      <c r="IA11" s="40">
        <f t="shared" ca="1" si="89"/>
        <v>27154404.400000002</v>
      </c>
      <c r="IB11" s="40">
        <f t="shared" ca="1" si="89"/>
        <v>27154404.400000002</v>
      </c>
      <c r="IC11" s="40">
        <f t="shared" ca="1" si="89"/>
        <v>27154404.400000002</v>
      </c>
      <c r="ID11" s="40">
        <f t="shared" ca="1" si="89"/>
        <v>27154404.400000002</v>
      </c>
      <c r="IE11" s="40">
        <f t="shared" ca="1" si="89"/>
        <v>27154404.400000002</v>
      </c>
      <c r="IF11" s="40">
        <f t="shared" ca="1" si="89"/>
        <v>27154404.400000002</v>
      </c>
      <c r="IG11" s="40">
        <f t="shared" ca="1" si="89"/>
        <v>27154404.400000002</v>
      </c>
      <c r="IH11" s="40">
        <f t="shared" ca="1" si="89"/>
        <v>27154404.400000002</v>
      </c>
      <c r="II11" s="40">
        <f t="shared" ca="1" si="89"/>
        <v>27154404.400000002</v>
      </c>
      <c r="IJ11" s="40">
        <f t="shared" ca="1" si="89"/>
        <v>27154404.400000002</v>
      </c>
      <c r="IK11" s="40">
        <f t="shared" ca="1" si="89"/>
        <v>27154404.400000002</v>
      </c>
      <c r="IL11" s="40">
        <f t="shared" ca="1" si="89"/>
        <v>27154404.400000002</v>
      </c>
      <c r="IM11" s="40">
        <f t="shared" ca="1" si="89"/>
        <v>27154404.400000002</v>
      </c>
      <c r="IN11" s="40">
        <f t="shared" ca="1" si="89"/>
        <v>27154404.400000002</v>
      </c>
    </row>
    <row r="12" spans="2:248" x14ac:dyDescent="0.3">
      <c r="B12" s="19" t="s">
        <v>529</v>
      </c>
      <c r="C12" s="74">
        <f>VLOOKUP(B2,Days_Since_100!C:G,5,FALSE)-1</f>
        <v>0.24621979719354981</v>
      </c>
      <c r="E12" s="19">
        <v>0.4</v>
      </c>
      <c r="F12" s="19" t="s">
        <v>453</v>
      </c>
      <c r="G12" s="40">
        <f t="shared" ref="G12" si="90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1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2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2"/>
        <v>274</v>
      </c>
      <c r="K12" s="40">
        <f t="shared" ca="1" si="92"/>
        <v>322</v>
      </c>
      <c r="L12" s="40">
        <f t="shared" ca="1" si="92"/>
        <v>384</v>
      </c>
      <c r="M12" s="40">
        <f t="shared" ca="1" si="92"/>
        <v>459</v>
      </c>
      <c r="N12" s="40">
        <f t="shared" ca="1" si="92"/>
        <v>588</v>
      </c>
      <c r="O12" s="40">
        <f t="shared" ca="1" si="92"/>
        <v>799</v>
      </c>
      <c r="P12" s="40">
        <f t="shared" ca="1" si="92"/>
        <v>1131</v>
      </c>
      <c r="Q12" s="40">
        <f t="shared" ca="1" si="92"/>
        <v>1328</v>
      </c>
      <c r="R12" s="40">
        <f t="shared" ca="1" si="92"/>
        <v>1271</v>
      </c>
      <c r="S12" s="40">
        <f t="shared" ca="1" si="92"/>
        <v>1685</v>
      </c>
      <c r="T12" s="40">
        <f t="shared" ca="1" si="92"/>
        <v>2296</v>
      </c>
      <c r="U12" s="40">
        <f t="shared" ca="1" si="92"/>
        <v>2245</v>
      </c>
      <c r="V12" s="40">
        <f t="shared" ca="1" si="92"/>
        <v>3474</v>
      </c>
      <c r="W12" s="40">
        <f t="shared" ca="1" si="92"/>
        <v>4395</v>
      </c>
      <c r="X12" s="40">
        <f t="shared" ca="1" si="92"/>
        <v>4937</v>
      </c>
      <c r="Y12" s="40">
        <f t="shared" ca="1" si="92"/>
        <v>5681</v>
      </c>
      <c r="Z12" s="40">
        <f t="shared" ca="1" si="92"/>
        <v>6739</v>
      </c>
      <c r="AA12" s="40">
        <f t="shared" ca="1" si="92"/>
        <v>9434.5999999999985</v>
      </c>
      <c r="AB12" s="40">
        <f t="shared" ca="1" si="92"/>
        <v>13208.439999999997</v>
      </c>
      <c r="AC12" s="40">
        <f t="shared" ca="1" si="92"/>
        <v>18491.815999999995</v>
      </c>
      <c r="AD12" s="40">
        <f t="shared" ca="1" si="92"/>
        <v>25888.542399999991</v>
      </c>
      <c r="AE12" s="40">
        <f t="shared" ca="1" si="92"/>
        <v>36243.959359999986</v>
      </c>
      <c r="AF12" s="40">
        <f t="shared" ca="1" si="92"/>
        <v>50741.543103999975</v>
      </c>
      <c r="AG12" s="40">
        <f t="shared" ca="1" si="92"/>
        <v>71038.160345599958</v>
      </c>
      <c r="AH12" s="40">
        <f t="shared" ca="1" si="92"/>
        <v>99453.424483839932</v>
      </c>
      <c r="AI12" s="40">
        <f t="shared" ca="1" si="92"/>
        <v>139234.79427737588</v>
      </c>
      <c r="AJ12" s="40">
        <f t="shared" ca="1" si="92"/>
        <v>194928.71198832622</v>
      </c>
      <c r="AK12" s="40">
        <f t="shared" ca="1" si="92"/>
        <v>272900.19678365672</v>
      </c>
      <c r="AL12" s="40">
        <f t="shared" ca="1" si="92"/>
        <v>382060.27549711941</v>
      </c>
      <c r="AM12" s="40">
        <f t="shared" ca="1" si="92"/>
        <v>534884.38569596712</v>
      </c>
      <c r="AN12" s="40">
        <f t="shared" ca="1" si="92"/>
        <v>748838.13997435395</v>
      </c>
      <c r="AO12" s="40">
        <f t="shared" ca="1" si="92"/>
        <v>1048373.3959640955</v>
      </c>
      <c r="AP12" s="40">
        <f t="shared" ca="1" si="92"/>
        <v>1467722.7543497337</v>
      </c>
      <c r="AQ12" s="40">
        <f t="shared" ca="1" si="92"/>
        <v>2054811.8560896271</v>
      </c>
      <c r="AR12" s="40">
        <f t="shared" ca="1" si="92"/>
        <v>2876736.598525478</v>
      </c>
      <c r="AS12" s="40">
        <f t="shared" ca="1" si="92"/>
        <v>4027431.2379356688</v>
      </c>
      <c r="AT12" s="40">
        <f t="shared" ca="1" si="92"/>
        <v>5638403.7331099361</v>
      </c>
      <c r="AU12" s="40">
        <f t="shared" ca="1" si="92"/>
        <v>7893765.2263539098</v>
      </c>
      <c r="AV12" s="40">
        <f t="shared" ca="1" si="92"/>
        <v>11051271.316895474</v>
      </c>
      <c r="AW12" s="40">
        <f t="shared" ca="1" si="92"/>
        <v>15471779.843653662</v>
      </c>
      <c r="AX12" s="40">
        <f t="shared" ca="1" si="92"/>
        <v>21660491.781115126</v>
      </c>
      <c r="AY12" s="40">
        <f t="shared" ca="1" si="92"/>
        <v>27154404.400000002</v>
      </c>
      <c r="AZ12" s="40">
        <f t="shared" ca="1" si="92"/>
        <v>27154404.400000002</v>
      </c>
      <c r="BA12" s="40">
        <f t="shared" ca="1" si="92"/>
        <v>27154404.400000002</v>
      </c>
      <c r="BB12" s="40">
        <f t="shared" ca="1" si="92"/>
        <v>27154404.400000002</v>
      </c>
      <c r="BC12" s="40">
        <f t="shared" ca="1" si="92"/>
        <v>27154404.400000002</v>
      </c>
      <c r="BD12" s="40">
        <f t="shared" ca="1" si="92"/>
        <v>27154404.400000002</v>
      </c>
      <c r="BE12" s="40">
        <f t="shared" ca="1" si="92"/>
        <v>27154404.400000002</v>
      </c>
      <c r="BF12" s="40">
        <f t="shared" ca="1" si="92"/>
        <v>27154404.400000002</v>
      </c>
      <c r="BG12" s="40">
        <f t="shared" ca="1" si="92"/>
        <v>27154404.400000002</v>
      </c>
      <c r="BH12" s="40">
        <f t="shared" ca="1" si="92"/>
        <v>27154404.400000002</v>
      </c>
      <c r="BI12" s="40">
        <f t="shared" ca="1" si="92"/>
        <v>27154404.400000002</v>
      </c>
      <c r="BJ12" s="40">
        <f t="shared" ca="1" si="92"/>
        <v>27154404.400000002</v>
      </c>
      <c r="BK12" s="40">
        <f t="shared" ca="1" si="92"/>
        <v>27154404.400000002</v>
      </c>
      <c r="BL12" s="40">
        <f t="shared" ca="1" si="92"/>
        <v>27154404.400000002</v>
      </c>
      <c r="BM12" s="40">
        <f t="shared" ca="1" si="92"/>
        <v>27154404.400000002</v>
      </c>
      <c r="BN12" s="40">
        <f t="shared" ca="1" si="92"/>
        <v>27154404.400000002</v>
      </c>
      <c r="BO12" s="40">
        <f t="shared" ca="1" si="92"/>
        <v>27154404.400000002</v>
      </c>
      <c r="BP12" s="40">
        <f t="shared" ca="1" si="92"/>
        <v>27154404.400000002</v>
      </c>
      <c r="BQ12" s="40">
        <f t="shared" ca="1" si="92"/>
        <v>27154404.400000002</v>
      </c>
      <c r="BR12" s="40">
        <f t="shared" ca="1" si="92"/>
        <v>27154404.400000002</v>
      </c>
      <c r="BS12" s="40">
        <f t="shared" ca="1" si="92"/>
        <v>27154404.400000002</v>
      </c>
      <c r="BT12" s="40">
        <f t="shared" ca="1" si="92"/>
        <v>27154404.400000002</v>
      </c>
      <c r="BU12" s="40">
        <f t="shared" ref="BU12:EF12" ca="1" si="93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3"/>
        <v>27154404.400000002</v>
      </c>
      <c r="BW12" s="40">
        <f t="shared" ca="1" si="93"/>
        <v>27154404.400000002</v>
      </c>
      <c r="BX12" s="40">
        <f t="shared" ca="1" si="93"/>
        <v>27154404.400000002</v>
      </c>
      <c r="BY12" s="40">
        <f t="shared" ca="1" si="93"/>
        <v>27154404.400000002</v>
      </c>
      <c r="BZ12" s="40">
        <f t="shared" ca="1" si="93"/>
        <v>27154404.400000002</v>
      </c>
      <c r="CA12" s="40">
        <f t="shared" ca="1" si="93"/>
        <v>27154404.400000002</v>
      </c>
      <c r="CB12" s="40">
        <f t="shared" ca="1" si="93"/>
        <v>27154404.400000002</v>
      </c>
      <c r="CC12" s="40">
        <f t="shared" ca="1" si="93"/>
        <v>27154404.400000002</v>
      </c>
      <c r="CD12" s="40">
        <f t="shared" ca="1" si="93"/>
        <v>27154404.400000002</v>
      </c>
      <c r="CE12" s="40">
        <f t="shared" ca="1" si="93"/>
        <v>27154404.400000002</v>
      </c>
      <c r="CF12" s="40">
        <f t="shared" ca="1" si="93"/>
        <v>27154404.400000002</v>
      </c>
      <c r="CG12" s="40">
        <f t="shared" ca="1" si="93"/>
        <v>27154404.400000002</v>
      </c>
      <c r="CH12" s="40">
        <f t="shared" ca="1" si="93"/>
        <v>27154404.400000002</v>
      </c>
      <c r="CI12" s="40">
        <f t="shared" ca="1" si="93"/>
        <v>27154404.400000002</v>
      </c>
      <c r="CJ12" s="40">
        <f t="shared" ca="1" si="93"/>
        <v>27154404.400000002</v>
      </c>
      <c r="CK12" s="40">
        <f t="shared" ca="1" si="93"/>
        <v>27154404.400000002</v>
      </c>
      <c r="CL12" s="40">
        <f t="shared" ca="1" si="93"/>
        <v>27154404.400000002</v>
      </c>
      <c r="CM12" s="40">
        <f t="shared" ca="1" si="93"/>
        <v>27154404.400000002</v>
      </c>
      <c r="CN12" s="40">
        <f t="shared" ca="1" si="93"/>
        <v>27154404.400000002</v>
      </c>
      <c r="CO12" s="40">
        <f t="shared" ca="1" si="93"/>
        <v>27154404.400000002</v>
      </c>
      <c r="CP12" s="40">
        <f t="shared" ca="1" si="93"/>
        <v>27154404.400000002</v>
      </c>
      <c r="CQ12" s="40">
        <f t="shared" ca="1" si="93"/>
        <v>27154404.400000002</v>
      </c>
      <c r="CR12" s="40">
        <f t="shared" ca="1" si="93"/>
        <v>27154404.400000002</v>
      </c>
      <c r="CS12" s="40">
        <f t="shared" ca="1" si="93"/>
        <v>27154404.400000002</v>
      </c>
      <c r="CT12" s="40">
        <f t="shared" ca="1" si="93"/>
        <v>27154404.400000002</v>
      </c>
      <c r="CU12" s="40">
        <f t="shared" ca="1" si="93"/>
        <v>27154404.400000002</v>
      </c>
      <c r="CV12" s="40">
        <f t="shared" ca="1" si="93"/>
        <v>27154404.400000002</v>
      </c>
      <c r="CW12" s="40">
        <f t="shared" ca="1" si="93"/>
        <v>27154404.400000002</v>
      </c>
      <c r="CX12" s="40">
        <f t="shared" ca="1" si="93"/>
        <v>27154404.400000002</v>
      </c>
      <c r="CY12" s="40">
        <f t="shared" ca="1" si="93"/>
        <v>27154404.400000002</v>
      </c>
      <c r="CZ12" s="40">
        <f t="shared" ca="1" si="93"/>
        <v>27154404.400000002</v>
      </c>
      <c r="DA12" s="40">
        <f t="shared" ca="1" si="93"/>
        <v>27154404.400000002</v>
      </c>
      <c r="DB12" s="40">
        <f t="shared" ca="1" si="93"/>
        <v>27154404.400000002</v>
      </c>
      <c r="DC12" s="40">
        <f t="shared" ca="1" si="93"/>
        <v>27154404.400000002</v>
      </c>
      <c r="DD12" s="40">
        <f t="shared" ca="1" si="93"/>
        <v>27154404.400000002</v>
      </c>
      <c r="DE12" s="40">
        <f t="shared" ca="1" si="93"/>
        <v>27154404.400000002</v>
      </c>
      <c r="DF12" s="40">
        <f t="shared" ca="1" si="93"/>
        <v>27154404.400000002</v>
      </c>
      <c r="DG12" s="40">
        <f t="shared" ca="1" si="93"/>
        <v>27154404.400000002</v>
      </c>
      <c r="DH12" s="40">
        <f t="shared" ca="1" si="93"/>
        <v>27154404.400000002</v>
      </c>
      <c r="DI12" s="40">
        <f t="shared" ca="1" si="93"/>
        <v>27154404.400000002</v>
      </c>
      <c r="DJ12" s="40">
        <f t="shared" ca="1" si="93"/>
        <v>27154404.400000002</v>
      </c>
      <c r="DK12" s="40">
        <f t="shared" ca="1" si="93"/>
        <v>27154404.400000002</v>
      </c>
      <c r="DL12" s="40">
        <f t="shared" ca="1" si="93"/>
        <v>27154404.400000002</v>
      </c>
      <c r="DM12" s="40">
        <f t="shared" ca="1" si="93"/>
        <v>27154404.400000002</v>
      </c>
      <c r="DN12" s="40">
        <f t="shared" ca="1" si="93"/>
        <v>27154404.400000002</v>
      </c>
      <c r="DO12" s="40">
        <f t="shared" ca="1" si="93"/>
        <v>27154404.400000002</v>
      </c>
      <c r="DP12" s="40">
        <f t="shared" ca="1" si="93"/>
        <v>27154404.400000002</v>
      </c>
      <c r="DQ12" s="40">
        <f t="shared" ca="1" si="93"/>
        <v>27154404.400000002</v>
      </c>
      <c r="DR12" s="40">
        <f t="shared" ca="1" si="93"/>
        <v>27154404.400000002</v>
      </c>
      <c r="DS12" s="40">
        <f t="shared" ca="1" si="93"/>
        <v>27154404.400000002</v>
      </c>
      <c r="DT12" s="40">
        <f t="shared" ca="1" si="93"/>
        <v>27154404.400000002</v>
      </c>
      <c r="DU12" s="40">
        <f t="shared" ca="1" si="93"/>
        <v>27154404.400000002</v>
      </c>
      <c r="DV12" s="40">
        <f t="shared" ca="1" si="93"/>
        <v>27154404.400000002</v>
      </c>
      <c r="DW12" s="40">
        <f t="shared" ca="1" si="93"/>
        <v>27154404.400000002</v>
      </c>
      <c r="DX12" s="40">
        <f t="shared" ca="1" si="93"/>
        <v>27154404.400000002</v>
      </c>
      <c r="DY12" s="40">
        <f t="shared" ca="1" si="93"/>
        <v>27154404.400000002</v>
      </c>
      <c r="DZ12" s="40">
        <f t="shared" ca="1" si="93"/>
        <v>27154404.400000002</v>
      </c>
      <c r="EA12" s="40">
        <f t="shared" ca="1" si="93"/>
        <v>27154404.400000002</v>
      </c>
      <c r="EB12" s="40">
        <f t="shared" ca="1" si="93"/>
        <v>27154404.400000002</v>
      </c>
      <c r="EC12" s="40">
        <f t="shared" ca="1" si="93"/>
        <v>27154404.400000002</v>
      </c>
      <c r="ED12" s="40">
        <f t="shared" ca="1" si="93"/>
        <v>27154404.400000002</v>
      </c>
      <c r="EE12" s="40">
        <f t="shared" ca="1" si="93"/>
        <v>27154404.400000002</v>
      </c>
      <c r="EF12" s="40">
        <f t="shared" ca="1" si="93"/>
        <v>27154404.400000002</v>
      </c>
      <c r="EG12" s="40">
        <f t="shared" ref="EG12:GR12" ca="1" si="94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4"/>
        <v>27154404.400000002</v>
      </c>
      <c r="EI12" s="40">
        <f t="shared" ca="1" si="94"/>
        <v>27154404.400000002</v>
      </c>
      <c r="EJ12" s="40">
        <f t="shared" ca="1" si="94"/>
        <v>27154404.400000002</v>
      </c>
      <c r="EK12" s="40">
        <f t="shared" ca="1" si="94"/>
        <v>27154404.400000002</v>
      </c>
      <c r="EL12" s="40">
        <f t="shared" ca="1" si="94"/>
        <v>27154404.400000002</v>
      </c>
      <c r="EM12" s="40">
        <f t="shared" ca="1" si="94"/>
        <v>27154404.400000002</v>
      </c>
      <c r="EN12" s="40">
        <f t="shared" ca="1" si="94"/>
        <v>27154404.400000002</v>
      </c>
      <c r="EO12" s="40">
        <f t="shared" ca="1" si="94"/>
        <v>27154404.400000002</v>
      </c>
      <c r="EP12" s="40">
        <f t="shared" ca="1" si="94"/>
        <v>27154404.400000002</v>
      </c>
      <c r="EQ12" s="40">
        <f t="shared" ca="1" si="94"/>
        <v>27154404.400000002</v>
      </c>
      <c r="ER12" s="40">
        <f t="shared" ca="1" si="94"/>
        <v>27154404.400000002</v>
      </c>
      <c r="ES12" s="40">
        <f t="shared" ca="1" si="94"/>
        <v>27154404.400000002</v>
      </c>
      <c r="ET12" s="40">
        <f t="shared" ca="1" si="94"/>
        <v>27154404.400000002</v>
      </c>
      <c r="EU12" s="40">
        <f t="shared" ca="1" si="94"/>
        <v>27154404.400000002</v>
      </c>
      <c r="EV12" s="40">
        <f t="shared" ca="1" si="94"/>
        <v>27154404.400000002</v>
      </c>
      <c r="EW12" s="40">
        <f t="shared" ca="1" si="94"/>
        <v>27154404.400000002</v>
      </c>
      <c r="EX12" s="40">
        <f t="shared" ca="1" si="94"/>
        <v>27154404.400000002</v>
      </c>
      <c r="EY12" s="40">
        <f t="shared" ca="1" si="94"/>
        <v>27154404.400000002</v>
      </c>
      <c r="EZ12" s="40">
        <f t="shared" ca="1" si="94"/>
        <v>27154404.400000002</v>
      </c>
      <c r="FA12" s="40">
        <f t="shared" ca="1" si="94"/>
        <v>27154404.400000002</v>
      </c>
      <c r="FB12" s="40">
        <f t="shared" ca="1" si="94"/>
        <v>27154404.400000002</v>
      </c>
      <c r="FC12" s="40">
        <f t="shared" ca="1" si="94"/>
        <v>27154404.400000002</v>
      </c>
      <c r="FD12" s="40">
        <f t="shared" ca="1" si="94"/>
        <v>27154404.400000002</v>
      </c>
      <c r="FE12" s="40">
        <f t="shared" ca="1" si="94"/>
        <v>27154404.400000002</v>
      </c>
      <c r="FF12" s="40">
        <f t="shared" ca="1" si="94"/>
        <v>27154404.400000002</v>
      </c>
      <c r="FG12" s="40">
        <f t="shared" ca="1" si="94"/>
        <v>27154404.400000002</v>
      </c>
      <c r="FH12" s="40">
        <f t="shared" ca="1" si="94"/>
        <v>27154404.400000002</v>
      </c>
      <c r="FI12" s="40">
        <f t="shared" ca="1" si="94"/>
        <v>27154404.400000002</v>
      </c>
      <c r="FJ12" s="40">
        <f t="shared" ca="1" si="94"/>
        <v>27154404.400000002</v>
      </c>
      <c r="FK12" s="40">
        <f t="shared" ca="1" si="94"/>
        <v>27154404.400000002</v>
      </c>
      <c r="FL12" s="40">
        <f t="shared" ca="1" si="94"/>
        <v>27154404.400000002</v>
      </c>
      <c r="FM12" s="40">
        <f t="shared" ca="1" si="94"/>
        <v>27154404.400000002</v>
      </c>
      <c r="FN12" s="40">
        <f t="shared" ca="1" si="94"/>
        <v>27154404.400000002</v>
      </c>
      <c r="FO12" s="40">
        <f t="shared" ca="1" si="94"/>
        <v>27154404.400000002</v>
      </c>
      <c r="FP12" s="40">
        <f t="shared" ca="1" si="94"/>
        <v>27154404.400000002</v>
      </c>
      <c r="FQ12" s="40">
        <f t="shared" ca="1" si="94"/>
        <v>27154404.400000002</v>
      </c>
      <c r="FR12" s="40">
        <f t="shared" ca="1" si="94"/>
        <v>27154404.400000002</v>
      </c>
      <c r="FS12" s="40">
        <f t="shared" ca="1" si="94"/>
        <v>27154404.400000002</v>
      </c>
      <c r="FT12" s="40">
        <f t="shared" ca="1" si="94"/>
        <v>27154404.400000002</v>
      </c>
      <c r="FU12" s="40">
        <f t="shared" ca="1" si="94"/>
        <v>27154404.400000002</v>
      </c>
      <c r="FV12" s="40">
        <f t="shared" ca="1" si="94"/>
        <v>27154404.400000002</v>
      </c>
      <c r="FW12" s="40">
        <f t="shared" ca="1" si="94"/>
        <v>27154404.400000002</v>
      </c>
      <c r="FX12" s="40">
        <f t="shared" ca="1" si="94"/>
        <v>27154404.400000002</v>
      </c>
      <c r="FY12" s="40">
        <f t="shared" ca="1" si="94"/>
        <v>27154404.400000002</v>
      </c>
      <c r="FZ12" s="40">
        <f t="shared" ca="1" si="94"/>
        <v>27154404.400000002</v>
      </c>
      <c r="GA12" s="40">
        <f t="shared" ca="1" si="94"/>
        <v>27154404.400000002</v>
      </c>
      <c r="GB12" s="40">
        <f t="shared" ca="1" si="94"/>
        <v>27154404.400000002</v>
      </c>
      <c r="GC12" s="40">
        <f t="shared" ca="1" si="94"/>
        <v>27154404.400000002</v>
      </c>
      <c r="GD12" s="40">
        <f t="shared" ca="1" si="94"/>
        <v>27154404.400000002</v>
      </c>
      <c r="GE12" s="40">
        <f t="shared" ca="1" si="94"/>
        <v>27154404.400000002</v>
      </c>
      <c r="GF12" s="40">
        <f t="shared" ca="1" si="94"/>
        <v>27154404.400000002</v>
      </c>
      <c r="GG12" s="40">
        <f t="shared" ca="1" si="94"/>
        <v>27154404.400000002</v>
      </c>
      <c r="GH12" s="40">
        <f t="shared" ca="1" si="94"/>
        <v>27154404.400000002</v>
      </c>
      <c r="GI12" s="40">
        <f t="shared" ca="1" si="94"/>
        <v>27154404.400000002</v>
      </c>
      <c r="GJ12" s="40">
        <f t="shared" ca="1" si="94"/>
        <v>27154404.400000002</v>
      </c>
      <c r="GK12" s="40">
        <f t="shared" ca="1" si="94"/>
        <v>27154404.400000002</v>
      </c>
      <c r="GL12" s="40">
        <f t="shared" ca="1" si="94"/>
        <v>27154404.400000002</v>
      </c>
      <c r="GM12" s="40">
        <f t="shared" ca="1" si="94"/>
        <v>27154404.400000002</v>
      </c>
      <c r="GN12" s="40">
        <f t="shared" ca="1" si="94"/>
        <v>27154404.400000002</v>
      </c>
      <c r="GO12" s="40">
        <f t="shared" ca="1" si="94"/>
        <v>27154404.400000002</v>
      </c>
      <c r="GP12" s="40">
        <f t="shared" ca="1" si="94"/>
        <v>27154404.400000002</v>
      </c>
      <c r="GQ12" s="40">
        <f t="shared" ca="1" si="94"/>
        <v>27154404.400000002</v>
      </c>
      <c r="GR12" s="40">
        <f t="shared" ca="1" si="94"/>
        <v>27154404.400000002</v>
      </c>
      <c r="GS12" s="40">
        <f t="shared" ref="GS12:IN12" ca="1" si="95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5"/>
        <v>27154404.400000002</v>
      </c>
      <c r="GU12" s="40">
        <f t="shared" ca="1" si="95"/>
        <v>27154404.400000002</v>
      </c>
      <c r="GV12" s="40">
        <f t="shared" ca="1" si="95"/>
        <v>27154404.400000002</v>
      </c>
      <c r="GW12" s="40">
        <f t="shared" ca="1" si="95"/>
        <v>27154404.400000002</v>
      </c>
      <c r="GX12" s="40">
        <f t="shared" ca="1" si="95"/>
        <v>27154404.400000002</v>
      </c>
      <c r="GY12" s="40">
        <f t="shared" ca="1" si="95"/>
        <v>27154404.400000002</v>
      </c>
      <c r="GZ12" s="40">
        <f t="shared" ca="1" si="95"/>
        <v>27154404.400000002</v>
      </c>
      <c r="HA12" s="40">
        <f t="shared" ca="1" si="95"/>
        <v>27154404.400000002</v>
      </c>
      <c r="HB12" s="40">
        <f t="shared" ca="1" si="95"/>
        <v>27154404.400000002</v>
      </c>
      <c r="HC12" s="40">
        <f t="shared" ca="1" si="95"/>
        <v>27154404.400000002</v>
      </c>
      <c r="HD12" s="40">
        <f t="shared" ca="1" si="95"/>
        <v>27154404.400000002</v>
      </c>
      <c r="HE12" s="40">
        <f t="shared" ca="1" si="95"/>
        <v>27154404.400000002</v>
      </c>
      <c r="HF12" s="40">
        <f t="shared" ca="1" si="95"/>
        <v>27154404.400000002</v>
      </c>
      <c r="HG12" s="40">
        <f t="shared" ca="1" si="95"/>
        <v>27154404.400000002</v>
      </c>
      <c r="HH12" s="40">
        <f t="shared" ca="1" si="95"/>
        <v>27154404.400000002</v>
      </c>
      <c r="HI12" s="40">
        <f t="shared" ca="1" si="95"/>
        <v>27154404.400000002</v>
      </c>
      <c r="HJ12" s="40">
        <f t="shared" ca="1" si="95"/>
        <v>27154404.400000002</v>
      </c>
      <c r="HK12" s="40">
        <f t="shared" ca="1" si="95"/>
        <v>27154404.400000002</v>
      </c>
      <c r="HL12" s="40">
        <f t="shared" ca="1" si="95"/>
        <v>27154404.400000002</v>
      </c>
      <c r="HM12" s="40">
        <f t="shared" ca="1" si="95"/>
        <v>27154404.400000002</v>
      </c>
      <c r="HN12" s="40">
        <f t="shared" ca="1" si="95"/>
        <v>27154404.400000002</v>
      </c>
      <c r="HO12" s="40">
        <f t="shared" ca="1" si="95"/>
        <v>27154404.400000002</v>
      </c>
      <c r="HP12" s="40">
        <f t="shared" ca="1" si="95"/>
        <v>27154404.400000002</v>
      </c>
      <c r="HQ12" s="40">
        <f t="shared" ca="1" si="95"/>
        <v>27154404.400000002</v>
      </c>
      <c r="HR12" s="40">
        <f t="shared" ca="1" si="95"/>
        <v>27154404.400000002</v>
      </c>
      <c r="HS12" s="40">
        <f t="shared" ca="1" si="95"/>
        <v>27154404.400000002</v>
      </c>
      <c r="HT12" s="40">
        <f t="shared" ca="1" si="95"/>
        <v>27154404.400000002</v>
      </c>
      <c r="HU12" s="40">
        <f t="shared" ca="1" si="95"/>
        <v>27154404.400000002</v>
      </c>
      <c r="HV12" s="40">
        <f t="shared" ca="1" si="95"/>
        <v>27154404.400000002</v>
      </c>
      <c r="HW12" s="40">
        <f t="shared" ca="1" si="95"/>
        <v>27154404.400000002</v>
      </c>
      <c r="HX12" s="40">
        <f t="shared" ca="1" si="95"/>
        <v>27154404.400000002</v>
      </c>
      <c r="HY12" s="40">
        <f t="shared" ca="1" si="95"/>
        <v>27154404.400000002</v>
      </c>
      <c r="HZ12" s="40">
        <f t="shared" ca="1" si="95"/>
        <v>27154404.400000002</v>
      </c>
      <c r="IA12" s="40">
        <f t="shared" ca="1" si="95"/>
        <v>27154404.400000002</v>
      </c>
      <c r="IB12" s="40">
        <f t="shared" ca="1" si="95"/>
        <v>27154404.400000002</v>
      </c>
      <c r="IC12" s="40">
        <f t="shared" ca="1" si="95"/>
        <v>27154404.400000002</v>
      </c>
      <c r="ID12" s="40">
        <f t="shared" ca="1" si="95"/>
        <v>27154404.400000002</v>
      </c>
      <c r="IE12" s="40">
        <f t="shared" ca="1" si="95"/>
        <v>27154404.400000002</v>
      </c>
      <c r="IF12" s="40">
        <f t="shared" ca="1" si="95"/>
        <v>27154404.400000002</v>
      </c>
      <c r="IG12" s="40">
        <f t="shared" ca="1" si="95"/>
        <v>27154404.400000002</v>
      </c>
      <c r="IH12" s="40">
        <f t="shared" ca="1" si="95"/>
        <v>27154404.400000002</v>
      </c>
      <c r="II12" s="40">
        <f t="shared" ca="1" si="95"/>
        <v>27154404.400000002</v>
      </c>
      <c r="IJ12" s="40">
        <f t="shared" ca="1" si="95"/>
        <v>27154404.400000002</v>
      </c>
      <c r="IK12" s="40">
        <f t="shared" ca="1" si="95"/>
        <v>27154404.400000002</v>
      </c>
      <c r="IL12" s="40">
        <f t="shared" ca="1" si="95"/>
        <v>27154404.400000002</v>
      </c>
      <c r="IM12" s="40">
        <f t="shared" ca="1" si="95"/>
        <v>27154404.400000002</v>
      </c>
      <c r="IN12" s="40">
        <f t="shared" ca="1" si="95"/>
        <v>27154404.400000002</v>
      </c>
    </row>
    <row r="13" spans="2:248" x14ac:dyDescent="0.3">
      <c r="B13" s="19" t="s">
        <v>588</v>
      </c>
      <c r="C13" s="74">
        <f>VLOOKUP(B2,Deaths_since_10!C:G,5,FALSE)-1</f>
        <v>0.25110066863380553</v>
      </c>
      <c r="F13" s="19" t="s">
        <v>589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6">IF(ISNA(I5),NA(),IF(J4&lt;$C$10,(J5/OFFSET(J5,0,-J4))^(1/(J4)),(J5/OFFSET(J5,0,-$C$10))^(1/$C$10))-1)</f>
        <v>0.33177499932927024</v>
      </c>
      <c r="K13" s="53">
        <f t="shared" ca="1" si="96"/>
        <v>0.29077180589770335</v>
      </c>
      <c r="L13" s="53">
        <f t="shared" ca="1" si="96"/>
        <v>0.27049993459236288</v>
      </c>
      <c r="M13" s="53">
        <f t="shared" ca="1" si="96"/>
        <v>0.22855263432816053</v>
      </c>
      <c r="N13" s="53">
        <f t="shared" ca="1" si="96"/>
        <v>0.23303763733800897</v>
      </c>
      <c r="O13" s="53">
        <f t="shared" ca="1" si="96"/>
        <v>0.23960911526381667</v>
      </c>
      <c r="P13" s="53">
        <f t="shared" ca="1" si="96"/>
        <v>0.28858784541083837</v>
      </c>
      <c r="Q13" s="53">
        <f t="shared" ca="1" si="96"/>
        <v>0.28683129505090266</v>
      </c>
      <c r="R13" s="53">
        <f t="shared" ca="1" si="96"/>
        <v>0.27573309599233808</v>
      </c>
      <c r="S13" s="53">
        <f t="shared" ca="1" si="96"/>
        <v>0.27139591569100419</v>
      </c>
      <c r="T13" s="53">
        <f t="shared" ca="1" si="96"/>
        <v>0.26926320102738721</v>
      </c>
      <c r="U13" s="53">
        <f t="shared" ca="1" si="96"/>
        <v>0.18877796979811801</v>
      </c>
      <c r="V13" s="53">
        <f t="shared" ca="1" si="96"/>
        <v>0.2425893143830935</v>
      </c>
      <c r="W13" s="53">
        <f t="shared" ca="1" si="96"/>
        <v>0.26714939712946473</v>
      </c>
      <c r="X13" s="53">
        <f t="shared" ca="1" si="96"/>
        <v>0.23995747864251982</v>
      </c>
      <c r="Y13" s="53">
        <f t="shared" ca="1" si="96"/>
        <v>0.20549332492930561</v>
      </c>
      <c r="Z13" s="53">
        <f t="shared" ca="1" si="96"/>
        <v>0.24621979719354981</v>
      </c>
      <c r="AA13" s="53" t="e">
        <f t="shared" ca="1" si="96"/>
        <v>#N/A</v>
      </c>
      <c r="AB13" s="53" t="e">
        <f t="shared" ca="1" si="96"/>
        <v>#N/A</v>
      </c>
      <c r="AC13" s="53" t="e">
        <f t="shared" ca="1" si="96"/>
        <v>#N/A</v>
      </c>
      <c r="AD13" s="53" t="e">
        <f t="shared" ca="1" si="96"/>
        <v>#N/A</v>
      </c>
      <c r="AE13" s="53" t="e">
        <f t="shared" ca="1" si="96"/>
        <v>#N/A</v>
      </c>
      <c r="AF13" s="53" t="e">
        <f t="shared" ca="1" si="96"/>
        <v>#N/A</v>
      </c>
      <c r="AG13" s="53" t="e">
        <f t="shared" ca="1" si="96"/>
        <v>#N/A</v>
      </c>
      <c r="AH13" s="53" t="e">
        <f t="shared" ca="1" si="96"/>
        <v>#N/A</v>
      </c>
      <c r="AI13" s="53" t="e">
        <f t="shared" ca="1" si="96"/>
        <v>#N/A</v>
      </c>
      <c r="AJ13" s="53" t="e">
        <f t="shared" ca="1" si="96"/>
        <v>#N/A</v>
      </c>
      <c r="AK13" s="53" t="e">
        <f t="shared" ca="1" si="96"/>
        <v>#N/A</v>
      </c>
      <c r="AL13" s="53" t="e">
        <f t="shared" ca="1" si="96"/>
        <v>#N/A</v>
      </c>
      <c r="AM13" s="53" t="e">
        <f t="shared" ca="1" si="96"/>
        <v>#N/A</v>
      </c>
      <c r="AN13" s="53" t="e">
        <f t="shared" ca="1" si="96"/>
        <v>#N/A</v>
      </c>
      <c r="AO13" s="53" t="e">
        <f t="shared" ca="1" si="96"/>
        <v>#N/A</v>
      </c>
      <c r="AP13" s="53" t="e">
        <f t="shared" ca="1" si="96"/>
        <v>#N/A</v>
      </c>
      <c r="AQ13" s="53" t="e">
        <f t="shared" ca="1" si="96"/>
        <v>#N/A</v>
      </c>
      <c r="AR13" s="53" t="e">
        <f t="shared" ca="1" si="96"/>
        <v>#N/A</v>
      </c>
      <c r="AS13" s="53" t="e">
        <f t="shared" ca="1" si="96"/>
        <v>#N/A</v>
      </c>
      <c r="AT13" s="53" t="e">
        <f t="shared" ca="1" si="96"/>
        <v>#N/A</v>
      </c>
      <c r="AU13" s="53" t="e">
        <f t="shared" ca="1" si="96"/>
        <v>#N/A</v>
      </c>
      <c r="AV13" s="53" t="e">
        <f t="shared" ca="1" si="96"/>
        <v>#N/A</v>
      </c>
      <c r="AW13" s="53" t="e">
        <f t="shared" ca="1" si="96"/>
        <v>#N/A</v>
      </c>
      <c r="AX13" s="53" t="e">
        <f t="shared" ca="1" si="96"/>
        <v>#N/A</v>
      </c>
      <c r="AY13" s="53" t="e">
        <f t="shared" ca="1" si="96"/>
        <v>#N/A</v>
      </c>
      <c r="AZ13" s="53" t="e">
        <f t="shared" ca="1" si="96"/>
        <v>#N/A</v>
      </c>
      <c r="BA13" s="53" t="e">
        <f t="shared" ca="1" si="96"/>
        <v>#N/A</v>
      </c>
      <c r="BB13" s="53" t="e">
        <f t="shared" ca="1" si="96"/>
        <v>#N/A</v>
      </c>
      <c r="BC13" s="53" t="e">
        <f t="shared" ca="1" si="96"/>
        <v>#N/A</v>
      </c>
      <c r="BD13" s="53" t="e">
        <f t="shared" ca="1" si="96"/>
        <v>#N/A</v>
      </c>
      <c r="BE13" s="53" t="e">
        <f t="shared" ca="1" si="96"/>
        <v>#N/A</v>
      </c>
      <c r="BF13" s="53" t="e">
        <f t="shared" ca="1" si="96"/>
        <v>#N/A</v>
      </c>
      <c r="BG13" s="53" t="e">
        <f t="shared" ca="1" si="96"/>
        <v>#N/A</v>
      </c>
      <c r="BH13" s="53" t="e">
        <f t="shared" ca="1" si="96"/>
        <v>#N/A</v>
      </c>
      <c r="BI13" s="53" t="e">
        <f t="shared" ca="1" si="96"/>
        <v>#N/A</v>
      </c>
      <c r="BJ13" s="53" t="e">
        <f t="shared" ca="1" si="96"/>
        <v>#N/A</v>
      </c>
      <c r="BK13" s="53" t="e">
        <f t="shared" ca="1" si="96"/>
        <v>#N/A</v>
      </c>
      <c r="BL13" s="53" t="e">
        <f t="shared" ca="1" si="96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6"/>
        <v>#N/A</v>
      </c>
      <c r="BO13" s="53" t="e">
        <f t="shared" ca="1" si="96"/>
        <v>#N/A</v>
      </c>
      <c r="BP13" s="53" t="e">
        <f t="shared" ca="1" si="96"/>
        <v>#N/A</v>
      </c>
      <c r="BQ13" s="53" t="e">
        <f t="shared" ca="1" si="96"/>
        <v>#N/A</v>
      </c>
      <c r="BR13" s="53" t="e">
        <f t="shared" ca="1" si="96"/>
        <v>#N/A</v>
      </c>
      <c r="BS13" s="53" t="e">
        <f t="shared" ca="1" si="96"/>
        <v>#N/A</v>
      </c>
      <c r="BT13" s="53" t="e">
        <f t="shared" ca="1" si="96"/>
        <v>#N/A</v>
      </c>
      <c r="BU13" s="53" t="e">
        <f t="shared" ref="BU13:EF13" ca="1" si="97">IF(ISNA(BT5),NA(),IF(BU4&lt;$C$10,(BU5/OFFSET(BU5,0,-BU4))^(1/(BU4)),(BU5/OFFSET(BU5,0,-$C$10))^(1/$C$10))-1)</f>
        <v>#N/A</v>
      </c>
      <c r="BV13" s="53" t="e">
        <f t="shared" ca="1" si="97"/>
        <v>#N/A</v>
      </c>
      <c r="BW13" s="53" t="e">
        <f t="shared" ca="1" si="97"/>
        <v>#N/A</v>
      </c>
      <c r="BX13" s="53" t="e">
        <f t="shared" ca="1" si="97"/>
        <v>#N/A</v>
      </c>
      <c r="BY13" s="53" t="e">
        <f t="shared" ca="1" si="97"/>
        <v>#N/A</v>
      </c>
      <c r="BZ13" s="53" t="e">
        <f t="shared" ca="1" si="97"/>
        <v>#N/A</v>
      </c>
      <c r="CA13" s="53" t="e">
        <f t="shared" ca="1" si="97"/>
        <v>#N/A</v>
      </c>
      <c r="CB13" s="53" t="e">
        <f t="shared" ca="1" si="97"/>
        <v>#N/A</v>
      </c>
      <c r="CC13" s="53" t="e">
        <f t="shared" ca="1" si="97"/>
        <v>#N/A</v>
      </c>
      <c r="CD13" s="53" t="e">
        <f t="shared" ca="1" si="97"/>
        <v>#N/A</v>
      </c>
      <c r="CE13" s="53" t="e">
        <f t="shared" ca="1" si="97"/>
        <v>#N/A</v>
      </c>
      <c r="CF13" s="53" t="e">
        <f t="shared" ca="1" si="97"/>
        <v>#N/A</v>
      </c>
      <c r="CG13" s="53" t="e">
        <f t="shared" ca="1" si="97"/>
        <v>#N/A</v>
      </c>
      <c r="CH13" s="53" t="e">
        <f t="shared" ca="1" si="97"/>
        <v>#N/A</v>
      </c>
      <c r="CI13" s="53" t="e">
        <f t="shared" ca="1" si="97"/>
        <v>#N/A</v>
      </c>
      <c r="CJ13" s="53" t="e">
        <f t="shared" ca="1" si="97"/>
        <v>#N/A</v>
      </c>
      <c r="CK13" s="53" t="e">
        <f t="shared" ca="1" si="97"/>
        <v>#N/A</v>
      </c>
      <c r="CL13" s="53" t="e">
        <f t="shared" ca="1" si="97"/>
        <v>#N/A</v>
      </c>
      <c r="CM13" s="53" t="e">
        <f t="shared" ca="1" si="97"/>
        <v>#N/A</v>
      </c>
      <c r="CN13" s="53" t="e">
        <f t="shared" ca="1" si="97"/>
        <v>#N/A</v>
      </c>
      <c r="CO13" s="53" t="e">
        <f t="shared" ca="1" si="97"/>
        <v>#N/A</v>
      </c>
      <c r="CP13" s="53" t="e">
        <f t="shared" ca="1" si="97"/>
        <v>#N/A</v>
      </c>
      <c r="CQ13" s="53" t="e">
        <f t="shared" ca="1" si="97"/>
        <v>#N/A</v>
      </c>
      <c r="CR13" s="53" t="e">
        <f t="shared" ca="1" si="97"/>
        <v>#N/A</v>
      </c>
      <c r="CS13" s="53" t="e">
        <f t="shared" ca="1" si="97"/>
        <v>#N/A</v>
      </c>
      <c r="CT13" s="53" t="e">
        <f t="shared" ca="1" si="97"/>
        <v>#N/A</v>
      </c>
      <c r="CU13" s="53" t="e">
        <f t="shared" ca="1" si="97"/>
        <v>#N/A</v>
      </c>
      <c r="CV13" s="53" t="e">
        <f t="shared" ca="1" si="97"/>
        <v>#N/A</v>
      </c>
      <c r="CW13" s="53" t="e">
        <f t="shared" ca="1" si="97"/>
        <v>#N/A</v>
      </c>
      <c r="CX13" s="53" t="e">
        <f t="shared" ca="1" si="97"/>
        <v>#N/A</v>
      </c>
      <c r="CY13" s="53" t="e">
        <f t="shared" ca="1" si="97"/>
        <v>#N/A</v>
      </c>
      <c r="CZ13" s="53" t="e">
        <f t="shared" ca="1" si="97"/>
        <v>#N/A</v>
      </c>
      <c r="DA13" s="53" t="e">
        <f t="shared" ca="1" si="97"/>
        <v>#N/A</v>
      </c>
      <c r="DB13" s="53" t="e">
        <f t="shared" ca="1" si="97"/>
        <v>#N/A</v>
      </c>
      <c r="DC13" s="53" t="e">
        <f t="shared" ca="1" si="97"/>
        <v>#N/A</v>
      </c>
      <c r="DD13" s="53" t="e">
        <f t="shared" ca="1" si="97"/>
        <v>#N/A</v>
      </c>
      <c r="DE13" s="53" t="e">
        <f t="shared" ca="1" si="97"/>
        <v>#N/A</v>
      </c>
      <c r="DF13" s="53" t="e">
        <f t="shared" ca="1" si="97"/>
        <v>#N/A</v>
      </c>
      <c r="DG13" s="53" t="e">
        <f t="shared" ca="1" si="97"/>
        <v>#N/A</v>
      </c>
      <c r="DH13" s="53" t="e">
        <f t="shared" ca="1" si="97"/>
        <v>#N/A</v>
      </c>
      <c r="DI13" s="53" t="e">
        <f t="shared" ca="1" si="97"/>
        <v>#N/A</v>
      </c>
      <c r="DJ13" s="53" t="e">
        <f t="shared" ca="1" si="97"/>
        <v>#N/A</v>
      </c>
      <c r="DK13" s="53" t="e">
        <f t="shared" ca="1" si="97"/>
        <v>#N/A</v>
      </c>
      <c r="DL13" s="53" t="e">
        <f t="shared" ca="1" si="97"/>
        <v>#N/A</v>
      </c>
      <c r="DM13" s="53" t="e">
        <f t="shared" ca="1" si="97"/>
        <v>#N/A</v>
      </c>
      <c r="DN13" s="53" t="e">
        <f t="shared" ca="1" si="97"/>
        <v>#N/A</v>
      </c>
      <c r="DO13" s="53" t="e">
        <f t="shared" ca="1" si="97"/>
        <v>#N/A</v>
      </c>
      <c r="DP13" s="53" t="e">
        <f t="shared" ca="1" si="97"/>
        <v>#N/A</v>
      </c>
      <c r="DQ13" s="53" t="e">
        <f t="shared" ca="1" si="97"/>
        <v>#N/A</v>
      </c>
      <c r="DR13" s="53" t="e">
        <f t="shared" ca="1" si="97"/>
        <v>#N/A</v>
      </c>
      <c r="DS13" s="53" t="e">
        <f t="shared" ca="1" si="97"/>
        <v>#N/A</v>
      </c>
      <c r="DT13" s="53" t="e">
        <f t="shared" ca="1" si="97"/>
        <v>#N/A</v>
      </c>
      <c r="DU13" s="53" t="e">
        <f t="shared" ca="1" si="97"/>
        <v>#N/A</v>
      </c>
      <c r="DV13" s="53" t="e">
        <f t="shared" ca="1" si="97"/>
        <v>#N/A</v>
      </c>
      <c r="DW13" s="53" t="e">
        <f t="shared" ca="1" si="97"/>
        <v>#N/A</v>
      </c>
      <c r="DX13" s="53" t="e">
        <f t="shared" ca="1" si="97"/>
        <v>#N/A</v>
      </c>
      <c r="DY13" s="53" t="e">
        <f t="shared" ca="1" si="97"/>
        <v>#N/A</v>
      </c>
      <c r="DZ13" s="53" t="e">
        <f t="shared" ca="1" si="97"/>
        <v>#N/A</v>
      </c>
      <c r="EA13" s="53" t="e">
        <f t="shared" ca="1" si="97"/>
        <v>#N/A</v>
      </c>
      <c r="EB13" s="53" t="e">
        <f t="shared" ca="1" si="97"/>
        <v>#N/A</v>
      </c>
      <c r="EC13" s="53" t="e">
        <f t="shared" ca="1" si="97"/>
        <v>#N/A</v>
      </c>
      <c r="ED13" s="53" t="e">
        <f t="shared" ca="1" si="97"/>
        <v>#N/A</v>
      </c>
      <c r="EE13" s="53" t="e">
        <f t="shared" ca="1" si="97"/>
        <v>#N/A</v>
      </c>
      <c r="EF13" s="53" t="e">
        <f t="shared" ca="1" si="97"/>
        <v>#N/A</v>
      </c>
      <c r="EG13" s="53" t="e">
        <f t="shared" ref="EG13:GR13" ca="1" si="98">IF(ISNA(EF5),NA(),IF(EG4&lt;$C$10,(EG5/OFFSET(EG5,0,-EG4))^(1/(EG4)),(EG5/OFFSET(EG5,0,-$C$10))^(1/$C$10))-1)</f>
        <v>#N/A</v>
      </c>
      <c r="EH13" s="53" t="e">
        <f t="shared" ca="1" si="98"/>
        <v>#N/A</v>
      </c>
      <c r="EI13" s="53" t="e">
        <f t="shared" ca="1" si="98"/>
        <v>#N/A</v>
      </c>
      <c r="EJ13" s="53" t="e">
        <f t="shared" ca="1" si="98"/>
        <v>#N/A</v>
      </c>
      <c r="EK13" s="53" t="e">
        <f t="shared" ca="1" si="98"/>
        <v>#N/A</v>
      </c>
      <c r="EL13" s="53" t="e">
        <f t="shared" ca="1" si="98"/>
        <v>#N/A</v>
      </c>
      <c r="EM13" s="53" t="e">
        <f t="shared" ca="1" si="98"/>
        <v>#N/A</v>
      </c>
      <c r="EN13" s="53" t="e">
        <f t="shared" ca="1" si="98"/>
        <v>#N/A</v>
      </c>
      <c r="EO13" s="53" t="e">
        <f t="shared" ca="1" si="98"/>
        <v>#N/A</v>
      </c>
      <c r="EP13" s="53" t="e">
        <f t="shared" ca="1" si="98"/>
        <v>#N/A</v>
      </c>
      <c r="EQ13" s="53" t="e">
        <f t="shared" ca="1" si="98"/>
        <v>#N/A</v>
      </c>
      <c r="ER13" s="53" t="e">
        <f t="shared" ca="1" si="98"/>
        <v>#N/A</v>
      </c>
      <c r="ES13" s="53" t="e">
        <f t="shared" ca="1" si="98"/>
        <v>#N/A</v>
      </c>
      <c r="ET13" s="53" t="e">
        <f t="shared" ca="1" si="98"/>
        <v>#N/A</v>
      </c>
      <c r="EU13" s="53" t="e">
        <f t="shared" ca="1" si="98"/>
        <v>#N/A</v>
      </c>
      <c r="EV13" s="53" t="e">
        <f t="shared" ca="1" si="98"/>
        <v>#N/A</v>
      </c>
      <c r="EW13" s="53" t="e">
        <f t="shared" ca="1" si="98"/>
        <v>#N/A</v>
      </c>
      <c r="EX13" s="53" t="e">
        <f t="shared" ca="1" si="98"/>
        <v>#N/A</v>
      </c>
      <c r="EY13" s="53" t="e">
        <f t="shared" ca="1" si="98"/>
        <v>#N/A</v>
      </c>
      <c r="EZ13" s="53" t="e">
        <f t="shared" ca="1" si="98"/>
        <v>#N/A</v>
      </c>
      <c r="FA13" s="53" t="e">
        <f t="shared" ca="1" si="98"/>
        <v>#N/A</v>
      </c>
      <c r="FB13" s="53" t="e">
        <f t="shared" ca="1" si="98"/>
        <v>#N/A</v>
      </c>
      <c r="FC13" s="53" t="e">
        <f t="shared" ca="1" si="98"/>
        <v>#N/A</v>
      </c>
      <c r="FD13" s="53" t="e">
        <f t="shared" ca="1" si="98"/>
        <v>#N/A</v>
      </c>
      <c r="FE13" s="53" t="e">
        <f t="shared" ca="1" si="98"/>
        <v>#N/A</v>
      </c>
      <c r="FF13" s="53" t="e">
        <f t="shared" ca="1" si="98"/>
        <v>#N/A</v>
      </c>
      <c r="FG13" s="53" t="e">
        <f t="shared" ca="1" si="98"/>
        <v>#N/A</v>
      </c>
      <c r="FH13" s="53" t="e">
        <f t="shared" ca="1" si="98"/>
        <v>#N/A</v>
      </c>
      <c r="FI13" s="53" t="e">
        <f t="shared" ca="1" si="98"/>
        <v>#N/A</v>
      </c>
      <c r="FJ13" s="53" t="e">
        <f t="shared" ca="1" si="98"/>
        <v>#N/A</v>
      </c>
      <c r="FK13" s="53" t="e">
        <f t="shared" ca="1" si="98"/>
        <v>#N/A</v>
      </c>
      <c r="FL13" s="53" t="e">
        <f t="shared" ca="1" si="98"/>
        <v>#N/A</v>
      </c>
      <c r="FM13" s="53" t="e">
        <f t="shared" ca="1" si="98"/>
        <v>#N/A</v>
      </c>
      <c r="FN13" s="53" t="e">
        <f t="shared" ca="1" si="98"/>
        <v>#N/A</v>
      </c>
      <c r="FO13" s="53" t="e">
        <f t="shared" ca="1" si="98"/>
        <v>#N/A</v>
      </c>
      <c r="FP13" s="53" t="e">
        <f t="shared" ca="1" si="98"/>
        <v>#N/A</v>
      </c>
      <c r="FQ13" s="53" t="e">
        <f t="shared" ca="1" si="98"/>
        <v>#N/A</v>
      </c>
      <c r="FR13" s="53" t="e">
        <f t="shared" ca="1" si="98"/>
        <v>#N/A</v>
      </c>
      <c r="FS13" s="53" t="e">
        <f t="shared" ca="1" si="98"/>
        <v>#N/A</v>
      </c>
      <c r="FT13" s="53" t="e">
        <f t="shared" ca="1" si="98"/>
        <v>#N/A</v>
      </c>
      <c r="FU13" s="53" t="e">
        <f t="shared" ca="1" si="98"/>
        <v>#N/A</v>
      </c>
      <c r="FV13" s="53" t="e">
        <f t="shared" ca="1" si="98"/>
        <v>#N/A</v>
      </c>
      <c r="FW13" s="53" t="e">
        <f t="shared" ca="1" si="98"/>
        <v>#N/A</v>
      </c>
      <c r="FX13" s="53" t="e">
        <f t="shared" ca="1" si="98"/>
        <v>#N/A</v>
      </c>
      <c r="FY13" s="53" t="e">
        <f t="shared" ca="1" si="98"/>
        <v>#N/A</v>
      </c>
      <c r="FZ13" s="53" t="e">
        <f t="shared" ca="1" si="98"/>
        <v>#N/A</v>
      </c>
      <c r="GA13" s="53" t="e">
        <f t="shared" ca="1" si="98"/>
        <v>#N/A</v>
      </c>
      <c r="GB13" s="53" t="e">
        <f t="shared" ca="1" si="98"/>
        <v>#N/A</v>
      </c>
      <c r="GC13" s="53" t="e">
        <f t="shared" ca="1" si="98"/>
        <v>#N/A</v>
      </c>
      <c r="GD13" s="53" t="e">
        <f t="shared" ca="1" si="98"/>
        <v>#N/A</v>
      </c>
      <c r="GE13" s="53" t="e">
        <f t="shared" ca="1" si="98"/>
        <v>#N/A</v>
      </c>
      <c r="GF13" s="53" t="e">
        <f t="shared" ca="1" si="98"/>
        <v>#N/A</v>
      </c>
      <c r="GG13" s="53" t="e">
        <f t="shared" ca="1" si="98"/>
        <v>#N/A</v>
      </c>
      <c r="GH13" s="53" t="e">
        <f t="shared" ca="1" si="98"/>
        <v>#N/A</v>
      </c>
      <c r="GI13" s="53" t="e">
        <f t="shared" ca="1" si="98"/>
        <v>#N/A</v>
      </c>
      <c r="GJ13" s="53" t="e">
        <f t="shared" ca="1" si="98"/>
        <v>#N/A</v>
      </c>
      <c r="GK13" s="53" t="e">
        <f t="shared" ca="1" si="98"/>
        <v>#N/A</v>
      </c>
      <c r="GL13" s="53" t="e">
        <f t="shared" ca="1" si="98"/>
        <v>#N/A</v>
      </c>
      <c r="GM13" s="53" t="e">
        <f t="shared" ca="1" si="98"/>
        <v>#N/A</v>
      </c>
      <c r="GN13" s="53" t="e">
        <f t="shared" ca="1" si="98"/>
        <v>#N/A</v>
      </c>
      <c r="GO13" s="53" t="e">
        <f t="shared" ca="1" si="98"/>
        <v>#N/A</v>
      </c>
      <c r="GP13" s="53" t="e">
        <f t="shared" ca="1" si="98"/>
        <v>#N/A</v>
      </c>
      <c r="GQ13" s="53" t="e">
        <f t="shared" ca="1" si="98"/>
        <v>#N/A</v>
      </c>
      <c r="GR13" s="53" t="e">
        <f t="shared" ca="1" si="98"/>
        <v>#N/A</v>
      </c>
      <c r="GS13" s="53" t="e">
        <f t="shared" ref="GS13:IN13" ca="1" si="99">IF(ISNA(GR5),NA(),IF(GS4&lt;$C$10,(GS5/OFFSET(GS5,0,-GS4))^(1/(GS4)),(GS5/OFFSET(GS5,0,-$C$10))^(1/$C$10))-1)</f>
        <v>#N/A</v>
      </c>
      <c r="GT13" s="53" t="e">
        <f t="shared" ca="1" si="99"/>
        <v>#N/A</v>
      </c>
      <c r="GU13" s="53" t="e">
        <f t="shared" ca="1" si="99"/>
        <v>#N/A</v>
      </c>
      <c r="GV13" s="53" t="e">
        <f t="shared" ca="1" si="99"/>
        <v>#N/A</v>
      </c>
      <c r="GW13" s="53" t="e">
        <f t="shared" ca="1" si="99"/>
        <v>#N/A</v>
      </c>
      <c r="GX13" s="53" t="e">
        <f t="shared" ca="1" si="99"/>
        <v>#N/A</v>
      </c>
      <c r="GY13" s="53" t="e">
        <f t="shared" ca="1" si="99"/>
        <v>#N/A</v>
      </c>
      <c r="GZ13" s="53" t="e">
        <f t="shared" ca="1" si="99"/>
        <v>#N/A</v>
      </c>
      <c r="HA13" s="53" t="e">
        <f t="shared" ca="1" si="99"/>
        <v>#N/A</v>
      </c>
      <c r="HB13" s="53" t="e">
        <f t="shared" ca="1" si="99"/>
        <v>#N/A</v>
      </c>
      <c r="HC13" s="53" t="e">
        <f t="shared" ca="1" si="99"/>
        <v>#N/A</v>
      </c>
      <c r="HD13" s="53" t="e">
        <f t="shared" ca="1" si="99"/>
        <v>#N/A</v>
      </c>
      <c r="HE13" s="53" t="e">
        <f t="shared" ca="1" si="99"/>
        <v>#N/A</v>
      </c>
      <c r="HF13" s="53" t="e">
        <f t="shared" ca="1" si="99"/>
        <v>#N/A</v>
      </c>
      <c r="HG13" s="53" t="e">
        <f t="shared" ca="1" si="99"/>
        <v>#N/A</v>
      </c>
      <c r="HH13" s="53" t="e">
        <f t="shared" ca="1" si="99"/>
        <v>#N/A</v>
      </c>
      <c r="HI13" s="53" t="e">
        <f t="shared" ca="1" si="99"/>
        <v>#N/A</v>
      </c>
      <c r="HJ13" s="53" t="e">
        <f t="shared" ca="1" si="99"/>
        <v>#N/A</v>
      </c>
      <c r="HK13" s="53" t="e">
        <f t="shared" ca="1" si="99"/>
        <v>#N/A</v>
      </c>
      <c r="HL13" s="53" t="e">
        <f t="shared" ca="1" si="99"/>
        <v>#N/A</v>
      </c>
      <c r="HM13" s="53" t="e">
        <f t="shared" ca="1" si="99"/>
        <v>#N/A</v>
      </c>
      <c r="HN13" s="53" t="e">
        <f t="shared" ca="1" si="99"/>
        <v>#N/A</v>
      </c>
      <c r="HO13" s="53" t="e">
        <f t="shared" ca="1" si="99"/>
        <v>#N/A</v>
      </c>
      <c r="HP13" s="53" t="e">
        <f t="shared" ca="1" si="99"/>
        <v>#N/A</v>
      </c>
      <c r="HQ13" s="53" t="e">
        <f t="shared" ca="1" si="99"/>
        <v>#N/A</v>
      </c>
      <c r="HR13" s="53" t="e">
        <f t="shared" ca="1" si="99"/>
        <v>#N/A</v>
      </c>
      <c r="HS13" s="53" t="e">
        <f t="shared" ca="1" si="99"/>
        <v>#N/A</v>
      </c>
      <c r="HT13" s="53" t="e">
        <f t="shared" ca="1" si="99"/>
        <v>#N/A</v>
      </c>
      <c r="HU13" s="53" t="e">
        <f t="shared" ca="1" si="99"/>
        <v>#N/A</v>
      </c>
      <c r="HV13" s="53" t="e">
        <f t="shared" ca="1" si="99"/>
        <v>#N/A</v>
      </c>
      <c r="HW13" s="53" t="e">
        <f t="shared" ca="1" si="99"/>
        <v>#N/A</v>
      </c>
      <c r="HX13" s="53" t="e">
        <f t="shared" ca="1" si="99"/>
        <v>#N/A</v>
      </c>
      <c r="HY13" s="53" t="e">
        <f t="shared" ca="1" si="99"/>
        <v>#N/A</v>
      </c>
      <c r="HZ13" s="53" t="e">
        <f t="shared" ca="1" si="99"/>
        <v>#N/A</v>
      </c>
      <c r="IA13" s="53" t="e">
        <f t="shared" ca="1" si="99"/>
        <v>#N/A</v>
      </c>
      <c r="IB13" s="53" t="e">
        <f t="shared" ca="1" si="99"/>
        <v>#N/A</v>
      </c>
      <c r="IC13" s="53" t="e">
        <f t="shared" ca="1" si="99"/>
        <v>#N/A</v>
      </c>
      <c r="ID13" s="53" t="e">
        <f t="shared" ca="1" si="99"/>
        <v>#N/A</v>
      </c>
      <c r="IE13" s="53" t="e">
        <f t="shared" ca="1" si="99"/>
        <v>#N/A</v>
      </c>
      <c r="IF13" s="53" t="e">
        <f t="shared" ca="1" si="99"/>
        <v>#N/A</v>
      </c>
      <c r="IG13" s="53" t="e">
        <f t="shared" ca="1" si="99"/>
        <v>#N/A</v>
      </c>
      <c r="IH13" s="53" t="e">
        <f t="shared" ca="1" si="99"/>
        <v>#N/A</v>
      </c>
      <c r="II13" s="53" t="e">
        <f t="shared" ca="1" si="99"/>
        <v>#N/A</v>
      </c>
      <c r="IJ13" s="53" t="e">
        <f t="shared" ca="1" si="99"/>
        <v>#N/A</v>
      </c>
      <c r="IK13" s="53" t="e">
        <f t="shared" ca="1" si="99"/>
        <v>#N/A</v>
      </c>
      <c r="IL13" s="53" t="e">
        <f t="shared" ca="1" si="99"/>
        <v>#N/A</v>
      </c>
      <c r="IM13" s="53" t="e">
        <f t="shared" ca="1" si="99"/>
        <v>#N/A</v>
      </c>
      <c r="IN13" s="53" t="e">
        <f t="shared" ca="1" si="99"/>
        <v>#N/A</v>
      </c>
    </row>
    <row r="14" spans="2:248" x14ac:dyDescent="0.3">
      <c r="B14" s="19" t="s">
        <v>452</v>
      </c>
      <c r="C14" s="21">
        <f>C4*(1+C12)</f>
        <v>10174.138424288141</v>
      </c>
      <c r="F14" s="19" t="s">
        <v>571</v>
      </c>
      <c r="G14" s="53">
        <f ca="1">H14</f>
        <v>0.4137931034482758</v>
      </c>
      <c r="H14" s="53">
        <f ca="1">IF(ISNA(G5),NA(),IF(H4&lt;$C$10,(H5/OFFSET(H5,0,-H4))^(1/(H4)),(H5/OFFSET(H5,0,-$C$10))^(1/$C$10))-1)</f>
        <v>0.4137931034482758</v>
      </c>
      <c r="I14" s="53">
        <f t="shared" ref="I14:BT14" ca="1" si="100">IF(ISNA(H5),NA(),IF(I4&lt;$C$10,(I5/OFFSET(I5,0,-I4))^(1/(I4)),(I5/OFFSET(I5,0,-$C$10))^(1/$C$10))-1)</f>
        <v>0.33584533484258183</v>
      </c>
      <c r="J14" s="53">
        <f t="shared" ca="1" si="100"/>
        <v>0.33177499932927024</v>
      </c>
      <c r="K14" s="53">
        <f t="shared" ca="1" si="100"/>
        <v>0.29077180589770335</v>
      </c>
      <c r="L14" s="53">
        <f t="shared" ca="1" si="100"/>
        <v>0.27049993459236288</v>
      </c>
      <c r="M14" s="53">
        <f t="shared" ca="1" si="100"/>
        <v>0.22855263432816053</v>
      </c>
      <c r="N14" s="53">
        <f t="shared" ca="1" si="100"/>
        <v>0.23303763733800897</v>
      </c>
      <c r="O14" s="53">
        <f t="shared" ca="1" si="100"/>
        <v>0.23960911526381667</v>
      </c>
      <c r="P14" s="53">
        <f t="shared" ca="1" si="100"/>
        <v>0.28858784541083837</v>
      </c>
      <c r="Q14" s="53">
        <f t="shared" ca="1" si="100"/>
        <v>0.28683129505090266</v>
      </c>
      <c r="R14" s="53">
        <f t="shared" ca="1" si="100"/>
        <v>0.27573309599233808</v>
      </c>
      <c r="S14" s="53">
        <f t="shared" ca="1" si="100"/>
        <v>0.27139591569100419</v>
      </c>
      <c r="T14" s="53">
        <f t="shared" ca="1" si="100"/>
        <v>0.26926320102738721</v>
      </c>
      <c r="U14" s="53">
        <f t="shared" ca="1" si="100"/>
        <v>0.18877796979811801</v>
      </c>
      <c r="V14" s="53">
        <f t="shared" ca="1" si="100"/>
        <v>0.2425893143830935</v>
      </c>
      <c r="W14" s="53">
        <f t="shared" ca="1" si="100"/>
        <v>0.26714939712946473</v>
      </c>
      <c r="X14" s="53">
        <f t="shared" ca="1" si="100"/>
        <v>0.23995747864251982</v>
      </c>
      <c r="Y14" s="53">
        <f t="shared" ca="1" si="100"/>
        <v>0.20549332492930561</v>
      </c>
      <c r="Z14" s="53">
        <f t="shared" ca="1" si="100"/>
        <v>0.24621979719354981</v>
      </c>
      <c r="AA14" s="53" t="e">
        <f t="shared" ca="1" si="100"/>
        <v>#N/A</v>
      </c>
      <c r="AB14" s="53" t="e">
        <f t="shared" ca="1" si="100"/>
        <v>#N/A</v>
      </c>
      <c r="AC14" s="53" t="e">
        <f t="shared" ca="1" si="100"/>
        <v>#N/A</v>
      </c>
      <c r="AD14" s="53" t="e">
        <f t="shared" ca="1" si="100"/>
        <v>#N/A</v>
      </c>
      <c r="AE14" s="53" t="e">
        <f t="shared" ca="1" si="100"/>
        <v>#N/A</v>
      </c>
      <c r="AF14" s="53" t="e">
        <f t="shared" ca="1" si="100"/>
        <v>#N/A</v>
      </c>
      <c r="AG14" s="53" t="e">
        <f t="shared" ca="1" si="100"/>
        <v>#N/A</v>
      </c>
      <c r="AH14" s="53" t="e">
        <f t="shared" ca="1" si="100"/>
        <v>#N/A</v>
      </c>
      <c r="AI14" s="53" t="e">
        <f t="shared" ca="1" si="100"/>
        <v>#N/A</v>
      </c>
      <c r="AJ14" s="53" t="e">
        <f t="shared" ca="1" si="100"/>
        <v>#N/A</v>
      </c>
      <c r="AK14" s="53" t="e">
        <f t="shared" ca="1" si="100"/>
        <v>#N/A</v>
      </c>
      <c r="AL14" s="53" t="e">
        <f t="shared" ca="1" si="100"/>
        <v>#N/A</v>
      </c>
      <c r="AM14" s="53" t="e">
        <f t="shared" ca="1" si="100"/>
        <v>#N/A</v>
      </c>
      <c r="AN14" s="53" t="e">
        <f t="shared" ca="1" si="100"/>
        <v>#N/A</v>
      </c>
      <c r="AO14" s="53" t="e">
        <f t="shared" ca="1" si="100"/>
        <v>#N/A</v>
      </c>
      <c r="AP14" s="53" t="e">
        <f t="shared" ca="1" si="100"/>
        <v>#N/A</v>
      </c>
      <c r="AQ14" s="53" t="e">
        <f t="shared" ca="1" si="100"/>
        <v>#N/A</v>
      </c>
      <c r="AR14" s="53" t="e">
        <f t="shared" ca="1" si="100"/>
        <v>#N/A</v>
      </c>
      <c r="AS14" s="53" t="e">
        <f t="shared" ca="1" si="100"/>
        <v>#N/A</v>
      </c>
      <c r="AT14" s="53" t="e">
        <f t="shared" ca="1" si="100"/>
        <v>#N/A</v>
      </c>
      <c r="AU14" s="53" t="e">
        <f t="shared" ca="1" si="100"/>
        <v>#N/A</v>
      </c>
      <c r="AV14" s="53" t="e">
        <f t="shared" ca="1" si="100"/>
        <v>#N/A</v>
      </c>
      <c r="AW14" s="53" t="e">
        <f t="shared" ca="1" si="100"/>
        <v>#N/A</v>
      </c>
      <c r="AX14" s="53" t="e">
        <f t="shared" ca="1" si="100"/>
        <v>#N/A</v>
      </c>
      <c r="AY14" s="53" t="e">
        <f t="shared" ca="1" si="100"/>
        <v>#N/A</v>
      </c>
      <c r="AZ14" s="53" t="e">
        <f t="shared" ca="1" si="100"/>
        <v>#N/A</v>
      </c>
      <c r="BA14" s="53" t="e">
        <f t="shared" ca="1" si="100"/>
        <v>#N/A</v>
      </c>
      <c r="BB14" s="53" t="e">
        <f t="shared" ca="1" si="100"/>
        <v>#N/A</v>
      </c>
      <c r="BC14" s="53" t="e">
        <f t="shared" ca="1" si="100"/>
        <v>#N/A</v>
      </c>
      <c r="BD14" s="53" t="e">
        <f t="shared" ca="1" si="100"/>
        <v>#N/A</v>
      </c>
      <c r="BE14" s="53" t="e">
        <f t="shared" ca="1" si="100"/>
        <v>#N/A</v>
      </c>
      <c r="BF14" s="53" t="e">
        <f t="shared" ca="1" si="100"/>
        <v>#N/A</v>
      </c>
      <c r="BG14" s="53" t="e">
        <f t="shared" ca="1" si="100"/>
        <v>#N/A</v>
      </c>
      <c r="BH14" s="53" t="e">
        <f t="shared" ca="1" si="100"/>
        <v>#N/A</v>
      </c>
      <c r="BI14" s="53" t="e">
        <f t="shared" ca="1" si="100"/>
        <v>#N/A</v>
      </c>
      <c r="BJ14" s="53" t="e">
        <f t="shared" ca="1" si="100"/>
        <v>#N/A</v>
      </c>
      <c r="BK14" s="53" t="e">
        <f t="shared" ca="1" si="100"/>
        <v>#N/A</v>
      </c>
      <c r="BL14" s="53" t="e">
        <f t="shared" ca="1" si="100"/>
        <v>#N/A</v>
      </c>
      <c r="BM14" s="53" t="e">
        <f t="shared" ca="1" si="100"/>
        <v>#N/A</v>
      </c>
      <c r="BN14" s="53" t="e">
        <f t="shared" ca="1" si="100"/>
        <v>#N/A</v>
      </c>
      <c r="BO14" s="53" t="e">
        <f t="shared" ca="1" si="100"/>
        <v>#N/A</v>
      </c>
      <c r="BP14" s="53" t="e">
        <f t="shared" ca="1" si="100"/>
        <v>#N/A</v>
      </c>
      <c r="BQ14" s="53" t="e">
        <f t="shared" ca="1" si="100"/>
        <v>#N/A</v>
      </c>
      <c r="BR14" s="53" t="e">
        <f t="shared" ca="1" si="100"/>
        <v>#N/A</v>
      </c>
      <c r="BS14" s="53" t="e">
        <f t="shared" ca="1" si="100"/>
        <v>#N/A</v>
      </c>
      <c r="BT14" s="53" t="e">
        <f t="shared" ca="1" si="100"/>
        <v>#N/A</v>
      </c>
      <c r="BU14" s="53" t="e">
        <f t="shared" ref="BU14:EF14" ca="1" si="101">IF(ISNA(BT5),NA(),IF(BU4&lt;$C$10,(BU5/OFFSET(BU5,0,-BU4))^(1/(BU4)),(BU5/OFFSET(BU5,0,-$C$10))^(1/$C$10))-1)</f>
        <v>#N/A</v>
      </c>
      <c r="BV14" s="53" t="e">
        <f t="shared" ca="1" si="101"/>
        <v>#N/A</v>
      </c>
      <c r="BW14" s="53" t="e">
        <f t="shared" ca="1" si="101"/>
        <v>#N/A</v>
      </c>
      <c r="BX14" s="53" t="e">
        <f t="shared" ca="1" si="101"/>
        <v>#N/A</v>
      </c>
      <c r="BY14" s="53" t="e">
        <f t="shared" ca="1" si="101"/>
        <v>#N/A</v>
      </c>
      <c r="BZ14" s="53" t="e">
        <f t="shared" ca="1" si="101"/>
        <v>#N/A</v>
      </c>
      <c r="CA14" s="53" t="e">
        <f t="shared" ca="1" si="101"/>
        <v>#N/A</v>
      </c>
      <c r="CB14" s="53" t="e">
        <f t="shared" ca="1" si="101"/>
        <v>#N/A</v>
      </c>
      <c r="CC14" s="53" t="e">
        <f t="shared" ca="1" si="101"/>
        <v>#N/A</v>
      </c>
      <c r="CD14" s="53" t="e">
        <f t="shared" ca="1" si="101"/>
        <v>#N/A</v>
      </c>
      <c r="CE14" s="53" t="e">
        <f t="shared" ca="1" si="101"/>
        <v>#N/A</v>
      </c>
      <c r="CF14" s="53" t="e">
        <f t="shared" ca="1" si="101"/>
        <v>#N/A</v>
      </c>
      <c r="CG14" s="53" t="e">
        <f t="shared" ca="1" si="101"/>
        <v>#N/A</v>
      </c>
      <c r="CH14" s="53" t="e">
        <f t="shared" ca="1" si="101"/>
        <v>#N/A</v>
      </c>
      <c r="CI14" s="53" t="e">
        <f t="shared" ca="1" si="101"/>
        <v>#N/A</v>
      </c>
      <c r="CJ14" s="53" t="e">
        <f t="shared" ca="1" si="101"/>
        <v>#N/A</v>
      </c>
      <c r="CK14" s="53" t="e">
        <f t="shared" ca="1" si="101"/>
        <v>#N/A</v>
      </c>
      <c r="CL14" s="53" t="e">
        <f t="shared" ca="1" si="101"/>
        <v>#N/A</v>
      </c>
      <c r="CM14" s="53" t="e">
        <f t="shared" ca="1" si="101"/>
        <v>#N/A</v>
      </c>
      <c r="CN14" s="53" t="e">
        <f t="shared" ca="1" si="101"/>
        <v>#N/A</v>
      </c>
      <c r="CO14" s="53" t="e">
        <f t="shared" ca="1" si="101"/>
        <v>#N/A</v>
      </c>
      <c r="CP14" s="53" t="e">
        <f t="shared" ca="1" si="101"/>
        <v>#N/A</v>
      </c>
      <c r="CQ14" s="53" t="e">
        <f t="shared" ca="1" si="101"/>
        <v>#N/A</v>
      </c>
      <c r="CR14" s="53" t="e">
        <f t="shared" ca="1" si="101"/>
        <v>#N/A</v>
      </c>
      <c r="CS14" s="53" t="e">
        <f t="shared" ca="1" si="101"/>
        <v>#N/A</v>
      </c>
      <c r="CT14" s="53" t="e">
        <f t="shared" ca="1" si="101"/>
        <v>#N/A</v>
      </c>
      <c r="CU14" s="53" t="e">
        <f t="shared" ca="1" si="101"/>
        <v>#N/A</v>
      </c>
      <c r="CV14" s="53" t="e">
        <f t="shared" ca="1" si="101"/>
        <v>#N/A</v>
      </c>
      <c r="CW14" s="53" t="e">
        <f t="shared" ca="1" si="101"/>
        <v>#N/A</v>
      </c>
      <c r="CX14" s="53" t="e">
        <f t="shared" ca="1" si="101"/>
        <v>#N/A</v>
      </c>
      <c r="CY14" s="53" t="e">
        <f t="shared" ca="1" si="101"/>
        <v>#N/A</v>
      </c>
      <c r="CZ14" s="53" t="e">
        <f t="shared" ca="1" si="101"/>
        <v>#N/A</v>
      </c>
      <c r="DA14" s="53" t="e">
        <f t="shared" ca="1" si="101"/>
        <v>#N/A</v>
      </c>
      <c r="DB14" s="53" t="e">
        <f t="shared" ca="1" si="101"/>
        <v>#N/A</v>
      </c>
      <c r="DC14" s="53" t="e">
        <f t="shared" ca="1" si="101"/>
        <v>#N/A</v>
      </c>
      <c r="DD14" s="53" t="e">
        <f t="shared" ca="1" si="101"/>
        <v>#N/A</v>
      </c>
      <c r="DE14" s="53" t="e">
        <f t="shared" ca="1" si="101"/>
        <v>#N/A</v>
      </c>
      <c r="DF14" s="53" t="e">
        <f t="shared" ca="1" si="101"/>
        <v>#N/A</v>
      </c>
      <c r="DG14" s="53" t="e">
        <f t="shared" ca="1" si="101"/>
        <v>#N/A</v>
      </c>
      <c r="DH14" s="53" t="e">
        <f t="shared" ca="1" si="101"/>
        <v>#N/A</v>
      </c>
      <c r="DI14" s="53" t="e">
        <f t="shared" ca="1" si="101"/>
        <v>#N/A</v>
      </c>
      <c r="DJ14" s="53" t="e">
        <f t="shared" ca="1" si="101"/>
        <v>#N/A</v>
      </c>
      <c r="DK14" s="53" t="e">
        <f t="shared" ca="1" si="101"/>
        <v>#N/A</v>
      </c>
      <c r="DL14" s="53" t="e">
        <f t="shared" ca="1" si="101"/>
        <v>#N/A</v>
      </c>
      <c r="DM14" s="53" t="e">
        <f t="shared" ca="1" si="101"/>
        <v>#N/A</v>
      </c>
      <c r="DN14" s="53" t="e">
        <f t="shared" ca="1" si="101"/>
        <v>#N/A</v>
      </c>
      <c r="DO14" s="53" t="e">
        <f t="shared" ca="1" si="101"/>
        <v>#N/A</v>
      </c>
      <c r="DP14" s="53" t="e">
        <f t="shared" ca="1" si="101"/>
        <v>#N/A</v>
      </c>
      <c r="DQ14" s="53" t="e">
        <f t="shared" ca="1" si="101"/>
        <v>#N/A</v>
      </c>
      <c r="DR14" s="53" t="e">
        <f t="shared" ca="1" si="101"/>
        <v>#N/A</v>
      </c>
      <c r="DS14" s="53" t="e">
        <f t="shared" ca="1" si="101"/>
        <v>#N/A</v>
      </c>
      <c r="DT14" s="53" t="e">
        <f t="shared" ca="1" si="101"/>
        <v>#N/A</v>
      </c>
      <c r="DU14" s="53" t="e">
        <f t="shared" ca="1" si="101"/>
        <v>#N/A</v>
      </c>
      <c r="DV14" s="53" t="e">
        <f t="shared" ca="1" si="101"/>
        <v>#N/A</v>
      </c>
      <c r="DW14" s="53" t="e">
        <f t="shared" ca="1" si="101"/>
        <v>#N/A</v>
      </c>
      <c r="DX14" s="53" t="e">
        <f t="shared" ca="1" si="101"/>
        <v>#N/A</v>
      </c>
      <c r="DY14" s="53" t="e">
        <f t="shared" ca="1" si="101"/>
        <v>#N/A</v>
      </c>
      <c r="DZ14" s="53" t="e">
        <f t="shared" ca="1" si="101"/>
        <v>#N/A</v>
      </c>
      <c r="EA14" s="53" t="e">
        <f t="shared" ca="1" si="101"/>
        <v>#N/A</v>
      </c>
      <c r="EB14" s="53" t="e">
        <f t="shared" ca="1" si="101"/>
        <v>#N/A</v>
      </c>
      <c r="EC14" s="53" t="e">
        <f t="shared" ca="1" si="101"/>
        <v>#N/A</v>
      </c>
      <c r="ED14" s="53" t="e">
        <f t="shared" ca="1" si="101"/>
        <v>#N/A</v>
      </c>
      <c r="EE14" s="53" t="e">
        <f t="shared" ca="1" si="101"/>
        <v>#N/A</v>
      </c>
      <c r="EF14" s="53" t="e">
        <f t="shared" ca="1" si="101"/>
        <v>#N/A</v>
      </c>
      <c r="EG14" s="53" t="e">
        <f t="shared" ref="EG14:GR14" ca="1" si="102">IF(ISNA(EF5),NA(),IF(EG4&lt;$C$10,(EG5/OFFSET(EG5,0,-EG4))^(1/(EG4)),(EG5/OFFSET(EG5,0,-$C$10))^(1/$C$10))-1)</f>
        <v>#N/A</v>
      </c>
      <c r="EH14" s="53" t="e">
        <f t="shared" ca="1" si="102"/>
        <v>#N/A</v>
      </c>
      <c r="EI14" s="53" t="e">
        <f t="shared" ca="1" si="102"/>
        <v>#N/A</v>
      </c>
      <c r="EJ14" s="53" t="e">
        <f t="shared" ca="1" si="102"/>
        <v>#N/A</v>
      </c>
      <c r="EK14" s="53" t="e">
        <f t="shared" ca="1" si="102"/>
        <v>#N/A</v>
      </c>
      <c r="EL14" s="53" t="e">
        <f t="shared" ca="1" si="102"/>
        <v>#N/A</v>
      </c>
      <c r="EM14" s="53" t="e">
        <f t="shared" ca="1" si="102"/>
        <v>#N/A</v>
      </c>
      <c r="EN14" s="53" t="e">
        <f t="shared" ca="1" si="102"/>
        <v>#N/A</v>
      </c>
      <c r="EO14" s="53" t="e">
        <f t="shared" ca="1" si="102"/>
        <v>#N/A</v>
      </c>
      <c r="EP14" s="53" t="e">
        <f t="shared" ca="1" si="102"/>
        <v>#N/A</v>
      </c>
      <c r="EQ14" s="53" t="e">
        <f t="shared" ca="1" si="102"/>
        <v>#N/A</v>
      </c>
      <c r="ER14" s="53" t="e">
        <f t="shared" ca="1" si="102"/>
        <v>#N/A</v>
      </c>
      <c r="ES14" s="53" t="e">
        <f t="shared" ca="1" si="102"/>
        <v>#N/A</v>
      </c>
      <c r="ET14" s="53" t="e">
        <f t="shared" ca="1" si="102"/>
        <v>#N/A</v>
      </c>
      <c r="EU14" s="53" t="e">
        <f t="shared" ca="1" si="102"/>
        <v>#N/A</v>
      </c>
      <c r="EV14" s="53" t="e">
        <f t="shared" ca="1" si="102"/>
        <v>#N/A</v>
      </c>
      <c r="EW14" s="53" t="e">
        <f t="shared" ca="1" si="102"/>
        <v>#N/A</v>
      </c>
      <c r="EX14" s="53" t="e">
        <f t="shared" ca="1" si="102"/>
        <v>#N/A</v>
      </c>
      <c r="EY14" s="53" t="e">
        <f t="shared" ca="1" si="102"/>
        <v>#N/A</v>
      </c>
      <c r="EZ14" s="53" t="e">
        <f t="shared" ca="1" si="102"/>
        <v>#N/A</v>
      </c>
      <c r="FA14" s="53" t="e">
        <f t="shared" ca="1" si="102"/>
        <v>#N/A</v>
      </c>
      <c r="FB14" s="53" t="e">
        <f t="shared" ca="1" si="102"/>
        <v>#N/A</v>
      </c>
      <c r="FC14" s="53" t="e">
        <f t="shared" ca="1" si="102"/>
        <v>#N/A</v>
      </c>
      <c r="FD14" s="53" t="e">
        <f t="shared" ca="1" si="102"/>
        <v>#N/A</v>
      </c>
      <c r="FE14" s="53" t="e">
        <f t="shared" ca="1" si="102"/>
        <v>#N/A</v>
      </c>
      <c r="FF14" s="53" t="e">
        <f t="shared" ca="1" si="102"/>
        <v>#N/A</v>
      </c>
      <c r="FG14" s="53" t="e">
        <f t="shared" ca="1" si="102"/>
        <v>#N/A</v>
      </c>
      <c r="FH14" s="53" t="e">
        <f t="shared" ca="1" si="102"/>
        <v>#N/A</v>
      </c>
      <c r="FI14" s="53" t="e">
        <f t="shared" ca="1" si="102"/>
        <v>#N/A</v>
      </c>
      <c r="FJ14" s="53" t="e">
        <f t="shared" ca="1" si="102"/>
        <v>#N/A</v>
      </c>
      <c r="FK14" s="53" t="e">
        <f t="shared" ca="1" si="102"/>
        <v>#N/A</v>
      </c>
      <c r="FL14" s="53" t="e">
        <f t="shared" ca="1" si="102"/>
        <v>#N/A</v>
      </c>
      <c r="FM14" s="53" t="e">
        <f t="shared" ca="1" si="102"/>
        <v>#N/A</v>
      </c>
      <c r="FN14" s="53" t="e">
        <f t="shared" ca="1" si="102"/>
        <v>#N/A</v>
      </c>
      <c r="FO14" s="53" t="e">
        <f t="shared" ca="1" si="102"/>
        <v>#N/A</v>
      </c>
      <c r="FP14" s="53" t="e">
        <f t="shared" ca="1" si="102"/>
        <v>#N/A</v>
      </c>
      <c r="FQ14" s="53" t="e">
        <f t="shared" ca="1" si="102"/>
        <v>#N/A</v>
      </c>
      <c r="FR14" s="53" t="e">
        <f t="shared" ca="1" si="102"/>
        <v>#N/A</v>
      </c>
      <c r="FS14" s="53" t="e">
        <f t="shared" ca="1" si="102"/>
        <v>#N/A</v>
      </c>
      <c r="FT14" s="53" t="e">
        <f t="shared" ca="1" si="102"/>
        <v>#N/A</v>
      </c>
      <c r="FU14" s="53" t="e">
        <f t="shared" ca="1" si="102"/>
        <v>#N/A</v>
      </c>
      <c r="FV14" s="53" t="e">
        <f t="shared" ca="1" si="102"/>
        <v>#N/A</v>
      </c>
      <c r="FW14" s="53" t="e">
        <f t="shared" ca="1" si="102"/>
        <v>#N/A</v>
      </c>
      <c r="FX14" s="53" t="e">
        <f t="shared" ca="1" si="102"/>
        <v>#N/A</v>
      </c>
      <c r="FY14" s="53" t="e">
        <f t="shared" ca="1" si="102"/>
        <v>#N/A</v>
      </c>
      <c r="FZ14" s="53" t="e">
        <f t="shared" ca="1" si="102"/>
        <v>#N/A</v>
      </c>
      <c r="GA14" s="53" t="e">
        <f t="shared" ca="1" si="102"/>
        <v>#N/A</v>
      </c>
      <c r="GB14" s="53" t="e">
        <f t="shared" ca="1" si="102"/>
        <v>#N/A</v>
      </c>
      <c r="GC14" s="53" t="e">
        <f t="shared" ca="1" si="102"/>
        <v>#N/A</v>
      </c>
      <c r="GD14" s="53" t="e">
        <f t="shared" ca="1" si="102"/>
        <v>#N/A</v>
      </c>
      <c r="GE14" s="53" t="e">
        <f t="shared" ca="1" si="102"/>
        <v>#N/A</v>
      </c>
      <c r="GF14" s="53" t="e">
        <f t="shared" ca="1" si="102"/>
        <v>#N/A</v>
      </c>
      <c r="GG14" s="53" t="e">
        <f t="shared" ca="1" si="102"/>
        <v>#N/A</v>
      </c>
      <c r="GH14" s="53" t="e">
        <f t="shared" ca="1" si="102"/>
        <v>#N/A</v>
      </c>
      <c r="GI14" s="53" t="e">
        <f t="shared" ca="1" si="102"/>
        <v>#N/A</v>
      </c>
      <c r="GJ14" s="53" t="e">
        <f t="shared" ca="1" si="102"/>
        <v>#N/A</v>
      </c>
      <c r="GK14" s="53" t="e">
        <f t="shared" ca="1" si="102"/>
        <v>#N/A</v>
      </c>
      <c r="GL14" s="53" t="e">
        <f t="shared" ca="1" si="102"/>
        <v>#N/A</v>
      </c>
      <c r="GM14" s="53" t="e">
        <f t="shared" ca="1" si="102"/>
        <v>#N/A</v>
      </c>
      <c r="GN14" s="53" t="e">
        <f t="shared" ca="1" si="102"/>
        <v>#N/A</v>
      </c>
      <c r="GO14" s="53" t="e">
        <f t="shared" ca="1" si="102"/>
        <v>#N/A</v>
      </c>
      <c r="GP14" s="53" t="e">
        <f t="shared" ca="1" si="102"/>
        <v>#N/A</v>
      </c>
      <c r="GQ14" s="53" t="e">
        <f t="shared" ca="1" si="102"/>
        <v>#N/A</v>
      </c>
      <c r="GR14" s="53" t="e">
        <f t="shared" ca="1" si="102"/>
        <v>#N/A</v>
      </c>
      <c r="GS14" s="53" t="e">
        <f t="shared" ref="GS14:IN14" ca="1" si="103">IF(ISNA(GR5),NA(),IF(GS4&lt;$C$10,(GS5/OFFSET(GS5,0,-GS4))^(1/(GS4)),(GS5/OFFSET(GS5,0,-$C$10))^(1/$C$10))-1)</f>
        <v>#N/A</v>
      </c>
      <c r="GT14" s="53" t="e">
        <f t="shared" ca="1" si="103"/>
        <v>#N/A</v>
      </c>
      <c r="GU14" s="53" t="e">
        <f t="shared" ca="1" si="103"/>
        <v>#N/A</v>
      </c>
      <c r="GV14" s="53" t="e">
        <f t="shared" ca="1" si="103"/>
        <v>#N/A</v>
      </c>
      <c r="GW14" s="53" t="e">
        <f t="shared" ca="1" si="103"/>
        <v>#N/A</v>
      </c>
      <c r="GX14" s="53" t="e">
        <f t="shared" ca="1" si="103"/>
        <v>#N/A</v>
      </c>
      <c r="GY14" s="53" t="e">
        <f t="shared" ca="1" si="103"/>
        <v>#N/A</v>
      </c>
      <c r="GZ14" s="53" t="e">
        <f t="shared" ca="1" si="103"/>
        <v>#N/A</v>
      </c>
      <c r="HA14" s="53" t="e">
        <f t="shared" ca="1" si="103"/>
        <v>#N/A</v>
      </c>
      <c r="HB14" s="53" t="e">
        <f t="shared" ca="1" si="103"/>
        <v>#N/A</v>
      </c>
      <c r="HC14" s="53" t="e">
        <f t="shared" ca="1" si="103"/>
        <v>#N/A</v>
      </c>
      <c r="HD14" s="53" t="e">
        <f t="shared" ca="1" si="103"/>
        <v>#N/A</v>
      </c>
      <c r="HE14" s="53" t="e">
        <f t="shared" ca="1" si="103"/>
        <v>#N/A</v>
      </c>
      <c r="HF14" s="53" t="e">
        <f t="shared" ca="1" si="103"/>
        <v>#N/A</v>
      </c>
      <c r="HG14" s="53" t="e">
        <f t="shared" ca="1" si="103"/>
        <v>#N/A</v>
      </c>
      <c r="HH14" s="53" t="e">
        <f t="shared" ca="1" si="103"/>
        <v>#N/A</v>
      </c>
      <c r="HI14" s="53" t="e">
        <f t="shared" ca="1" si="103"/>
        <v>#N/A</v>
      </c>
      <c r="HJ14" s="53" t="e">
        <f t="shared" ca="1" si="103"/>
        <v>#N/A</v>
      </c>
      <c r="HK14" s="53" t="e">
        <f t="shared" ca="1" si="103"/>
        <v>#N/A</v>
      </c>
      <c r="HL14" s="53" t="e">
        <f t="shared" ca="1" si="103"/>
        <v>#N/A</v>
      </c>
      <c r="HM14" s="53" t="e">
        <f t="shared" ca="1" si="103"/>
        <v>#N/A</v>
      </c>
      <c r="HN14" s="53" t="e">
        <f t="shared" ca="1" si="103"/>
        <v>#N/A</v>
      </c>
      <c r="HO14" s="53" t="e">
        <f t="shared" ca="1" si="103"/>
        <v>#N/A</v>
      </c>
      <c r="HP14" s="53" t="e">
        <f t="shared" ca="1" si="103"/>
        <v>#N/A</v>
      </c>
      <c r="HQ14" s="53" t="e">
        <f t="shared" ca="1" si="103"/>
        <v>#N/A</v>
      </c>
      <c r="HR14" s="53" t="e">
        <f t="shared" ca="1" si="103"/>
        <v>#N/A</v>
      </c>
      <c r="HS14" s="53" t="e">
        <f t="shared" ca="1" si="103"/>
        <v>#N/A</v>
      </c>
      <c r="HT14" s="53" t="e">
        <f t="shared" ca="1" si="103"/>
        <v>#N/A</v>
      </c>
      <c r="HU14" s="53" t="e">
        <f t="shared" ca="1" si="103"/>
        <v>#N/A</v>
      </c>
      <c r="HV14" s="53" t="e">
        <f t="shared" ca="1" si="103"/>
        <v>#N/A</v>
      </c>
      <c r="HW14" s="53" t="e">
        <f t="shared" ca="1" si="103"/>
        <v>#N/A</v>
      </c>
      <c r="HX14" s="53" t="e">
        <f t="shared" ca="1" si="103"/>
        <v>#N/A</v>
      </c>
      <c r="HY14" s="53" t="e">
        <f t="shared" ca="1" si="103"/>
        <v>#N/A</v>
      </c>
      <c r="HZ14" s="53" t="e">
        <f t="shared" ca="1" si="103"/>
        <v>#N/A</v>
      </c>
      <c r="IA14" s="53" t="e">
        <f t="shared" ca="1" si="103"/>
        <v>#N/A</v>
      </c>
      <c r="IB14" s="53" t="e">
        <f t="shared" ca="1" si="103"/>
        <v>#N/A</v>
      </c>
      <c r="IC14" s="53" t="e">
        <f t="shared" ca="1" si="103"/>
        <v>#N/A</v>
      </c>
      <c r="ID14" s="53" t="e">
        <f t="shared" ca="1" si="103"/>
        <v>#N/A</v>
      </c>
      <c r="IE14" s="53" t="e">
        <f t="shared" ca="1" si="103"/>
        <v>#N/A</v>
      </c>
      <c r="IF14" s="53" t="e">
        <f t="shared" ca="1" si="103"/>
        <v>#N/A</v>
      </c>
      <c r="IG14" s="53" t="e">
        <f t="shared" ca="1" si="103"/>
        <v>#N/A</v>
      </c>
      <c r="IH14" s="53" t="e">
        <f t="shared" ca="1" si="103"/>
        <v>#N/A</v>
      </c>
      <c r="II14" s="53" t="e">
        <f t="shared" ca="1" si="103"/>
        <v>#N/A</v>
      </c>
      <c r="IJ14" s="53" t="e">
        <f t="shared" ca="1" si="103"/>
        <v>#N/A</v>
      </c>
      <c r="IK14" s="53" t="e">
        <f t="shared" ca="1" si="103"/>
        <v>#N/A</v>
      </c>
      <c r="IL14" s="53" t="e">
        <f t="shared" ca="1" si="103"/>
        <v>#N/A</v>
      </c>
      <c r="IM14" s="53" t="e">
        <f t="shared" ca="1" si="103"/>
        <v>#N/A</v>
      </c>
      <c r="IN14" s="53" t="e">
        <f t="shared" ca="1" si="103"/>
        <v>#N/A</v>
      </c>
    </row>
    <row r="15" spans="2:248" x14ac:dyDescent="0.3">
      <c r="B15" s="19" t="s">
        <v>466</v>
      </c>
      <c r="C15" s="25">
        <f>IF(VLOOKUP(B2,Country_Data!C:M,11,FALSE)=0,0.047,VLOOKUP(B2,Country_Data!C:M,11,FALSE)*$C$32)</f>
        <v>0.12953209211170993</v>
      </c>
      <c r="E15" s="93"/>
      <c r="F15" s="19" t="s">
        <v>570</v>
      </c>
      <c r="G15" s="53" t="e">
        <f ca="1">H15</f>
        <v>#N/A</v>
      </c>
      <c r="H15" s="53" t="e">
        <f t="shared" ref="H15:BS15" ca="1" si="104">IF(ISNA(G6),NA(),IF(H4-$C$9&lt;$C$10,(H6/OFFSET(H6,0,-H4+$C$9))^(1/(H4-$C$9)),(H6/OFFSET(H6,0,-$C$10))^(1/$C$10))-1)</f>
        <v>#N/A</v>
      </c>
      <c r="I15" s="53" t="e">
        <f t="shared" ca="1" si="104"/>
        <v>#N/A</v>
      </c>
      <c r="J15" s="53" t="e">
        <f t="shared" ca="1" si="104"/>
        <v>#N/A</v>
      </c>
      <c r="K15" s="53" t="e">
        <f t="shared" ca="1" si="104"/>
        <v>#N/A</v>
      </c>
      <c r="L15" s="53" t="e">
        <f t="shared" ca="1" si="104"/>
        <v>#N/A</v>
      </c>
      <c r="M15" s="53" t="e">
        <f t="shared" ca="1" si="104"/>
        <v>#N/A</v>
      </c>
      <c r="N15" s="53">
        <f t="shared" ca="1" si="104"/>
        <v>0.25</v>
      </c>
      <c r="O15" s="53">
        <f t="shared" ca="1" si="104"/>
        <v>0.17260393995585743</v>
      </c>
      <c r="P15" s="53">
        <f t="shared" ca="1" si="104"/>
        <v>0.37946208819056038</v>
      </c>
      <c r="Q15" s="53">
        <f t="shared" ca="1" si="104"/>
        <v>0.44625380425953898</v>
      </c>
      <c r="R15" s="53">
        <f t="shared" ca="1" si="104"/>
        <v>0.47577316159455196</v>
      </c>
      <c r="S15" s="53">
        <f t="shared" ca="1" si="104"/>
        <v>0.47996576656540446</v>
      </c>
      <c r="T15" s="53">
        <f t="shared" ca="1" si="104"/>
        <v>0.56721338021581857</v>
      </c>
      <c r="U15" s="53">
        <f t="shared" ca="1" si="104"/>
        <v>0.45724293460350629</v>
      </c>
      <c r="V15" s="53">
        <f t="shared" ca="1" si="104"/>
        <v>0.3844280551246313</v>
      </c>
      <c r="W15" s="53">
        <f t="shared" ca="1" si="104"/>
        <v>0.33108431554633166</v>
      </c>
      <c r="X15" s="53">
        <f t="shared" ca="1" si="104"/>
        <v>0.31764419159315649</v>
      </c>
      <c r="Y15" s="53">
        <f t="shared" ca="1" si="104"/>
        <v>0.26433216777748192</v>
      </c>
      <c r="Z15" s="53">
        <f t="shared" ca="1" si="104"/>
        <v>0.25110066863380553</v>
      </c>
      <c r="AA15" s="53" t="e">
        <f t="shared" ca="1" si="104"/>
        <v>#N/A</v>
      </c>
      <c r="AB15" s="53" t="e">
        <f t="shared" ca="1" si="104"/>
        <v>#N/A</v>
      </c>
      <c r="AC15" s="53" t="e">
        <f t="shared" ca="1" si="104"/>
        <v>#N/A</v>
      </c>
      <c r="AD15" s="53" t="e">
        <f t="shared" ca="1" si="104"/>
        <v>#N/A</v>
      </c>
      <c r="AE15" s="53" t="e">
        <f t="shared" ca="1" si="104"/>
        <v>#N/A</v>
      </c>
      <c r="AF15" s="53" t="e">
        <f t="shared" ca="1" si="104"/>
        <v>#N/A</v>
      </c>
      <c r="AG15" s="53" t="e">
        <f t="shared" ca="1" si="104"/>
        <v>#N/A</v>
      </c>
      <c r="AH15" s="53" t="e">
        <f t="shared" ca="1" si="104"/>
        <v>#N/A</v>
      </c>
      <c r="AI15" s="53" t="e">
        <f t="shared" ca="1" si="104"/>
        <v>#N/A</v>
      </c>
      <c r="AJ15" s="53" t="e">
        <f t="shared" ca="1" si="104"/>
        <v>#N/A</v>
      </c>
      <c r="AK15" s="53" t="e">
        <f t="shared" ca="1" si="104"/>
        <v>#N/A</v>
      </c>
      <c r="AL15" s="53" t="e">
        <f t="shared" ca="1" si="104"/>
        <v>#N/A</v>
      </c>
      <c r="AM15" s="53" t="e">
        <f t="shared" ca="1" si="104"/>
        <v>#N/A</v>
      </c>
      <c r="AN15" s="53" t="e">
        <f t="shared" ca="1" si="104"/>
        <v>#N/A</v>
      </c>
      <c r="AO15" s="53" t="e">
        <f t="shared" ca="1" si="104"/>
        <v>#N/A</v>
      </c>
      <c r="AP15" s="53" t="e">
        <f t="shared" ca="1" si="104"/>
        <v>#N/A</v>
      </c>
      <c r="AQ15" s="53" t="e">
        <f t="shared" ca="1" si="104"/>
        <v>#N/A</v>
      </c>
      <c r="AR15" s="53" t="e">
        <f t="shared" ca="1" si="104"/>
        <v>#N/A</v>
      </c>
      <c r="AS15" s="53" t="e">
        <f t="shared" ca="1" si="104"/>
        <v>#N/A</v>
      </c>
      <c r="AT15" s="53" t="e">
        <f t="shared" ca="1" si="104"/>
        <v>#N/A</v>
      </c>
      <c r="AU15" s="53" t="e">
        <f t="shared" ca="1" si="104"/>
        <v>#N/A</v>
      </c>
      <c r="AV15" s="53" t="e">
        <f t="shared" ca="1" si="104"/>
        <v>#N/A</v>
      </c>
      <c r="AW15" s="53" t="e">
        <f t="shared" ca="1" si="104"/>
        <v>#N/A</v>
      </c>
      <c r="AX15" s="53" t="e">
        <f t="shared" ca="1" si="104"/>
        <v>#N/A</v>
      </c>
      <c r="AY15" s="53" t="e">
        <f t="shared" ca="1" si="104"/>
        <v>#N/A</v>
      </c>
      <c r="AZ15" s="53" t="e">
        <f t="shared" ca="1" si="104"/>
        <v>#N/A</v>
      </c>
      <c r="BA15" s="53" t="e">
        <f t="shared" ca="1" si="104"/>
        <v>#N/A</v>
      </c>
      <c r="BB15" s="53" t="e">
        <f t="shared" ca="1" si="104"/>
        <v>#N/A</v>
      </c>
      <c r="BC15" s="53" t="e">
        <f t="shared" ca="1" si="104"/>
        <v>#N/A</v>
      </c>
      <c r="BD15" s="53" t="e">
        <f t="shared" ca="1" si="104"/>
        <v>#N/A</v>
      </c>
      <c r="BE15" s="53" t="e">
        <f t="shared" ca="1" si="104"/>
        <v>#N/A</v>
      </c>
      <c r="BF15" s="53" t="e">
        <f t="shared" ca="1" si="104"/>
        <v>#N/A</v>
      </c>
      <c r="BG15" s="53" t="e">
        <f t="shared" ca="1" si="104"/>
        <v>#N/A</v>
      </c>
      <c r="BH15" s="53" t="e">
        <f t="shared" ca="1" si="104"/>
        <v>#N/A</v>
      </c>
      <c r="BI15" s="53" t="e">
        <f t="shared" ca="1" si="104"/>
        <v>#N/A</v>
      </c>
      <c r="BJ15" s="53" t="e">
        <f t="shared" ca="1" si="104"/>
        <v>#N/A</v>
      </c>
      <c r="BK15" s="53" t="e">
        <f t="shared" ca="1" si="104"/>
        <v>#N/A</v>
      </c>
      <c r="BL15" s="53" t="e">
        <f t="shared" ca="1" si="104"/>
        <v>#N/A</v>
      </c>
      <c r="BM15" s="53" t="e">
        <f t="shared" ca="1" si="104"/>
        <v>#N/A</v>
      </c>
      <c r="BN15" s="53" t="e">
        <f t="shared" ca="1" si="104"/>
        <v>#N/A</v>
      </c>
      <c r="BO15" s="53" t="e">
        <f t="shared" ca="1" si="104"/>
        <v>#N/A</v>
      </c>
      <c r="BP15" s="53" t="e">
        <f t="shared" ca="1" si="104"/>
        <v>#N/A</v>
      </c>
      <c r="BQ15" s="53" t="e">
        <f t="shared" ca="1" si="104"/>
        <v>#N/A</v>
      </c>
      <c r="BR15" s="53" t="e">
        <f t="shared" ca="1" si="104"/>
        <v>#N/A</v>
      </c>
      <c r="BS15" s="53" t="e">
        <f t="shared" ca="1" si="104"/>
        <v>#N/A</v>
      </c>
      <c r="BT15" s="53" t="e">
        <f t="shared" ref="BT15:EE15" ca="1" si="105">IF(ISNA(BS6),NA(),IF(BT4-$C$9&lt;$C$10,(BT6/OFFSET(BT6,0,-BT4+$C$9))^(1/(BT4-$C$9)),(BT6/OFFSET(BT6,0,-$C$10))^(1/$C$10))-1)</f>
        <v>#N/A</v>
      </c>
      <c r="BU15" s="53" t="e">
        <f t="shared" ca="1" si="105"/>
        <v>#N/A</v>
      </c>
      <c r="BV15" s="53" t="e">
        <f t="shared" ca="1" si="105"/>
        <v>#N/A</v>
      </c>
      <c r="BW15" s="53" t="e">
        <f t="shared" ca="1" si="105"/>
        <v>#N/A</v>
      </c>
      <c r="BX15" s="53" t="e">
        <f t="shared" ca="1" si="105"/>
        <v>#N/A</v>
      </c>
      <c r="BY15" s="53" t="e">
        <f t="shared" ca="1" si="105"/>
        <v>#N/A</v>
      </c>
      <c r="BZ15" s="53" t="e">
        <f t="shared" ca="1" si="105"/>
        <v>#N/A</v>
      </c>
      <c r="CA15" s="53" t="e">
        <f t="shared" ca="1" si="105"/>
        <v>#N/A</v>
      </c>
      <c r="CB15" s="53" t="e">
        <f t="shared" ca="1" si="105"/>
        <v>#N/A</v>
      </c>
      <c r="CC15" s="53" t="e">
        <f t="shared" ca="1" si="105"/>
        <v>#N/A</v>
      </c>
      <c r="CD15" s="53" t="e">
        <f t="shared" ca="1" si="105"/>
        <v>#N/A</v>
      </c>
      <c r="CE15" s="53" t="e">
        <f t="shared" ca="1" si="105"/>
        <v>#N/A</v>
      </c>
      <c r="CF15" s="53" t="e">
        <f t="shared" ca="1" si="105"/>
        <v>#N/A</v>
      </c>
      <c r="CG15" s="53" t="e">
        <f t="shared" ca="1" si="105"/>
        <v>#N/A</v>
      </c>
      <c r="CH15" s="53" t="e">
        <f t="shared" ca="1" si="105"/>
        <v>#N/A</v>
      </c>
      <c r="CI15" s="53" t="e">
        <f t="shared" ca="1" si="105"/>
        <v>#N/A</v>
      </c>
      <c r="CJ15" s="53" t="e">
        <f t="shared" ca="1" si="105"/>
        <v>#N/A</v>
      </c>
      <c r="CK15" s="53" t="e">
        <f t="shared" ca="1" si="105"/>
        <v>#N/A</v>
      </c>
      <c r="CL15" s="53" t="e">
        <f t="shared" ca="1" si="105"/>
        <v>#N/A</v>
      </c>
      <c r="CM15" s="53" t="e">
        <f t="shared" ca="1" si="105"/>
        <v>#N/A</v>
      </c>
      <c r="CN15" s="53" t="e">
        <f t="shared" ca="1" si="105"/>
        <v>#N/A</v>
      </c>
      <c r="CO15" s="53" t="e">
        <f t="shared" ca="1" si="105"/>
        <v>#N/A</v>
      </c>
      <c r="CP15" s="53" t="e">
        <f t="shared" ca="1" si="105"/>
        <v>#N/A</v>
      </c>
      <c r="CQ15" s="53" t="e">
        <f t="shared" ca="1" si="105"/>
        <v>#N/A</v>
      </c>
      <c r="CR15" s="53" t="e">
        <f t="shared" ca="1" si="105"/>
        <v>#N/A</v>
      </c>
      <c r="CS15" s="53" t="e">
        <f t="shared" ca="1" si="105"/>
        <v>#N/A</v>
      </c>
      <c r="CT15" s="53" t="e">
        <f t="shared" ca="1" si="105"/>
        <v>#N/A</v>
      </c>
      <c r="CU15" s="53" t="e">
        <f t="shared" ca="1" si="105"/>
        <v>#N/A</v>
      </c>
      <c r="CV15" s="53" t="e">
        <f t="shared" ca="1" si="105"/>
        <v>#N/A</v>
      </c>
      <c r="CW15" s="53" t="e">
        <f t="shared" ca="1" si="105"/>
        <v>#N/A</v>
      </c>
      <c r="CX15" s="53" t="e">
        <f t="shared" ca="1" si="105"/>
        <v>#N/A</v>
      </c>
      <c r="CY15" s="53" t="e">
        <f t="shared" ca="1" si="105"/>
        <v>#N/A</v>
      </c>
      <c r="CZ15" s="53" t="e">
        <f t="shared" ca="1" si="105"/>
        <v>#N/A</v>
      </c>
      <c r="DA15" s="53" t="e">
        <f t="shared" ca="1" si="105"/>
        <v>#N/A</v>
      </c>
      <c r="DB15" s="53" t="e">
        <f t="shared" ca="1" si="105"/>
        <v>#N/A</v>
      </c>
      <c r="DC15" s="53" t="e">
        <f t="shared" ca="1" si="105"/>
        <v>#N/A</v>
      </c>
      <c r="DD15" s="53" t="e">
        <f t="shared" ca="1" si="105"/>
        <v>#N/A</v>
      </c>
      <c r="DE15" s="53" t="e">
        <f t="shared" ca="1" si="105"/>
        <v>#N/A</v>
      </c>
      <c r="DF15" s="53" t="e">
        <f t="shared" ca="1" si="105"/>
        <v>#N/A</v>
      </c>
      <c r="DG15" s="53" t="e">
        <f t="shared" ca="1" si="105"/>
        <v>#N/A</v>
      </c>
      <c r="DH15" s="53" t="e">
        <f t="shared" ca="1" si="105"/>
        <v>#N/A</v>
      </c>
      <c r="DI15" s="53" t="e">
        <f t="shared" ca="1" si="105"/>
        <v>#N/A</v>
      </c>
      <c r="DJ15" s="53" t="e">
        <f t="shared" ca="1" si="105"/>
        <v>#N/A</v>
      </c>
      <c r="DK15" s="53" t="e">
        <f t="shared" ca="1" si="105"/>
        <v>#N/A</v>
      </c>
      <c r="DL15" s="53" t="e">
        <f t="shared" ca="1" si="105"/>
        <v>#N/A</v>
      </c>
      <c r="DM15" s="53" t="e">
        <f t="shared" ca="1" si="105"/>
        <v>#N/A</v>
      </c>
      <c r="DN15" s="53" t="e">
        <f t="shared" ca="1" si="105"/>
        <v>#N/A</v>
      </c>
      <c r="DO15" s="53" t="e">
        <f t="shared" ca="1" si="105"/>
        <v>#N/A</v>
      </c>
      <c r="DP15" s="53" t="e">
        <f t="shared" ca="1" si="105"/>
        <v>#N/A</v>
      </c>
      <c r="DQ15" s="53" t="e">
        <f t="shared" ca="1" si="105"/>
        <v>#N/A</v>
      </c>
      <c r="DR15" s="53" t="e">
        <f t="shared" ca="1" si="105"/>
        <v>#N/A</v>
      </c>
      <c r="DS15" s="53" t="e">
        <f t="shared" ca="1" si="105"/>
        <v>#N/A</v>
      </c>
      <c r="DT15" s="53" t="e">
        <f t="shared" ca="1" si="105"/>
        <v>#N/A</v>
      </c>
      <c r="DU15" s="53" t="e">
        <f t="shared" ca="1" si="105"/>
        <v>#N/A</v>
      </c>
      <c r="DV15" s="53" t="e">
        <f t="shared" ca="1" si="105"/>
        <v>#N/A</v>
      </c>
      <c r="DW15" s="53" t="e">
        <f t="shared" ca="1" si="105"/>
        <v>#N/A</v>
      </c>
      <c r="DX15" s="53" t="e">
        <f t="shared" ca="1" si="105"/>
        <v>#N/A</v>
      </c>
      <c r="DY15" s="53" t="e">
        <f t="shared" ca="1" si="105"/>
        <v>#N/A</v>
      </c>
      <c r="DZ15" s="53" t="e">
        <f t="shared" ca="1" si="105"/>
        <v>#N/A</v>
      </c>
      <c r="EA15" s="53" t="e">
        <f t="shared" ca="1" si="105"/>
        <v>#N/A</v>
      </c>
      <c r="EB15" s="53" t="e">
        <f t="shared" ca="1" si="105"/>
        <v>#N/A</v>
      </c>
      <c r="EC15" s="53" t="e">
        <f t="shared" ca="1" si="105"/>
        <v>#N/A</v>
      </c>
      <c r="ED15" s="53" t="e">
        <f t="shared" ca="1" si="105"/>
        <v>#N/A</v>
      </c>
      <c r="EE15" s="53" t="e">
        <f t="shared" ca="1" si="105"/>
        <v>#N/A</v>
      </c>
      <c r="EF15" s="53" t="e">
        <f t="shared" ref="EF15:GQ15" ca="1" si="106">IF(ISNA(EE6),NA(),IF(EF4-$C$9&lt;$C$10,(EF6/OFFSET(EF6,0,-EF4+$C$9))^(1/(EF4-$C$9)),(EF6/OFFSET(EF6,0,-$C$10))^(1/$C$10))-1)</f>
        <v>#N/A</v>
      </c>
      <c r="EG15" s="53" t="e">
        <f t="shared" ca="1" si="106"/>
        <v>#N/A</v>
      </c>
      <c r="EH15" s="53" t="e">
        <f t="shared" ca="1" si="106"/>
        <v>#N/A</v>
      </c>
      <c r="EI15" s="53" t="e">
        <f t="shared" ca="1" si="106"/>
        <v>#N/A</v>
      </c>
      <c r="EJ15" s="53" t="e">
        <f t="shared" ca="1" si="106"/>
        <v>#N/A</v>
      </c>
      <c r="EK15" s="53" t="e">
        <f t="shared" ca="1" si="106"/>
        <v>#N/A</v>
      </c>
      <c r="EL15" s="53" t="e">
        <f t="shared" ca="1" si="106"/>
        <v>#N/A</v>
      </c>
      <c r="EM15" s="53" t="e">
        <f t="shared" ca="1" si="106"/>
        <v>#N/A</v>
      </c>
      <c r="EN15" s="53" t="e">
        <f t="shared" ca="1" si="106"/>
        <v>#N/A</v>
      </c>
      <c r="EO15" s="53" t="e">
        <f t="shared" ca="1" si="106"/>
        <v>#N/A</v>
      </c>
      <c r="EP15" s="53" t="e">
        <f t="shared" ca="1" si="106"/>
        <v>#N/A</v>
      </c>
      <c r="EQ15" s="53" t="e">
        <f t="shared" ca="1" si="106"/>
        <v>#N/A</v>
      </c>
      <c r="ER15" s="53" t="e">
        <f t="shared" ca="1" si="106"/>
        <v>#N/A</v>
      </c>
      <c r="ES15" s="53" t="e">
        <f t="shared" ca="1" si="106"/>
        <v>#N/A</v>
      </c>
      <c r="ET15" s="53" t="e">
        <f t="shared" ca="1" si="106"/>
        <v>#N/A</v>
      </c>
      <c r="EU15" s="53" t="e">
        <f t="shared" ca="1" si="106"/>
        <v>#N/A</v>
      </c>
      <c r="EV15" s="53" t="e">
        <f t="shared" ca="1" si="106"/>
        <v>#N/A</v>
      </c>
      <c r="EW15" s="53" t="e">
        <f t="shared" ca="1" si="106"/>
        <v>#N/A</v>
      </c>
      <c r="EX15" s="53" t="e">
        <f t="shared" ca="1" si="106"/>
        <v>#N/A</v>
      </c>
      <c r="EY15" s="53" t="e">
        <f t="shared" ca="1" si="106"/>
        <v>#N/A</v>
      </c>
      <c r="EZ15" s="53" t="e">
        <f t="shared" ca="1" si="106"/>
        <v>#N/A</v>
      </c>
      <c r="FA15" s="53" t="e">
        <f t="shared" ca="1" si="106"/>
        <v>#N/A</v>
      </c>
      <c r="FB15" s="53" t="e">
        <f t="shared" ca="1" si="106"/>
        <v>#N/A</v>
      </c>
      <c r="FC15" s="53" t="e">
        <f t="shared" ca="1" si="106"/>
        <v>#N/A</v>
      </c>
      <c r="FD15" s="53" t="e">
        <f t="shared" ca="1" si="106"/>
        <v>#N/A</v>
      </c>
      <c r="FE15" s="53" t="e">
        <f t="shared" ca="1" si="106"/>
        <v>#N/A</v>
      </c>
      <c r="FF15" s="53" t="e">
        <f t="shared" ca="1" si="106"/>
        <v>#N/A</v>
      </c>
      <c r="FG15" s="53" t="e">
        <f t="shared" ca="1" si="106"/>
        <v>#N/A</v>
      </c>
      <c r="FH15" s="53" t="e">
        <f t="shared" ca="1" si="106"/>
        <v>#N/A</v>
      </c>
      <c r="FI15" s="53" t="e">
        <f t="shared" ca="1" si="106"/>
        <v>#N/A</v>
      </c>
      <c r="FJ15" s="53" t="e">
        <f t="shared" ca="1" si="106"/>
        <v>#N/A</v>
      </c>
      <c r="FK15" s="53" t="e">
        <f t="shared" ca="1" si="106"/>
        <v>#N/A</v>
      </c>
      <c r="FL15" s="53" t="e">
        <f t="shared" ca="1" si="106"/>
        <v>#N/A</v>
      </c>
      <c r="FM15" s="53" t="e">
        <f t="shared" ca="1" si="106"/>
        <v>#N/A</v>
      </c>
      <c r="FN15" s="53" t="e">
        <f t="shared" ca="1" si="106"/>
        <v>#N/A</v>
      </c>
      <c r="FO15" s="53" t="e">
        <f t="shared" ca="1" si="106"/>
        <v>#N/A</v>
      </c>
      <c r="FP15" s="53" t="e">
        <f t="shared" ca="1" si="106"/>
        <v>#N/A</v>
      </c>
      <c r="FQ15" s="53" t="e">
        <f t="shared" ca="1" si="106"/>
        <v>#N/A</v>
      </c>
      <c r="FR15" s="53" t="e">
        <f t="shared" ca="1" si="106"/>
        <v>#N/A</v>
      </c>
      <c r="FS15" s="53" t="e">
        <f t="shared" ca="1" si="106"/>
        <v>#N/A</v>
      </c>
      <c r="FT15" s="53" t="e">
        <f t="shared" ca="1" si="106"/>
        <v>#N/A</v>
      </c>
      <c r="FU15" s="53" t="e">
        <f t="shared" ca="1" si="106"/>
        <v>#N/A</v>
      </c>
      <c r="FV15" s="53" t="e">
        <f t="shared" ca="1" si="106"/>
        <v>#N/A</v>
      </c>
      <c r="FW15" s="53" t="e">
        <f t="shared" ca="1" si="106"/>
        <v>#N/A</v>
      </c>
      <c r="FX15" s="53" t="e">
        <f t="shared" ca="1" si="106"/>
        <v>#N/A</v>
      </c>
      <c r="FY15" s="53" t="e">
        <f t="shared" ca="1" si="106"/>
        <v>#N/A</v>
      </c>
      <c r="FZ15" s="53" t="e">
        <f t="shared" ca="1" si="106"/>
        <v>#N/A</v>
      </c>
      <c r="GA15" s="53" t="e">
        <f t="shared" ca="1" si="106"/>
        <v>#N/A</v>
      </c>
      <c r="GB15" s="53" t="e">
        <f t="shared" ca="1" si="106"/>
        <v>#N/A</v>
      </c>
      <c r="GC15" s="53" t="e">
        <f t="shared" ca="1" si="106"/>
        <v>#N/A</v>
      </c>
      <c r="GD15" s="53" t="e">
        <f t="shared" ca="1" si="106"/>
        <v>#N/A</v>
      </c>
      <c r="GE15" s="53" t="e">
        <f t="shared" ca="1" si="106"/>
        <v>#N/A</v>
      </c>
      <c r="GF15" s="53" t="e">
        <f t="shared" ca="1" si="106"/>
        <v>#N/A</v>
      </c>
      <c r="GG15" s="53" t="e">
        <f t="shared" ca="1" si="106"/>
        <v>#N/A</v>
      </c>
      <c r="GH15" s="53" t="e">
        <f t="shared" ca="1" si="106"/>
        <v>#N/A</v>
      </c>
      <c r="GI15" s="53" t="e">
        <f t="shared" ca="1" si="106"/>
        <v>#N/A</v>
      </c>
      <c r="GJ15" s="53" t="e">
        <f t="shared" ca="1" si="106"/>
        <v>#N/A</v>
      </c>
      <c r="GK15" s="53" t="e">
        <f t="shared" ca="1" si="106"/>
        <v>#N/A</v>
      </c>
      <c r="GL15" s="53" t="e">
        <f t="shared" ca="1" si="106"/>
        <v>#N/A</v>
      </c>
      <c r="GM15" s="53" t="e">
        <f t="shared" ca="1" si="106"/>
        <v>#N/A</v>
      </c>
      <c r="GN15" s="53" t="e">
        <f t="shared" ca="1" si="106"/>
        <v>#N/A</v>
      </c>
      <c r="GO15" s="53" t="e">
        <f t="shared" ca="1" si="106"/>
        <v>#N/A</v>
      </c>
      <c r="GP15" s="53" t="e">
        <f t="shared" ca="1" si="106"/>
        <v>#N/A</v>
      </c>
      <c r="GQ15" s="53" t="e">
        <f t="shared" ca="1" si="106"/>
        <v>#N/A</v>
      </c>
      <c r="GR15" s="53" t="e">
        <f t="shared" ref="GR15:IN15" ca="1" si="107">IF(ISNA(GQ6),NA(),IF(GR4-$C$9&lt;$C$10,(GR6/OFFSET(GR6,0,-GR4+$C$9))^(1/(GR4-$C$9)),(GR6/OFFSET(GR6,0,-$C$10))^(1/$C$10))-1)</f>
        <v>#N/A</v>
      </c>
      <c r="GS15" s="53" t="e">
        <f t="shared" ca="1" si="107"/>
        <v>#N/A</v>
      </c>
      <c r="GT15" s="53" t="e">
        <f t="shared" ca="1" si="107"/>
        <v>#N/A</v>
      </c>
      <c r="GU15" s="53" t="e">
        <f t="shared" ca="1" si="107"/>
        <v>#N/A</v>
      </c>
      <c r="GV15" s="53" t="e">
        <f t="shared" ca="1" si="107"/>
        <v>#N/A</v>
      </c>
      <c r="GW15" s="53" t="e">
        <f t="shared" ca="1" si="107"/>
        <v>#N/A</v>
      </c>
      <c r="GX15" s="53" t="e">
        <f t="shared" ca="1" si="107"/>
        <v>#N/A</v>
      </c>
      <c r="GY15" s="53" t="e">
        <f t="shared" ca="1" si="107"/>
        <v>#N/A</v>
      </c>
      <c r="GZ15" s="53" t="e">
        <f t="shared" ca="1" si="107"/>
        <v>#N/A</v>
      </c>
      <c r="HA15" s="53" t="e">
        <f t="shared" ca="1" si="107"/>
        <v>#N/A</v>
      </c>
      <c r="HB15" s="53" t="e">
        <f t="shared" ca="1" si="107"/>
        <v>#N/A</v>
      </c>
      <c r="HC15" s="53" t="e">
        <f t="shared" ca="1" si="107"/>
        <v>#N/A</v>
      </c>
      <c r="HD15" s="53" t="e">
        <f t="shared" ca="1" si="107"/>
        <v>#N/A</v>
      </c>
      <c r="HE15" s="53" t="e">
        <f t="shared" ca="1" si="107"/>
        <v>#N/A</v>
      </c>
      <c r="HF15" s="53" t="e">
        <f t="shared" ca="1" si="107"/>
        <v>#N/A</v>
      </c>
      <c r="HG15" s="53" t="e">
        <f t="shared" ca="1" si="107"/>
        <v>#N/A</v>
      </c>
      <c r="HH15" s="53" t="e">
        <f t="shared" ca="1" si="107"/>
        <v>#N/A</v>
      </c>
      <c r="HI15" s="53" t="e">
        <f t="shared" ca="1" si="107"/>
        <v>#N/A</v>
      </c>
      <c r="HJ15" s="53" t="e">
        <f t="shared" ca="1" si="107"/>
        <v>#N/A</v>
      </c>
      <c r="HK15" s="53" t="e">
        <f t="shared" ca="1" si="107"/>
        <v>#N/A</v>
      </c>
      <c r="HL15" s="53" t="e">
        <f t="shared" ca="1" si="107"/>
        <v>#N/A</v>
      </c>
      <c r="HM15" s="53" t="e">
        <f t="shared" ca="1" si="107"/>
        <v>#N/A</v>
      </c>
      <c r="HN15" s="53" t="e">
        <f t="shared" ca="1" si="107"/>
        <v>#N/A</v>
      </c>
      <c r="HO15" s="53" t="e">
        <f t="shared" ca="1" si="107"/>
        <v>#N/A</v>
      </c>
      <c r="HP15" s="53" t="e">
        <f t="shared" ca="1" si="107"/>
        <v>#N/A</v>
      </c>
      <c r="HQ15" s="53" t="e">
        <f t="shared" ca="1" si="107"/>
        <v>#N/A</v>
      </c>
      <c r="HR15" s="53" t="e">
        <f t="shared" ca="1" si="107"/>
        <v>#N/A</v>
      </c>
      <c r="HS15" s="53" t="e">
        <f t="shared" ca="1" si="107"/>
        <v>#N/A</v>
      </c>
      <c r="HT15" s="53" t="e">
        <f t="shared" ca="1" si="107"/>
        <v>#N/A</v>
      </c>
      <c r="HU15" s="53" t="e">
        <f t="shared" ca="1" si="107"/>
        <v>#N/A</v>
      </c>
      <c r="HV15" s="53" t="e">
        <f t="shared" ca="1" si="107"/>
        <v>#N/A</v>
      </c>
      <c r="HW15" s="53" t="e">
        <f t="shared" ca="1" si="107"/>
        <v>#N/A</v>
      </c>
      <c r="HX15" s="53" t="e">
        <f t="shared" ca="1" si="107"/>
        <v>#N/A</v>
      </c>
      <c r="HY15" s="53" t="e">
        <f t="shared" ca="1" si="107"/>
        <v>#N/A</v>
      </c>
      <c r="HZ15" s="53" t="e">
        <f t="shared" ca="1" si="107"/>
        <v>#N/A</v>
      </c>
      <c r="IA15" s="53" t="e">
        <f t="shared" ca="1" si="107"/>
        <v>#N/A</v>
      </c>
      <c r="IB15" s="53" t="e">
        <f t="shared" ca="1" si="107"/>
        <v>#N/A</v>
      </c>
      <c r="IC15" s="53" t="e">
        <f t="shared" ca="1" si="107"/>
        <v>#N/A</v>
      </c>
      <c r="ID15" s="53" t="e">
        <f t="shared" ca="1" si="107"/>
        <v>#N/A</v>
      </c>
      <c r="IE15" s="53" t="e">
        <f t="shared" ca="1" si="107"/>
        <v>#N/A</v>
      </c>
      <c r="IF15" s="53" t="e">
        <f t="shared" ca="1" si="107"/>
        <v>#N/A</v>
      </c>
      <c r="IG15" s="53" t="e">
        <f t="shared" ca="1" si="107"/>
        <v>#N/A</v>
      </c>
      <c r="IH15" s="53" t="e">
        <f t="shared" ca="1" si="107"/>
        <v>#N/A</v>
      </c>
      <c r="II15" s="53" t="e">
        <f t="shared" ca="1" si="107"/>
        <v>#N/A</v>
      </c>
      <c r="IJ15" s="53" t="e">
        <f t="shared" ca="1" si="107"/>
        <v>#N/A</v>
      </c>
      <c r="IK15" s="53" t="e">
        <f t="shared" ca="1" si="107"/>
        <v>#N/A</v>
      </c>
      <c r="IL15" s="53" t="e">
        <f t="shared" ca="1" si="107"/>
        <v>#N/A</v>
      </c>
      <c r="IM15" s="53" t="e">
        <f t="shared" ca="1" si="107"/>
        <v>#N/A</v>
      </c>
      <c r="IN15" s="53" t="e">
        <f t="shared" ca="1" si="107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4480.4767259999999</v>
      </c>
      <c r="E16" s="93" t="s">
        <v>587</v>
      </c>
      <c r="F16" s="19" t="s">
        <v>571</v>
      </c>
      <c r="G16" s="94" t="e">
        <f>IFERROR(AVERAGE(D13:G13),NA())</f>
        <v>#N/A</v>
      </c>
      <c r="H16" s="94">
        <f t="shared" ref="H16" ca="1" si="108">IFERROR(AVERAGE(D13:H13),NA())</f>
        <v>0.4137931034482758</v>
      </c>
      <c r="I16" s="94">
        <f ca="1">IFERROR(AVERAGE(E13:I13),NA())</f>
        <v>0.37481921914542882</v>
      </c>
      <c r="J16" s="94">
        <f t="shared" ref="J16:BS16" ca="1" si="109">IFERROR(AVERAGE(F14:J14),NA())</f>
        <v>0.37380163526710092</v>
      </c>
      <c r="K16" s="94">
        <f t="shared" ca="1" si="109"/>
        <v>0.35719566939322139</v>
      </c>
      <c r="L16" s="94">
        <f t="shared" ca="1" si="109"/>
        <v>0.32853703562203884</v>
      </c>
      <c r="M16" s="94">
        <f t="shared" ca="1" si="109"/>
        <v>0.29148894179801577</v>
      </c>
      <c r="N16" s="94">
        <f t="shared" ca="1" si="109"/>
        <v>0.27092740229710122</v>
      </c>
      <c r="O16" s="94">
        <f t="shared" ca="1" si="109"/>
        <v>0.25249422548401046</v>
      </c>
      <c r="P16" s="94">
        <f t="shared" ca="1" si="109"/>
        <v>0.2520574333866375</v>
      </c>
      <c r="Q16" s="94">
        <f ca="1">IFERROR(AVERAGE(M14:Q14),NA())</f>
        <v>0.25532370547834543</v>
      </c>
      <c r="R16" s="94">
        <f t="shared" ca="1" si="109"/>
        <v>0.26475979781118097</v>
      </c>
      <c r="S16" s="94">
        <f t="shared" ca="1" si="109"/>
        <v>0.27243145348177999</v>
      </c>
      <c r="T16" s="94">
        <f t="shared" ca="1" si="109"/>
        <v>0.27836227063449409</v>
      </c>
      <c r="U16" s="94">
        <f t="shared" ca="1" si="109"/>
        <v>0.25840029551195004</v>
      </c>
      <c r="V16" s="94">
        <f t="shared" ca="1" si="109"/>
        <v>0.2495518993783882</v>
      </c>
      <c r="W16" s="94">
        <f t="shared" ca="1" si="109"/>
        <v>0.24783515960581354</v>
      </c>
      <c r="X16" s="94">
        <f t="shared" ca="1" si="109"/>
        <v>0.24154747219611666</v>
      </c>
      <c r="Y16" s="94">
        <f t="shared" ca="1" si="109"/>
        <v>0.22879349697650034</v>
      </c>
      <c r="Z16" s="94">
        <f t="shared" ca="1" si="109"/>
        <v>0.24028186245558669</v>
      </c>
      <c r="AA16" s="94" t="e">
        <f t="shared" ca="1" si="109"/>
        <v>#N/A</v>
      </c>
      <c r="AB16" s="94" t="e">
        <f t="shared" ca="1" si="109"/>
        <v>#N/A</v>
      </c>
      <c r="AC16" s="94" t="e">
        <f t="shared" ca="1" si="109"/>
        <v>#N/A</v>
      </c>
      <c r="AD16" s="94" t="e">
        <f t="shared" ca="1" si="109"/>
        <v>#N/A</v>
      </c>
      <c r="AE16" s="94" t="e">
        <f t="shared" ca="1" si="109"/>
        <v>#N/A</v>
      </c>
      <c r="AF16" s="94" t="e">
        <f t="shared" ca="1" si="109"/>
        <v>#N/A</v>
      </c>
      <c r="AG16" s="94" t="e">
        <f t="shared" ca="1" si="109"/>
        <v>#N/A</v>
      </c>
      <c r="AH16" s="94" t="e">
        <f t="shared" ca="1" si="109"/>
        <v>#N/A</v>
      </c>
      <c r="AI16" s="94" t="e">
        <f t="shared" ca="1" si="109"/>
        <v>#N/A</v>
      </c>
      <c r="AJ16" s="94" t="e">
        <f t="shared" ca="1" si="109"/>
        <v>#N/A</v>
      </c>
      <c r="AK16" s="94" t="e">
        <f t="shared" ca="1" si="109"/>
        <v>#N/A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t="shared" ca="1" si="109"/>
        <v>#N/A</v>
      </c>
      <c r="BS16" s="94" t="e">
        <f t="shared" ca="1" si="109"/>
        <v>#N/A</v>
      </c>
      <c r="BT16" s="94" t="e">
        <f t="shared" ref="BT16:EE16" ca="1" si="110">IFERROR(AVERAGE(BP14:BT14),NA())</f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ca="1" si="110"/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ref="EF16:GQ16" ca="1" si="111">IFERROR(AVERAGE(EB14:EF14),NA())</f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ca="1" si="111"/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ref="GR16:IN16" ca="1" si="112">IFERROR(AVERAGE(GN14:GR14),NA())</f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ca="1" si="112"/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587</v>
      </c>
      <c r="F17" s="19" t="s">
        <v>570</v>
      </c>
      <c r="G17" s="94" t="e">
        <f t="shared" ref="G17:H17" ca="1" si="113">IFERROR(AVERAGE(C15:G15),NA())</f>
        <v>#N/A</v>
      </c>
      <c r="H17" s="94" t="e">
        <f t="shared" ca="1" si="113"/>
        <v>#N/A</v>
      </c>
      <c r="I17" s="94" t="e">
        <f ca="1">IFERROR(AVERAGE(E15:I15),NA())</f>
        <v>#N/A</v>
      </c>
      <c r="J17" s="94" t="e">
        <f ca="1">IFERROR(AVERAGE(F15:J15),NA())</f>
        <v>#N/A</v>
      </c>
      <c r="K17" s="94" t="e">
        <f t="shared" ref="K17:BS17" ca="1" si="114">IFERROR(AVERAGE(G15:K15),NA())</f>
        <v>#N/A</v>
      </c>
      <c r="L17" s="94" t="e">
        <f t="shared" ca="1" si="114"/>
        <v>#N/A</v>
      </c>
      <c r="M17" s="94" t="e">
        <f t="shared" ca="1" si="114"/>
        <v>#N/A</v>
      </c>
      <c r="N17" s="94" t="e">
        <f t="shared" ca="1" si="114"/>
        <v>#N/A</v>
      </c>
      <c r="O17" s="94" t="e">
        <f t="shared" ca="1" si="114"/>
        <v>#N/A</v>
      </c>
      <c r="P17" s="94" t="e">
        <f t="shared" ca="1" si="114"/>
        <v>#N/A</v>
      </c>
      <c r="Q17" s="94" t="e">
        <f t="shared" ca="1" si="114"/>
        <v>#N/A</v>
      </c>
      <c r="R17" s="94">
        <f t="shared" ca="1" si="114"/>
        <v>0.34481859880010174</v>
      </c>
      <c r="S17" s="94">
        <f t="shared" ca="1" si="114"/>
        <v>0.39081175211318264</v>
      </c>
      <c r="T17" s="94">
        <f t="shared" ca="1" si="114"/>
        <v>0.46973364016517483</v>
      </c>
      <c r="U17" s="94">
        <f t="shared" ca="1" si="114"/>
        <v>0.48528980944776406</v>
      </c>
      <c r="V17" s="94">
        <f t="shared" ca="1" si="114"/>
        <v>0.47292465962078251</v>
      </c>
      <c r="W17" s="94">
        <f t="shared" ca="1" si="114"/>
        <v>0.44398689041113848</v>
      </c>
      <c r="X17" s="94">
        <f t="shared" ca="1" si="114"/>
        <v>0.41152257541668885</v>
      </c>
      <c r="Y17" s="94">
        <f t="shared" ca="1" si="114"/>
        <v>0.35094633292902155</v>
      </c>
      <c r="Z17" s="94">
        <f t="shared" ca="1" si="114"/>
        <v>0.30971787973508136</v>
      </c>
      <c r="AA17" s="94" t="e">
        <f t="shared" ca="1" si="114"/>
        <v>#N/A</v>
      </c>
      <c r="AB17" s="94" t="e">
        <f t="shared" ca="1" si="114"/>
        <v>#N/A</v>
      </c>
      <c r="AC17" s="94" t="e">
        <f t="shared" ca="1" si="114"/>
        <v>#N/A</v>
      </c>
      <c r="AD17" s="94" t="e">
        <f t="shared" ca="1" si="114"/>
        <v>#N/A</v>
      </c>
      <c r="AE17" s="94" t="e">
        <f t="shared" ca="1" si="114"/>
        <v>#N/A</v>
      </c>
      <c r="AF17" s="94" t="e">
        <f t="shared" ca="1" si="114"/>
        <v>#N/A</v>
      </c>
      <c r="AG17" s="94" t="e">
        <f t="shared" ca="1" si="114"/>
        <v>#N/A</v>
      </c>
      <c r="AH17" s="94" t="e">
        <f t="shared" ca="1" si="114"/>
        <v>#N/A</v>
      </c>
      <c r="AI17" s="94" t="e">
        <f t="shared" ca="1" si="114"/>
        <v>#N/A</v>
      </c>
      <c r="AJ17" s="94" t="e">
        <f t="shared" ca="1" si="114"/>
        <v>#N/A</v>
      </c>
      <c r="AK17" s="94" t="e">
        <f t="shared" ca="1" si="114"/>
        <v>#N/A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ref="BT17:EE17" ca="1" si="115">IFERROR(AVERAGE(BP15:BT15),NA())</f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ca="1" si="115"/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ref="EF17:GQ17" ca="1" si="116">IFERROR(AVERAGE(EB15:EF15),NA())</f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ca="1" si="116"/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ref="GR17:IN17" ca="1" si="117">IFERROR(AVERAGE(GN15:GR15),NA())</f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ca="1" si="117"/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67886011</v>
      </c>
      <c r="F19" s="19" t="s">
        <v>465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490</v>
      </c>
      <c r="C20" s="42">
        <v>0.4</v>
      </c>
      <c r="F20" s="19" t="s">
        <v>553</v>
      </c>
      <c r="G20" s="40">
        <f>G9*$C$15</f>
        <v>15.025722684958353</v>
      </c>
      <c r="H20" s="40">
        <f t="shared" ref="H20:BS20" ca="1" si="122">H9*$C$15</f>
        <v>21.24326310632043</v>
      </c>
      <c r="I20" s="40">
        <f t="shared" ca="1" si="122"/>
        <v>26.813143067123956</v>
      </c>
      <c r="J20" s="40">
        <f t="shared" ca="1" si="122"/>
        <v>35.491793238608523</v>
      </c>
      <c r="K20" s="40">
        <f t="shared" ca="1" si="122"/>
        <v>41.709333659970596</v>
      </c>
      <c r="L20" s="40">
        <f t="shared" ca="1" si="122"/>
        <v>49.740323370896618</v>
      </c>
      <c r="M20" s="40">
        <f t="shared" ca="1" si="122"/>
        <v>59.455230279274858</v>
      </c>
      <c r="N20" s="40">
        <f t="shared" ca="1" si="122"/>
        <v>76.164870161685442</v>
      </c>
      <c r="O20" s="40">
        <f t="shared" ca="1" si="122"/>
        <v>103.49614159725624</v>
      </c>
      <c r="P20" s="40">
        <f t="shared" ca="1" si="122"/>
        <v>146.50079617834393</v>
      </c>
      <c r="Q20" s="40">
        <f t="shared" ca="1" si="122"/>
        <v>172.0186183243508</v>
      </c>
      <c r="R20" s="40">
        <f t="shared" ca="1" si="122"/>
        <v>164.63528907398333</v>
      </c>
      <c r="S20" s="40">
        <f t="shared" ca="1" si="122"/>
        <v>218.26157520823125</v>
      </c>
      <c r="T20" s="40">
        <f t="shared" ca="1" si="122"/>
        <v>297.40568348848603</v>
      </c>
      <c r="U20" s="40">
        <f t="shared" ca="1" si="122"/>
        <v>290.79954679078878</v>
      </c>
      <c r="V20" s="40">
        <f t="shared" ca="1" si="122"/>
        <v>449.9944879960803</v>
      </c>
      <c r="W20" s="40">
        <f t="shared" ca="1" si="122"/>
        <v>569.29354483096517</v>
      </c>
      <c r="X20" s="40">
        <f t="shared" ca="1" si="122"/>
        <v>639.49993875551195</v>
      </c>
      <c r="Y20" s="40">
        <f t="shared" ca="1" si="122"/>
        <v>735.87181528662416</v>
      </c>
      <c r="Z20" s="40">
        <f t="shared" ca="1" si="122"/>
        <v>872.91676874081327</v>
      </c>
      <c r="AA20" s="40">
        <f t="shared" ca="1" si="122"/>
        <v>1087.5485622309911</v>
      </c>
      <c r="AB20" s="40">
        <f t="shared" ca="1" si="122"/>
        <v>1354.9537797479088</v>
      </c>
      <c r="AC20" s="40">
        <f t="shared" ca="1" si="122"/>
        <v>1688.108291446765</v>
      </c>
      <c r="AD20" s="40">
        <f t="shared" ca="1" si="122"/>
        <v>2103.1784598449617</v>
      </c>
      <c r="AE20" s="40">
        <f t="shared" ca="1" si="122"/>
        <v>2620.3056144963653</v>
      </c>
      <c r="AF20" s="40">
        <f t="shared" ca="1" si="122"/>
        <v>3264.5834124163248</v>
      </c>
      <c r="AG20" s="40">
        <f t="shared" ca="1" si="122"/>
        <v>4067.2755107889338</v>
      </c>
      <c r="AH20" s="40">
        <f t="shared" ca="1" si="122"/>
        <v>5067.3326396702669</v>
      </c>
      <c r="AI20" s="40">
        <f t="shared" ca="1" si="122"/>
        <v>6313.282690821914</v>
      </c>
      <c r="AJ20" s="40">
        <f t="shared" ca="1" si="122"/>
        <v>7865.5855394614737</v>
      </c>
      <c r="AK20" s="40">
        <f t="shared" ca="1" si="122"/>
        <v>9799.5668669370225</v>
      </c>
      <c r="AL20" s="40">
        <f t="shared" ca="1" si="122"/>
        <v>12209.07334842166</v>
      </c>
      <c r="AM20" s="40">
        <f t="shared" ca="1" si="122"/>
        <v>15211.026574048077</v>
      </c>
      <c r="AN20" s="40">
        <f t="shared" ca="1" si="122"/>
        <v>18951.096683050728</v>
      </c>
      <c r="AO20" s="40">
        <f t="shared" ca="1" si="122"/>
        <v>23610.77102469081</v>
      </c>
      <c r="AP20" s="40">
        <f t="shared" ca="1" si="122"/>
        <v>29416.160853580663</v>
      </c>
      <c r="AQ20" s="40">
        <f t="shared" ca="1" si="122"/>
        <v>36648.973405351251</v>
      </c>
      <c r="AR20" s="40">
        <f t="shared" ca="1" si="122"/>
        <v>45660.18177394654</v>
      </c>
      <c r="AS20" s="40">
        <f t="shared" ca="1" si="122"/>
        <v>56887.055922974985</v>
      </c>
      <c r="AT20" s="40">
        <f t="shared" ca="1" si="122"/>
        <v>70874.381262980562</v>
      </c>
      <c r="AU20" s="40">
        <f t="shared" ca="1" si="122"/>
        <v>88300.894428632542</v>
      </c>
      <c r="AV20" s="40">
        <f t="shared" ca="1" si="122"/>
        <v>110012.21905508333</v>
      </c>
      <c r="AW20" s="40">
        <f t="shared" ca="1" si="122"/>
        <v>137061.89976598026</v>
      </c>
      <c r="AX20" s="40">
        <f t="shared" ca="1" si="122"/>
        <v>170762.52555230664</v>
      </c>
      <c r="AY20" s="40">
        <f t="shared" ca="1" si="122"/>
        <v>212749.42331012292</v>
      </c>
      <c r="AZ20" s="40">
        <f t="shared" ca="1" si="122"/>
        <v>265060.01227374375</v>
      </c>
      <c r="BA20" s="40">
        <f t="shared" ca="1" si="122"/>
        <v>330232.67002770893</v>
      </c>
      <c r="BB20" s="40">
        <f t="shared" ca="1" si="122"/>
        <v>411429.90758260177</v>
      </c>
      <c r="BC20" s="40">
        <f t="shared" ca="1" si="122"/>
        <v>512591.83059999743</v>
      </c>
      <c r="BD20" s="40">
        <f t="shared" ca="1" si="122"/>
        <v>638627.33349083224</v>
      </c>
      <c r="BE20" s="40">
        <f t="shared" ca="1" si="122"/>
        <v>795652.30410367891</v>
      </c>
      <c r="BF20" s="40">
        <f t="shared" ca="1" si="122"/>
        <v>991286.39791391103</v>
      </c>
      <c r="BG20" s="40">
        <f t="shared" ca="1" si="122"/>
        <v>1235022.7827167721</v>
      </c>
      <c r="BH20" s="40">
        <f t="shared" ca="1" si="122"/>
        <v>1538688.7957297917</v>
      </c>
      <c r="BI20" s="40">
        <f t="shared" ca="1" si="122"/>
        <v>1917019.8665455314</v>
      </c>
      <c r="BJ20" s="40">
        <f t="shared" ca="1" si="122"/>
        <v>2388374.5556145618</v>
      </c>
      <c r="BK20" s="40">
        <f t="shared" ca="1" si="122"/>
        <v>2975625.4055865686</v>
      </c>
      <c r="BL20" s="40">
        <f t="shared" ca="1" si="122"/>
        <v>3517366.8119794219</v>
      </c>
      <c r="BM20" s="40">
        <f t="shared" ca="1" si="122"/>
        <v>3517366.8119794219</v>
      </c>
      <c r="BN20" s="40">
        <f t="shared" ca="1" si="122"/>
        <v>3517366.8119794219</v>
      </c>
      <c r="BO20" s="40">
        <f t="shared" ca="1" si="122"/>
        <v>3517366.8119794219</v>
      </c>
      <c r="BP20" s="40">
        <f t="shared" ca="1" si="122"/>
        <v>3517366.8119794219</v>
      </c>
      <c r="BQ20" s="40">
        <f t="shared" ca="1" si="122"/>
        <v>3517366.8119794219</v>
      </c>
      <c r="BR20" s="40">
        <f t="shared" ca="1" si="122"/>
        <v>3517366.8119794219</v>
      </c>
      <c r="BS20" s="40">
        <f t="shared" ca="1" si="122"/>
        <v>3517366.8119794219</v>
      </c>
      <c r="BT20" s="40">
        <f t="shared" ref="BT20:EE20" ca="1" si="123">BT9*$C$15</f>
        <v>3517366.8119794219</v>
      </c>
      <c r="BU20" s="40">
        <f t="shared" ca="1" si="123"/>
        <v>3517366.8119794219</v>
      </c>
      <c r="BV20" s="40">
        <f t="shared" ca="1" si="123"/>
        <v>3517366.8119794219</v>
      </c>
      <c r="BW20" s="40">
        <f t="shared" ca="1" si="123"/>
        <v>3517366.8119794219</v>
      </c>
      <c r="BX20" s="40">
        <f t="shared" ca="1" si="123"/>
        <v>3517366.8119794219</v>
      </c>
      <c r="BY20" s="40">
        <f t="shared" ca="1" si="123"/>
        <v>3517366.8119794219</v>
      </c>
      <c r="BZ20" s="40">
        <f t="shared" ca="1" si="123"/>
        <v>3517366.8119794219</v>
      </c>
      <c r="CA20" s="40">
        <f t="shared" ca="1" si="123"/>
        <v>3517366.8119794219</v>
      </c>
      <c r="CB20" s="40">
        <f t="shared" ca="1" si="123"/>
        <v>3517366.8119794219</v>
      </c>
      <c r="CC20" s="40">
        <f t="shared" ca="1" si="123"/>
        <v>3517366.8119794219</v>
      </c>
      <c r="CD20" s="40">
        <f t="shared" ca="1" si="123"/>
        <v>3517366.8119794219</v>
      </c>
      <c r="CE20" s="40">
        <f t="shared" ca="1" si="123"/>
        <v>3517366.8119794219</v>
      </c>
      <c r="CF20" s="40">
        <f t="shared" ca="1" si="123"/>
        <v>3517366.8119794219</v>
      </c>
      <c r="CG20" s="40">
        <f t="shared" ca="1" si="123"/>
        <v>3517366.8119794219</v>
      </c>
      <c r="CH20" s="40">
        <f t="shared" ca="1" si="123"/>
        <v>3517366.8119794219</v>
      </c>
      <c r="CI20" s="40">
        <f t="shared" ca="1" si="123"/>
        <v>3517366.8119794219</v>
      </c>
      <c r="CJ20" s="40">
        <f t="shared" ca="1" si="123"/>
        <v>3517366.8119794219</v>
      </c>
      <c r="CK20" s="40">
        <f t="shared" ca="1" si="123"/>
        <v>3517366.8119794219</v>
      </c>
      <c r="CL20" s="40">
        <f t="shared" ca="1" si="123"/>
        <v>3517366.8119794219</v>
      </c>
      <c r="CM20" s="40">
        <f t="shared" ca="1" si="123"/>
        <v>3517366.8119794219</v>
      </c>
      <c r="CN20" s="40">
        <f t="shared" ca="1" si="123"/>
        <v>3517366.8119794219</v>
      </c>
      <c r="CO20" s="40">
        <f t="shared" ca="1" si="123"/>
        <v>3517366.8119794219</v>
      </c>
      <c r="CP20" s="40">
        <f t="shared" ca="1" si="123"/>
        <v>3517366.8119794219</v>
      </c>
      <c r="CQ20" s="40">
        <f t="shared" ca="1" si="123"/>
        <v>3517366.8119794219</v>
      </c>
      <c r="CR20" s="40">
        <f t="shared" ca="1" si="123"/>
        <v>3517366.8119794219</v>
      </c>
      <c r="CS20" s="40">
        <f t="shared" ca="1" si="123"/>
        <v>3517366.8119794219</v>
      </c>
      <c r="CT20" s="40">
        <f t="shared" ca="1" si="123"/>
        <v>3517366.8119794219</v>
      </c>
      <c r="CU20" s="40">
        <f t="shared" ca="1" si="123"/>
        <v>3517366.8119794219</v>
      </c>
      <c r="CV20" s="40">
        <f t="shared" ca="1" si="123"/>
        <v>3517366.8119794219</v>
      </c>
      <c r="CW20" s="40">
        <f t="shared" ca="1" si="123"/>
        <v>3517366.8119794219</v>
      </c>
      <c r="CX20" s="40">
        <f t="shared" ca="1" si="123"/>
        <v>3517366.8119794219</v>
      </c>
      <c r="CY20" s="40">
        <f t="shared" ca="1" si="123"/>
        <v>3517366.8119794219</v>
      </c>
      <c r="CZ20" s="40">
        <f t="shared" ca="1" si="123"/>
        <v>3517366.8119794219</v>
      </c>
      <c r="DA20" s="40">
        <f t="shared" ca="1" si="123"/>
        <v>3517366.8119794219</v>
      </c>
      <c r="DB20" s="40">
        <f t="shared" ca="1" si="123"/>
        <v>3517366.8119794219</v>
      </c>
      <c r="DC20" s="40">
        <f t="shared" ca="1" si="123"/>
        <v>3517366.8119794219</v>
      </c>
      <c r="DD20" s="40">
        <f t="shared" ca="1" si="123"/>
        <v>3517366.8119794219</v>
      </c>
      <c r="DE20" s="40">
        <f t="shared" ca="1" si="123"/>
        <v>3517366.8119794219</v>
      </c>
      <c r="DF20" s="40">
        <f t="shared" ca="1" si="123"/>
        <v>3517366.8119794219</v>
      </c>
      <c r="DG20" s="40">
        <f t="shared" ca="1" si="123"/>
        <v>3517366.8119794219</v>
      </c>
      <c r="DH20" s="40">
        <f t="shared" ca="1" si="123"/>
        <v>3517366.8119794219</v>
      </c>
      <c r="DI20" s="40">
        <f t="shared" ca="1" si="123"/>
        <v>3517366.8119794219</v>
      </c>
      <c r="DJ20" s="40">
        <f t="shared" ca="1" si="123"/>
        <v>3517366.8119794219</v>
      </c>
      <c r="DK20" s="40">
        <f t="shared" ca="1" si="123"/>
        <v>3517366.8119794219</v>
      </c>
      <c r="DL20" s="40">
        <f t="shared" ca="1" si="123"/>
        <v>3517366.8119794219</v>
      </c>
      <c r="DM20" s="40">
        <f t="shared" ca="1" si="123"/>
        <v>3517366.8119794219</v>
      </c>
      <c r="DN20" s="40">
        <f t="shared" ca="1" si="123"/>
        <v>3517366.8119794219</v>
      </c>
      <c r="DO20" s="40">
        <f t="shared" ca="1" si="123"/>
        <v>3517366.8119794219</v>
      </c>
      <c r="DP20" s="40">
        <f t="shared" ca="1" si="123"/>
        <v>3517366.8119794219</v>
      </c>
      <c r="DQ20" s="40">
        <f t="shared" ca="1" si="123"/>
        <v>3517366.8119794219</v>
      </c>
      <c r="DR20" s="40">
        <f t="shared" ca="1" si="123"/>
        <v>3517366.8119794219</v>
      </c>
      <c r="DS20" s="40">
        <f t="shared" ca="1" si="123"/>
        <v>3517366.8119794219</v>
      </c>
      <c r="DT20" s="40">
        <f t="shared" ca="1" si="123"/>
        <v>3517366.8119794219</v>
      </c>
      <c r="DU20" s="40">
        <f t="shared" ca="1" si="123"/>
        <v>3517366.8119794219</v>
      </c>
      <c r="DV20" s="40">
        <f t="shared" ca="1" si="123"/>
        <v>3517366.8119794219</v>
      </c>
      <c r="DW20" s="40">
        <f t="shared" ca="1" si="123"/>
        <v>3517366.8119794219</v>
      </c>
      <c r="DX20" s="40">
        <f t="shared" ca="1" si="123"/>
        <v>3517366.8119794219</v>
      </c>
      <c r="DY20" s="40">
        <f t="shared" ca="1" si="123"/>
        <v>3517366.8119794219</v>
      </c>
      <c r="DZ20" s="40">
        <f t="shared" ca="1" si="123"/>
        <v>3517366.8119794219</v>
      </c>
      <c r="EA20" s="40">
        <f t="shared" ca="1" si="123"/>
        <v>3517366.8119794219</v>
      </c>
      <c r="EB20" s="40">
        <f t="shared" ca="1" si="123"/>
        <v>3517366.8119794219</v>
      </c>
      <c r="EC20" s="40">
        <f t="shared" ca="1" si="123"/>
        <v>3517366.8119794219</v>
      </c>
      <c r="ED20" s="40">
        <f t="shared" ca="1" si="123"/>
        <v>3517366.8119794219</v>
      </c>
      <c r="EE20" s="40">
        <f t="shared" ca="1" si="123"/>
        <v>3517366.8119794219</v>
      </c>
      <c r="EF20" s="40">
        <f t="shared" ref="EF20:GQ20" ca="1" si="124">EF9*$C$15</f>
        <v>3517366.8119794219</v>
      </c>
      <c r="EG20" s="40">
        <f t="shared" ca="1" si="124"/>
        <v>3517366.8119794219</v>
      </c>
      <c r="EH20" s="40">
        <f t="shared" ca="1" si="124"/>
        <v>3517366.8119794219</v>
      </c>
      <c r="EI20" s="40">
        <f t="shared" ca="1" si="124"/>
        <v>3517366.8119794219</v>
      </c>
      <c r="EJ20" s="40">
        <f t="shared" ca="1" si="124"/>
        <v>3517366.8119794219</v>
      </c>
      <c r="EK20" s="40">
        <f t="shared" ca="1" si="124"/>
        <v>3517366.8119794219</v>
      </c>
      <c r="EL20" s="40">
        <f t="shared" ca="1" si="124"/>
        <v>3517366.8119794219</v>
      </c>
      <c r="EM20" s="40">
        <f t="shared" ca="1" si="124"/>
        <v>3517366.8119794219</v>
      </c>
      <c r="EN20" s="40">
        <f t="shared" ca="1" si="124"/>
        <v>3517366.8119794219</v>
      </c>
      <c r="EO20" s="40">
        <f t="shared" ca="1" si="124"/>
        <v>3517366.8119794219</v>
      </c>
      <c r="EP20" s="40">
        <f t="shared" ca="1" si="124"/>
        <v>3517366.8119794219</v>
      </c>
      <c r="EQ20" s="40">
        <f t="shared" ca="1" si="124"/>
        <v>3517366.8119794219</v>
      </c>
      <c r="ER20" s="40">
        <f t="shared" ca="1" si="124"/>
        <v>3517366.8119794219</v>
      </c>
      <c r="ES20" s="40">
        <f t="shared" ca="1" si="124"/>
        <v>3517366.8119794219</v>
      </c>
      <c r="ET20" s="40">
        <f t="shared" ca="1" si="124"/>
        <v>3517366.8119794219</v>
      </c>
      <c r="EU20" s="40">
        <f t="shared" ca="1" si="124"/>
        <v>3517366.8119794219</v>
      </c>
      <c r="EV20" s="40">
        <f t="shared" ca="1" si="124"/>
        <v>3517366.8119794219</v>
      </c>
      <c r="EW20" s="40">
        <f t="shared" ca="1" si="124"/>
        <v>3517366.8119794219</v>
      </c>
      <c r="EX20" s="40">
        <f t="shared" ca="1" si="124"/>
        <v>3517366.8119794219</v>
      </c>
      <c r="EY20" s="40">
        <f t="shared" ca="1" si="124"/>
        <v>3517366.8119794219</v>
      </c>
      <c r="EZ20" s="40">
        <f t="shared" ca="1" si="124"/>
        <v>3517366.8119794219</v>
      </c>
      <c r="FA20" s="40">
        <f t="shared" ca="1" si="124"/>
        <v>3517366.8119794219</v>
      </c>
      <c r="FB20" s="40">
        <f t="shared" ca="1" si="124"/>
        <v>3517366.8119794219</v>
      </c>
      <c r="FC20" s="40">
        <f t="shared" ca="1" si="124"/>
        <v>3517366.8119794219</v>
      </c>
      <c r="FD20" s="40">
        <f t="shared" ca="1" si="124"/>
        <v>3517366.8119794219</v>
      </c>
      <c r="FE20" s="40">
        <f t="shared" ca="1" si="124"/>
        <v>3517366.8119794219</v>
      </c>
      <c r="FF20" s="40">
        <f t="shared" ca="1" si="124"/>
        <v>3517366.8119794219</v>
      </c>
      <c r="FG20" s="40">
        <f t="shared" ca="1" si="124"/>
        <v>3517366.8119794219</v>
      </c>
      <c r="FH20" s="40">
        <f t="shared" ca="1" si="124"/>
        <v>3517366.8119794219</v>
      </c>
      <c r="FI20" s="40">
        <f t="shared" ca="1" si="124"/>
        <v>3517366.8119794219</v>
      </c>
      <c r="FJ20" s="40">
        <f t="shared" ca="1" si="124"/>
        <v>3517366.8119794219</v>
      </c>
      <c r="FK20" s="40">
        <f t="shared" ca="1" si="124"/>
        <v>3517366.8119794219</v>
      </c>
      <c r="FL20" s="40">
        <f t="shared" ca="1" si="124"/>
        <v>3517366.8119794219</v>
      </c>
      <c r="FM20" s="40">
        <f t="shared" ca="1" si="124"/>
        <v>3517366.8119794219</v>
      </c>
      <c r="FN20" s="40">
        <f t="shared" ca="1" si="124"/>
        <v>3517366.8119794219</v>
      </c>
      <c r="FO20" s="40">
        <f t="shared" ca="1" si="124"/>
        <v>3517366.8119794219</v>
      </c>
      <c r="FP20" s="40">
        <f t="shared" ca="1" si="124"/>
        <v>3517366.8119794219</v>
      </c>
      <c r="FQ20" s="40">
        <f t="shared" ca="1" si="124"/>
        <v>3517366.8119794219</v>
      </c>
      <c r="FR20" s="40">
        <f t="shared" ca="1" si="124"/>
        <v>3517366.8119794219</v>
      </c>
      <c r="FS20" s="40">
        <f t="shared" ca="1" si="124"/>
        <v>3517366.8119794219</v>
      </c>
      <c r="FT20" s="40">
        <f t="shared" ca="1" si="124"/>
        <v>3517366.8119794219</v>
      </c>
      <c r="FU20" s="40">
        <f t="shared" ca="1" si="124"/>
        <v>3517366.8119794219</v>
      </c>
      <c r="FV20" s="40">
        <f t="shared" ca="1" si="124"/>
        <v>3517366.8119794219</v>
      </c>
      <c r="FW20" s="40">
        <f t="shared" ca="1" si="124"/>
        <v>3517366.8119794219</v>
      </c>
      <c r="FX20" s="40">
        <f t="shared" ca="1" si="124"/>
        <v>3517366.8119794219</v>
      </c>
      <c r="FY20" s="40">
        <f t="shared" ca="1" si="124"/>
        <v>3517366.8119794219</v>
      </c>
      <c r="FZ20" s="40">
        <f t="shared" ca="1" si="124"/>
        <v>3517366.8119794219</v>
      </c>
      <c r="GA20" s="40">
        <f t="shared" ca="1" si="124"/>
        <v>3517366.8119794219</v>
      </c>
      <c r="GB20" s="40">
        <f t="shared" ca="1" si="124"/>
        <v>3517366.8119794219</v>
      </c>
      <c r="GC20" s="40">
        <f t="shared" ca="1" si="124"/>
        <v>3517366.8119794219</v>
      </c>
      <c r="GD20" s="40">
        <f t="shared" ca="1" si="124"/>
        <v>3517366.8119794219</v>
      </c>
      <c r="GE20" s="40">
        <f t="shared" ca="1" si="124"/>
        <v>3517366.8119794219</v>
      </c>
      <c r="GF20" s="40">
        <f t="shared" ca="1" si="124"/>
        <v>3517366.8119794219</v>
      </c>
      <c r="GG20" s="40">
        <f t="shared" ca="1" si="124"/>
        <v>3517366.8119794219</v>
      </c>
      <c r="GH20" s="40">
        <f t="shared" ca="1" si="124"/>
        <v>3517366.8119794219</v>
      </c>
      <c r="GI20" s="40">
        <f t="shared" ca="1" si="124"/>
        <v>3517366.8119794219</v>
      </c>
      <c r="GJ20" s="40">
        <f t="shared" ca="1" si="124"/>
        <v>3517366.8119794219</v>
      </c>
      <c r="GK20" s="40">
        <f t="shared" ca="1" si="124"/>
        <v>3517366.8119794219</v>
      </c>
      <c r="GL20" s="40">
        <f t="shared" ca="1" si="124"/>
        <v>3517366.8119794219</v>
      </c>
      <c r="GM20" s="40">
        <f t="shared" ca="1" si="124"/>
        <v>3517366.8119794219</v>
      </c>
      <c r="GN20" s="40">
        <f t="shared" ca="1" si="124"/>
        <v>3517366.8119794219</v>
      </c>
      <c r="GO20" s="40">
        <f t="shared" ca="1" si="124"/>
        <v>3517366.8119794219</v>
      </c>
      <c r="GP20" s="40">
        <f t="shared" ca="1" si="124"/>
        <v>3517366.8119794219</v>
      </c>
      <c r="GQ20" s="40">
        <f t="shared" ca="1" si="124"/>
        <v>3517366.8119794219</v>
      </c>
      <c r="GR20" s="40">
        <f t="shared" ref="GR20:IN20" ca="1" si="125">GR9*$C$15</f>
        <v>3517366.8119794219</v>
      </c>
      <c r="GS20" s="40">
        <f t="shared" ca="1" si="125"/>
        <v>3517366.8119794219</v>
      </c>
      <c r="GT20" s="40">
        <f t="shared" ca="1" si="125"/>
        <v>3517366.8119794219</v>
      </c>
      <c r="GU20" s="40">
        <f t="shared" ca="1" si="125"/>
        <v>3517366.8119794219</v>
      </c>
      <c r="GV20" s="40">
        <f t="shared" ca="1" si="125"/>
        <v>3517366.8119794219</v>
      </c>
      <c r="GW20" s="40">
        <f t="shared" ca="1" si="125"/>
        <v>3517366.8119794219</v>
      </c>
      <c r="GX20" s="40">
        <f t="shared" ca="1" si="125"/>
        <v>3517366.8119794219</v>
      </c>
      <c r="GY20" s="40">
        <f t="shared" ca="1" si="125"/>
        <v>3517366.8119794219</v>
      </c>
      <c r="GZ20" s="40">
        <f t="shared" ca="1" si="125"/>
        <v>3517366.8119794219</v>
      </c>
      <c r="HA20" s="40">
        <f t="shared" ca="1" si="125"/>
        <v>3517366.8119794219</v>
      </c>
      <c r="HB20" s="40">
        <f t="shared" ca="1" si="125"/>
        <v>3517366.8119794219</v>
      </c>
      <c r="HC20" s="40">
        <f t="shared" ca="1" si="125"/>
        <v>3517366.8119794219</v>
      </c>
      <c r="HD20" s="40">
        <f t="shared" ca="1" si="125"/>
        <v>3517366.8119794219</v>
      </c>
      <c r="HE20" s="40">
        <f t="shared" ca="1" si="125"/>
        <v>3517366.8119794219</v>
      </c>
      <c r="HF20" s="40">
        <f t="shared" ca="1" si="125"/>
        <v>3517366.8119794219</v>
      </c>
      <c r="HG20" s="40">
        <f t="shared" ca="1" si="125"/>
        <v>3517366.8119794219</v>
      </c>
      <c r="HH20" s="40">
        <f t="shared" ca="1" si="125"/>
        <v>3517366.8119794219</v>
      </c>
      <c r="HI20" s="40">
        <f t="shared" ca="1" si="125"/>
        <v>3517366.8119794219</v>
      </c>
      <c r="HJ20" s="40">
        <f t="shared" ca="1" si="125"/>
        <v>3517366.8119794219</v>
      </c>
      <c r="HK20" s="40">
        <f t="shared" ca="1" si="125"/>
        <v>3517366.8119794219</v>
      </c>
      <c r="HL20" s="40">
        <f t="shared" ca="1" si="125"/>
        <v>3517366.8119794219</v>
      </c>
      <c r="HM20" s="40">
        <f t="shared" ca="1" si="125"/>
        <v>3517366.8119794219</v>
      </c>
      <c r="HN20" s="40">
        <f t="shared" ca="1" si="125"/>
        <v>3517366.8119794219</v>
      </c>
      <c r="HO20" s="40">
        <f t="shared" ca="1" si="125"/>
        <v>3517366.8119794219</v>
      </c>
      <c r="HP20" s="40">
        <f t="shared" ca="1" si="125"/>
        <v>3517366.8119794219</v>
      </c>
      <c r="HQ20" s="40">
        <f t="shared" ca="1" si="125"/>
        <v>3517366.8119794219</v>
      </c>
      <c r="HR20" s="40">
        <f t="shared" ca="1" si="125"/>
        <v>3517366.8119794219</v>
      </c>
      <c r="HS20" s="40">
        <f t="shared" ca="1" si="125"/>
        <v>3517366.8119794219</v>
      </c>
      <c r="HT20" s="40">
        <f t="shared" ca="1" si="125"/>
        <v>3517366.8119794219</v>
      </c>
      <c r="HU20" s="40">
        <f t="shared" ca="1" si="125"/>
        <v>3517366.8119794219</v>
      </c>
      <c r="HV20" s="40">
        <f t="shared" ca="1" si="125"/>
        <v>3517366.8119794219</v>
      </c>
      <c r="HW20" s="40">
        <f t="shared" ca="1" si="125"/>
        <v>3517366.8119794219</v>
      </c>
      <c r="HX20" s="40">
        <f t="shared" ca="1" si="125"/>
        <v>3517366.8119794219</v>
      </c>
      <c r="HY20" s="40">
        <f t="shared" ca="1" si="125"/>
        <v>3517366.8119794219</v>
      </c>
      <c r="HZ20" s="40">
        <f t="shared" ca="1" si="125"/>
        <v>3517366.8119794219</v>
      </c>
      <c r="IA20" s="40">
        <f t="shared" ca="1" si="125"/>
        <v>3517366.8119794219</v>
      </c>
      <c r="IB20" s="40">
        <f t="shared" ca="1" si="125"/>
        <v>3517366.8119794219</v>
      </c>
      <c r="IC20" s="40">
        <f t="shared" ca="1" si="125"/>
        <v>3517366.8119794219</v>
      </c>
      <c r="ID20" s="40">
        <f t="shared" ca="1" si="125"/>
        <v>3517366.8119794219</v>
      </c>
      <c r="IE20" s="40">
        <f t="shared" ca="1" si="125"/>
        <v>3517366.8119794219</v>
      </c>
      <c r="IF20" s="40">
        <f t="shared" ca="1" si="125"/>
        <v>3517366.8119794219</v>
      </c>
      <c r="IG20" s="40">
        <f t="shared" ca="1" si="125"/>
        <v>3517366.8119794219</v>
      </c>
      <c r="IH20" s="40">
        <f t="shared" ca="1" si="125"/>
        <v>3517366.8119794219</v>
      </c>
      <c r="II20" s="40">
        <f t="shared" ca="1" si="125"/>
        <v>3517366.8119794219</v>
      </c>
      <c r="IJ20" s="40">
        <f t="shared" ca="1" si="125"/>
        <v>3517366.8119794219</v>
      </c>
      <c r="IK20" s="40">
        <f t="shared" ca="1" si="125"/>
        <v>3517366.8119794219</v>
      </c>
      <c r="IL20" s="40">
        <f t="shared" ca="1" si="125"/>
        <v>3517366.8119794219</v>
      </c>
      <c r="IM20" s="40">
        <f t="shared" ca="1" si="125"/>
        <v>3517366.8119794219</v>
      </c>
      <c r="IN20" s="40">
        <f t="shared" ca="1" si="125"/>
        <v>3517366.8119794219</v>
      </c>
    </row>
    <row r="21" spans="2:248" x14ac:dyDescent="0.3">
      <c r="B21" s="19" t="s">
        <v>491</v>
      </c>
      <c r="C21" s="40">
        <f>C20*C19</f>
        <v>27154404.400000002</v>
      </c>
      <c r="F21" s="19" t="s">
        <v>493</v>
      </c>
      <c r="G21" s="40">
        <f>G10*$C$15</f>
        <v>15.025722684958353</v>
      </c>
      <c r="H21" s="40">
        <f t="shared" ref="H21:BS22" ca="1" si="126">H10*$C$15</f>
        <v>21.24326310632043</v>
      </c>
      <c r="I21" s="40">
        <f t="shared" ca="1" si="126"/>
        <v>26.813143067123956</v>
      </c>
      <c r="J21" s="40">
        <f t="shared" ca="1" si="126"/>
        <v>35.491793238608523</v>
      </c>
      <c r="K21" s="40">
        <f t="shared" ca="1" si="126"/>
        <v>41.709333659970596</v>
      </c>
      <c r="L21" s="40">
        <f t="shared" ca="1" si="126"/>
        <v>49.740323370896618</v>
      </c>
      <c r="M21" s="40">
        <f t="shared" ca="1" si="126"/>
        <v>59.455230279274858</v>
      </c>
      <c r="N21" s="40">
        <f t="shared" ca="1" si="126"/>
        <v>76.164870161685442</v>
      </c>
      <c r="O21" s="40">
        <f t="shared" ca="1" si="126"/>
        <v>103.49614159725624</v>
      </c>
      <c r="P21" s="40">
        <f t="shared" ca="1" si="126"/>
        <v>146.50079617834393</v>
      </c>
      <c r="Q21" s="40">
        <f t="shared" ca="1" si="126"/>
        <v>172.0186183243508</v>
      </c>
      <c r="R21" s="40">
        <f t="shared" ca="1" si="126"/>
        <v>164.63528907398333</v>
      </c>
      <c r="S21" s="40">
        <f t="shared" ca="1" si="126"/>
        <v>218.26157520823125</v>
      </c>
      <c r="T21" s="40">
        <f t="shared" ca="1" si="126"/>
        <v>297.40568348848603</v>
      </c>
      <c r="U21" s="40">
        <f t="shared" ca="1" si="126"/>
        <v>290.79954679078878</v>
      </c>
      <c r="V21" s="40">
        <f t="shared" ca="1" si="126"/>
        <v>449.9944879960803</v>
      </c>
      <c r="W21" s="40">
        <f t="shared" ca="1" si="126"/>
        <v>569.29354483096517</v>
      </c>
      <c r="X21" s="40">
        <f t="shared" ca="1" si="126"/>
        <v>639.49993875551195</v>
      </c>
      <c r="Y21" s="40">
        <f t="shared" ca="1" si="126"/>
        <v>735.87181528662416</v>
      </c>
      <c r="Z21" s="40">
        <f t="shared" ca="1" si="126"/>
        <v>872.91676874081327</v>
      </c>
      <c r="AA21" s="40">
        <f t="shared" ca="1" si="126"/>
        <v>960.20844561489469</v>
      </c>
      <c r="AB21" s="40">
        <f t="shared" ca="1" si="126"/>
        <v>1056.2292901763842</v>
      </c>
      <c r="AC21" s="40">
        <f t="shared" ca="1" si="126"/>
        <v>1161.8522191940226</v>
      </c>
      <c r="AD21" s="40">
        <f t="shared" ca="1" si="126"/>
        <v>1278.0374411134253</v>
      </c>
      <c r="AE21" s="40">
        <f t="shared" ca="1" si="126"/>
        <v>1405.8411852247677</v>
      </c>
      <c r="AF21" s="40">
        <f t="shared" ca="1" si="126"/>
        <v>1546.4253037472449</v>
      </c>
      <c r="AG21" s="40">
        <f t="shared" ca="1" si="126"/>
        <v>1701.0678341219693</v>
      </c>
      <c r="AH21" s="40">
        <f t="shared" ca="1" si="126"/>
        <v>1871.1746175341664</v>
      </c>
      <c r="AI21" s="40">
        <f t="shared" ca="1" si="126"/>
        <v>2058.2920792875834</v>
      </c>
      <c r="AJ21" s="40">
        <f t="shared" ca="1" si="126"/>
        <v>2264.1212872163414</v>
      </c>
      <c r="AK21" s="40">
        <f t="shared" ca="1" si="126"/>
        <v>2490.5334159379759</v>
      </c>
      <c r="AL21" s="40">
        <f t="shared" ca="1" si="126"/>
        <v>2739.5867575317739</v>
      </c>
      <c r="AM21" s="40">
        <f t="shared" ca="1" si="126"/>
        <v>3013.5454332849513</v>
      </c>
      <c r="AN21" s="40">
        <f t="shared" ca="1" si="126"/>
        <v>3314.8999766134466</v>
      </c>
      <c r="AO21" s="40">
        <f t="shared" ca="1" si="126"/>
        <v>3646.3899742747917</v>
      </c>
      <c r="AP21" s="40">
        <f t="shared" ca="1" si="126"/>
        <v>4011.0289717022715</v>
      </c>
      <c r="AQ21" s="40">
        <f t="shared" ca="1" si="126"/>
        <v>4412.1318688724987</v>
      </c>
      <c r="AR21" s="40">
        <f t="shared" ca="1" si="126"/>
        <v>4853.3450557597489</v>
      </c>
      <c r="AS21" s="40">
        <f t="shared" ca="1" si="126"/>
        <v>5338.6795613357244</v>
      </c>
      <c r="AT21" s="40">
        <f t="shared" ca="1" si="126"/>
        <v>5872.5475174692983</v>
      </c>
      <c r="AU21" s="40">
        <f t="shared" ca="1" si="126"/>
        <v>6459.8022692162285</v>
      </c>
      <c r="AV21" s="40">
        <f t="shared" ca="1" si="126"/>
        <v>7105.7824961378519</v>
      </c>
      <c r="AW21" s="40">
        <f t="shared" ca="1" si="126"/>
        <v>7816.3607457516382</v>
      </c>
      <c r="AX21" s="40">
        <f t="shared" ca="1" si="126"/>
        <v>8597.9968203268018</v>
      </c>
      <c r="AY21" s="40">
        <f t="shared" ca="1" si="126"/>
        <v>9457.7965023594843</v>
      </c>
      <c r="AZ21" s="40">
        <f t="shared" ca="1" si="126"/>
        <v>10403.576152595431</v>
      </c>
      <c r="BA21" s="40">
        <f t="shared" ca="1" si="126"/>
        <v>11443.933767854976</v>
      </c>
      <c r="BB21" s="40">
        <f t="shared" ca="1" si="126"/>
        <v>12588.327144640474</v>
      </c>
      <c r="BC21" s="40">
        <f t="shared" ca="1" si="126"/>
        <v>13847.159859104522</v>
      </c>
      <c r="BD21" s="40">
        <f t="shared" ca="1" si="126"/>
        <v>15231.875845014976</v>
      </c>
      <c r="BE21" s="40">
        <f t="shared" ca="1" si="126"/>
        <v>16755.063429516475</v>
      </c>
      <c r="BF21" s="40">
        <f t="shared" ca="1" si="126"/>
        <v>18430.569772468123</v>
      </c>
      <c r="BG21" s="40">
        <f t="shared" ca="1" si="126"/>
        <v>20273.626749714935</v>
      </c>
      <c r="BH21" s="40">
        <f t="shared" ca="1" si="126"/>
        <v>22300.989424686431</v>
      </c>
      <c r="BI21" s="40">
        <f t="shared" ca="1" si="126"/>
        <v>24531.088367155073</v>
      </c>
      <c r="BJ21" s="40">
        <f t="shared" ca="1" si="126"/>
        <v>26984.197203870583</v>
      </c>
      <c r="BK21" s="40">
        <f t="shared" ca="1" si="126"/>
        <v>29682.616924257643</v>
      </c>
      <c r="BL21" s="40">
        <f t="shared" ca="1" si="126"/>
        <v>32650.878616683407</v>
      </c>
      <c r="BM21" s="40">
        <f t="shared" ca="1" si="126"/>
        <v>35915.966478351751</v>
      </c>
      <c r="BN21" s="40">
        <f t="shared" ca="1" si="126"/>
        <v>39507.56312618692</v>
      </c>
      <c r="BO21" s="40">
        <f t="shared" ca="1" si="126"/>
        <v>43458.319438805622</v>
      </c>
      <c r="BP21" s="40">
        <f t="shared" ca="1" si="126"/>
        <v>47804.151382686185</v>
      </c>
      <c r="BQ21" s="40">
        <f t="shared" ca="1" si="126"/>
        <v>52584.566520954802</v>
      </c>
      <c r="BR21" s="40">
        <f t="shared" ca="1" si="126"/>
        <v>57843.023173050286</v>
      </c>
      <c r="BS21" s="40">
        <f t="shared" ca="1" si="126"/>
        <v>63627.325490355324</v>
      </c>
      <c r="BT21" s="40">
        <f t="shared" ref="BT21:EE23" ca="1" si="127">BT10*$C$15</f>
        <v>69990.05803939086</v>
      </c>
      <c r="BU21" s="40">
        <f t="shared" ca="1" si="127"/>
        <v>76989.063843329946</v>
      </c>
      <c r="BV21" s="40">
        <f t="shared" ca="1" si="127"/>
        <v>84687.970227662954</v>
      </c>
      <c r="BW21" s="40">
        <f t="shared" ca="1" si="127"/>
        <v>93156.767250429257</v>
      </c>
      <c r="BX21" s="40">
        <f t="shared" ca="1" si="127"/>
        <v>102472.44397547218</v>
      </c>
      <c r="BY21" s="40">
        <f t="shared" ca="1" si="127"/>
        <v>112719.68837301941</v>
      </c>
      <c r="BZ21" s="40">
        <f t="shared" ca="1" si="127"/>
        <v>123991.65721032137</v>
      </c>
      <c r="CA21" s="40">
        <f t="shared" ca="1" si="127"/>
        <v>136390.82293135353</v>
      </c>
      <c r="CB21" s="40">
        <f t="shared" ca="1" si="127"/>
        <v>150029.90522448887</v>
      </c>
      <c r="CC21" s="40">
        <f t="shared" ca="1" si="127"/>
        <v>165032.89574693778</v>
      </c>
      <c r="CD21" s="40">
        <f t="shared" ca="1" si="127"/>
        <v>181536.18532163161</v>
      </c>
      <c r="CE21" s="40">
        <f t="shared" ca="1" si="127"/>
        <v>199689.80385379479</v>
      </c>
      <c r="CF21" s="40">
        <f t="shared" ca="1" si="127"/>
        <v>219658.78423917427</v>
      </c>
      <c r="CG21" s="40">
        <f t="shared" ca="1" si="127"/>
        <v>241624.66266309173</v>
      </c>
      <c r="CH21" s="40">
        <f t="shared" ca="1" si="127"/>
        <v>265787.12892940093</v>
      </c>
      <c r="CI21" s="40">
        <f t="shared" ca="1" si="127"/>
        <v>292365.84182234103</v>
      </c>
      <c r="CJ21" s="40">
        <f t="shared" ca="1" si="127"/>
        <v>321602.42600457516</v>
      </c>
      <c r="CK21" s="40">
        <f t="shared" ca="1" si="127"/>
        <v>353762.66860503273</v>
      </c>
      <c r="CL21" s="40">
        <f t="shared" ca="1" si="127"/>
        <v>389138.93546553602</v>
      </c>
      <c r="CM21" s="40">
        <f t="shared" ca="1" si="127"/>
        <v>428052.8290120897</v>
      </c>
      <c r="CN21" s="40">
        <f t="shared" ca="1" si="127"/>
        <v>470858.11191329872</v>
      </c>
      <c r="CO21" s="40">
        <f t="shared" ca="1" si="127"/>
        <v>517943.92310462863</v>
      </c>
      <c r="CP21" s="40">
        <f t="shared" ca="1" si="127"/>
        <v>569738.31541509146</v>
      </c>
      <c r="CQ21" s="40">
        <f t="shared" ca="1" si="127"/>
        <v>626712.14695660071</v>
      </c>
      <c r="CR21" s="40">
        <f t="shared" ca="1" si="127"/>
        <v>689383.36165226088</v>
      </c>
      <c r="CS21" s="40">
        <f t="shared" ca="1" si="127"/>
        <v>758321.69781748706</v>
      </c>
      <c r="CT21" s="40">
        <f t="shared" ca="1" si="127"/>
        <v>834153.86759923596</v>
      </c>
      <c r="CU21" s="40">
        <f t="shared" ca="1" si="127"/>
        <v>917569.25435915962</v>
      </c>
      <c r="CV21" s="40">
        <f t="shared" ca="1" si="127"/>
        <v>1009326.1797950757</v>
      </c>
      <c r="CW21" s="40">
        <f t="shared" ca="1" si="127"/>
        <v>1110258.7977745833</v>
      </c>
      <c r="CX21" s="40">
        <f t="shared" ca="1" si="127"/>
        <v>1221284.6775520418</v>
      </c>
      <c r="CY21" s="40">
        <f t="shared" ca="1" si="127"/>
        <v>1343413.1453072461</v>
      </c>
      <c r="CZ21" s="40">
        <f t="shared" ca="1" si="127"/>
        <v>1477754.4598379708</v>
      </c>
      <c r="DA21" s="40">
        <f t="shared" ca="1" si="127"/>
        <v>1625529.9058217679</v>
      </c>
      <c r="DB21" s="40">
        <f t="shared" ca="1" si="127"/>
        <v>1788082.8964039448</v>
      </c>
      <c r="DC21" s="40">
        <f t="shared" ca="1" si="127"/>
        <v>1966891.1860443393</v>
      </c>
      <c r="DD21" s="40">
        <f t="shared" ca="1" si="127"/>
        <v>2163580.3046487737</v>
      </c>
      <c r="DE21" s="40">
        <f t="shared" ca="1" si="127"/>
        <v>2379938.3351136511</v>
      </c>
      <c r="DF21" s="40">
        <f t="shared" ca="1" si="127"/>
        <v>2617932.1686250162</v>
      </c>
      <c r="DG21" s="40">
        <f t="shared" ca="1" si="127"/>
        <v>2879725.3854875183</v>
      </c>
      <c r="DH21" s="40">
        <f t="shared" ca="1" si="127"/>
        <v>3167697.9240362705</v>
      </c>
      <c r="DI21" s="40">
        <f t="shared" ca="1" si="127"/>
        <v>3484467.7164398977</v>
      </c>
      <c r="DJ21" s="40">
        <f t="shared" ca="1" si="127"/>
        <v>3517366.8119794219</v>
      </c>
      <c r="DK21" s="40">
        <f t="shared" ca="1" si="127"/>
        <v>3517366.8119794219</v>
      </c>
      <c r="DL21" s="40">
        <f t="shared" ca="1" si="127"/>
        <v>3517366.8119794219</v>
      </c>
      <c r="DM21" s="40">
        <f t="shared" ca="1" si="127"/>
        <v>3517366.8119794219</v>
      </c>
      <c r="DN21" s="40">
        <f t="shared" ca="1" si="127"/>
        <v>3517366.8119794219</v>
      </c>
      <c r="DO21" s="40">
        <f t="shared" ca="1" si="127"/>
        <v>3517366.8119794219</v>
      </c>
      <c r="DP21" s="40">
        <f t="shared" ca="1" si="127"/>
        <v>3517366.8119794219</v>
      </c>
      <c r="DQ21" s="40">
        <f t="shared" ca="1" si="127"/>
        <v>3517366.8119794219</v>
      </c>
      <c r="DR21" s="40">
        <f t="shared" ca="1" si="127"/>
        <v>3517366.8119794219</v>
      </c>
      <c r="DS21" s="40">
        <f t="shared" ca="1" si="127"/>
        <v>3517366.8119794219</v>
      </c>
      <c r="DT21" s="40">
        <f t="shared" ca="1" si="127"/>
        <v>3517366.8119794219</v>
      </c>
      <c r="DU21" s="40">
        <f t="shared" ca="1" si="127"/>
        <v>3517366.8119794219</v>
      </c>
      <c r="DV21" s="40">
        <f t="shared" ca="1" si="127"/>
        <v>3517366.8119794219</v>
      </c>
      <c r="DW21" s="40">
        <f t="shared" ca="1" si="127"/>
        <v>3517366.8119794219</v>
      </c>
      <c r="DX21" s="40">
        <f t="shared" ca="1" si="127"/>
        <v>3517366.8119794219</v>
      </c>
      <c r="DY21" s="40">
        <f t="shared" ca="1" si="127"/>
        <v>3517366.8119794219</v>
      </c>
      <c r="DZ21" s="40">
        <f t="shared" ca="1" si="127"/>
        <v>3517366.8119794219</v>
      </c>
      <c r="EA21" s="40">
        <f t="shared" ca="1" si="127"/>
        <v>3517366.8119794219</v>
      </c>
      <c r="EB21" s="40">
        <f t="shared" ca="1" si="127"/>
        <v>3517366.8119794219</v>
      </c>
      <c r="EC21" s="40">
        <f t="shared" ca="1" si="127"/>
        <v>3517366.8119794219</v>
      </c>
      <c r="ED21" s="40">
        <f t="shared" ca="1" si="127"/>
        <v>3517366.8119794219</v>
      </c>
      <c r="EE21" s="40">
        <f t="shared" ca="1" si="127"/>
        <v>3517366.8119794219</v>
      </c>
      <c r="EF21" s="40">
        <f t="shared" ref="EF21:GQ23" ca="1" si="128">EF10*$C$15</f>
        <v>3517366.8119794219</v>
      </c>
      <c r="EG21" s="40">
        <f t="shared" ca="1" si="128"/>
        <v>3517366.8119794219</v>
      </c>
      <c r="EH21" s="40">
        <f t="shared" ca="1" si="128"/>
        <v>3517366.8119794219</v>
      </c>
      <c r="EI21" s="40">
        <f t="shared" ca="1" si="128"/>
        <v>3517366.8119794219</v>
      </c>
      <c r="EJ21" s="40">
        <f t="shared" ca="1" si="128"/>
        <v>3517366.8119794219</v>
      </c>
      <c r="EK21" s="40">
        <f t="shared" ca="1" si="128"/>
        <v>3517366.8119794219</v>
      </c>
      <c r="EL21" s="40">
        <f t="shared" ca="1" si="128"/>
        <v>3517366.8119794219</v>
      </c>
      <c r="EM21" s="40">
        <f t="shared" ca="1" si="128"/>
        <v>3517366.8119794219</v>
      </c>
      <c r="EN21" s="40">
        <f t="shared" ca="1" si="128"/>
        <v>3517366.8119794219</v>
      </c>
      <c r="EO21" s="40">
        <f t="shared" ca="1" si="128"/>
        <v>3517366.8119794219</v>
      </c>
      <c r="EP21" s="40">
        <f t="shared" ca="1" si="128"/>
        <v>3517366.8119794219</v>
      </c>
      <c r="EQ21" s="40">
        <f t="shared" ca="1" si="128"/>
        <v>3517366.8119794219</v>
      </c>
      <c r="ER21" s="40">
        <f t="shared" ca="1" si="128"/>
        <v>3517366.8119794219</v>
      </c>
      <c r="ES21" s="40">
        <f t="shared" ca="1" si="128"/>
        <v>3517366.8119794219</v>
      </c>
      <c r="ET21" s="40">
        <f t="shared" ca="1" si="128"/>
        <v>3517366.8119794219</v>
      </c>
      <c r="EU21" s="40">
        <f t="shared" ca="1" si="128"/>
        <v>3517366.8119794219</v>
      </c>
      <c r="EV21" s="40">
        <f t="shared" ca="1" si="128"/>
        <v>3517366.8119794219</v>
      </c>
      <c r="EW21" s="40">
        <f t="shared" ca="1" si="128"/>
        <v>3517366.8119794219</v>
      </c>
      <c r="EX21" s="40">
        <f t="shared" ca="1" si="128"/>
        <v>3517366.8119794219</v>
      </c>
      <c r="EY21" s="40">
        <f t="shared" ca="1" si="128"/>
        <v>3517366.8119794219</v>
      </c>
      <c r="EZ21" s="40">
        <f t="shared" ca="1" si="128"/>
        <v>3517366.8119794219</v>
      </c>
      <c r="FA21" s="40">
        <f t="shared" ca="1" si="128"/>
        <v>3517366.8119794219</v>
      </c>
      <c r="FB21" s="40">
        <f t="shared" ca="1" si="128"/>
        <v>3517366.8119794219</v>
      </c>
      <c r="FC21" s="40">
        <f t="shared" ca="1" si="128"/>
        <v>3517366.8119794219</v>
      </c>
      <c r="FD21" s="40">
        <f t="shared" ca="1" si="128"/>
        <v>3517366.8119794219</v>
      </c>
      <c r="FE21" s="40">
        <f t="shared" ca="1" si="128"/>
        <v>3517366.8119794219</v>
      </c>
      <c r="FF21" s="40">
        <f t="shared" ca="1" si="128"/>
        <v>3517366.8119794219</v>
      </c>
      <c r="FG21" s="40">
        <f t="shared" ca="1" si="128"/>
        <v>3517366.8119794219</v>
      </c>
      <c r="FH21" s="40">
        <f t="shared" ca="1" si="128"/>
        <v>3517366.8119794219</v>
      </c>
      <c r="FI21" s="40">
        <f t="shared" ca="1" si="128"/>
        <v>3517366.8119794219</v>
      </c>
      <c r="FJ21" s="40">
        <f t="shared" ca="1" si="128"/>
        <v>3517366.8119794219</v>
      </c>
      <c r="FK21" s="40">
        <f t="shared" ca="1" si="128"/>
        <v>3517366.8119794219</v>
      </c>
      <c r="FL21" s="40">
        <f t="shared" ca="1" si="128"/>
        <v>3517366.8119794219</v>
      </c>
      <c r="FM21" s="40">
        <f t="shared" ca="1" si="128"/>
        <v>3517366.8119794219</v>
      </c>
      <c r="FN21" s="40">
        <f t="shared" ca="1" si="128"/>
        <v>3517366.8119794219</v>
      </c>
      <c r="FO21" s="40">
        <f t="shared" ca="1" si="128"/>
        <v>3517366.8119794219</v>
      </c>
      <c r="FP21" s="40">
        <f t="shared" ca="1" si="128"/>
        <v>3517366.8119794219</v>
      </c>
      <c r="FQ21" s="40">
        <f t="shared" ca="1" si="128"/>
        <v>3517366.8119794219</v>
      </c>
      <c r="FR21" s="40">
        <f t="shared" ca="1" si="128"/>
        <v>3517366.8119794219</v>
      </c>
      <c r="FS21" s="40">
        <f t="shared" ca="1" si="128"/>
        <v>3517366.8119794219</v>
      </c>
      <c r="FT21" s="40">
        <f t="shared" ca="1" si="128"/>
        <v>3517366.8119794219</v>
      </c>
      <c r="FU21" s="40">
        <f t="shared" ca="1" si="128"/>
        <v>3517366.8119794219</v>
      </c>
      <c r="FV21" s="40">
        <f t="shared" ca="1" si="128"/>
        <v>3517366.8119794219</v>
      </c>
      <c r="FW21" s="40">
        <f t="shared" ca="1" si="128"/>
        <v>3517366.8119794219</v>
      </c>
      <c r="FX21" s="40">
        <f t="shared" ca="1" si="128"/>
        <v>3517366.8119794219</v>
      </c>
      <c r="FY21" s="40">
        <f t="shared" ca="1" si="128"/>
        <v>3517366.8119794219</v>
      </c>
      <c r="FZ21" s="40">
        <f t="shared" ca="1" si="128"/>
        <v>3517366.8119794219</v>
      </c>
      <c r="GA21" s="40">
        <f t="shared" ca="1" si="128"/>
        <v>3517366.8119794219</v>
      </c>
      <c r="GB21" s="40">
        <f t="shared" ca="1" si="128"/>
        <v>3517366.8119794219</v>
      </c>
      <c r="GC21" s="40">
        <f t="shared" ca="1" si="128"/>
        <v>3517366.8119794219</v>
      </c>
      <c r="GD21" s="40">
        <f t="shared" ca="1" si="128"/>
        <v>3517366.8119794219</v>
      </c>
      <c r="GE21" s="40">
        <f t="shared" ca="1" si="128"/>
        <v>3517366.8119794219</v>
      </c>
      <c r="GF21" s="40">
        <f t="shared" ca="1" si="128"/>
        <v>3517366.8119794219</v>
      </c>
      <c r="GG21" s="40">
        <f t="shared" ca="1" si="128"/>
        <v>3517366.8119794219</v>
      </c>
      <c r="GH21" s="40">
        <f t="shared" ca="1" si="128"/>
        <v>3517366.8119794219</v>
      </c>
      <c r="GI21" s="40">
        <f t="shared" ca="1" si="128"/>
        <v>3517366.8119794219</v>
      </c>
      <c r="GJ21" s="40">
        <f t="shared" ca="1" si="128"/>
        <v>3517366.8119794219</v>
      </c>
      <c r="GK21" s="40">
        <f t="shared" ca="1" si="128"/>
        <v>3517366.8119794219</v>
      </c>
      <c r="GL21" s="40">
        <f t="shared" ca="1" si="128"/>
        <v>3517366.8119794219</v>
      </c>
      <c r="GM21" s="40">
        <f t="shared" ca="1" si="128"/>
        <v>3517366.8119794219</v>
      </c>
      <c r="GN21" s="40">
        <f t="shared" ca="1" si="128"/>
        <v>3517366.8119794219</v>
      </c>
      <c r="GO21" s="40">
        <f t="shared" ca="1" si="128"/>
        <v>3517366.8119794219</v>
      </c>
      <c r="GP21" s="40">
        <f t="shared" ca="1" si="128"/>
        <v>3517366.8119794219</v>
      </c>
      <c r="GQ21" s="40">
        <f t="shared" ca="1" si="128"/>
        <v>3517366.8119794219</v>
      </c>
      <c r="GR21" s="40">
        <f t="shared" ref="GR21:IN23" ca="1" si="129">GR10*$C$15</f>
        <v>3517366.8119794219</v>
      </c>
      <c r="GS21" s="40">
        <f t="shared" ca="1" si="129"/>
        <v>3517366.8119794219</v>
      </c>
      <c r="GT21" s="40">
        <f t="shared" ca="1" si="129"/>
        <v>3517366.8119794219</v>
      </c>
      <c r="GU21" s="40">
        <f t="shared" ca="1" si="129"/>
        <v>3517366.8119794219</v>
      </c>
      <c r="GV21" s="40">
        <f t="shared" ca="1" si="129"/>
        <v>3517366.8119794219</v>
      </c>
      <c r="GW21" s="40">
        <f t="shared" ca="1" si="129"/>
        <v>3517366.8119794219</v>
      </c>
      <c r="GX21" s="40">
        <f t="shared" ca="1" si="129"/>
        <v>3517366.8119794219</v>
      </c>
      <c r="GY21" s="40">
        <f t="shared" ca="1" si="129"/>
        <v>3517366.8119794219</v>
      </c>
      <c r="GZ21" s="40">
        <f t="shared" ca="1" si="129"/>
        <v>3517366.8119794219</v>
      </c>
      <c r="HA21" s="40">
        <f t="shared" ca="1" si="129"/>
        <v>3517366.8119794219</v>
      </c>
      <c r="HB21" s="40">
        <f t="shared" ca="1" si="129"/>
        <v>3517366.8119794219</v>
      </c>
      <c r="HC21" s="40">
        <f t="shared" ca="1" si="129"/>
        <v>3517366.8119794219</v>
      </c>
      <c r="HD21" s="40">
        <f t="shared" ca="1" si="129"/>
        <v>3517366.8119794219</v>
      </c>
      <c r="HE21" s="40">
        <f t="shared" ca="1" si="129"/>
        <v>3517366.8119794219</v>
      </c>
      <c r="HF21" s="40">
        <f t="shared" ca="1" si="129"/>
        <v>3517366.8119794219</v>
      </c>
      <c r="HG21" s="40">
        <f t="shared" ca="1" si="129"/>
        <v>3517366.8119794219</v>
      </c>
      <c r="HH21" s="40">
        <f t="shared" ca="1" si="129"/>
        <v>3517366.8119794219</v>
      </c>
      <c r="HI21" s="40">
        <f t="shared" ca="1" si="129"/>
        <v>3517366.8119794219</v>
      </c>
      <c r="HJ21" s="40">
        <f t="shared" ca="1" si="129"/>
        <v>3517366.8119794219</v>
      </c>
      <c r="HK21" s="40">
        <f t="shared" ca="1" si="129"/>
        <v>3517366.8119794219</v>
      </c>
      <c r="HL21" s="40">
        <f t="shared" ca="1" si="129"/>
        <v>3517366.8119794219</v>
      </c>
      <c r="HM21" s="40">
        <f t="shared" ca="1" si="129"/>
        <v>3517366.8119794219</v>
      </c>
      <c r="HN21" s="40">
        <f t="shared" ca="1" si="129"/>
        <v>3517366.8119794219</v>
      </c>
      <c r="HO21" s="40">
        <f t="shared" ca="1" si="129"/>
        <v>3517366.8119794219</v>
      </c>
      <c r="HP21" s="40">
        <f t="shared" ca="1" si="129"/>
        <v>3517366.8119794219</v>
      </c>
      <c r="HQ21" s="40">
        <f t="shared" ca="1" si="129"/>
        <v>3517366.8119794219</v>
      </c>
      <c r="HR21" s="40">
        <f t="shared" ca="1" si="129"/>
        <v>3517366.8119794219</v>
      </c>
      <c r="HS21" s="40">
        <f t="shared" ca="1" si="129"/>
        <v>3517366.8119794219</v>
      </c>
      <c r="HT21" s="40">
        <f t="shared" ca="1" si="129"/>
        <v>3517366.8119794219</v>
      </c>
      <c r="HU21" s="40">
        <f t="shared" ca="1" si="129"/>
        <v>3517366.8119794219</v>
      </c>
      <c r="HV21" s="40">
        <f t="shared" ca="1" si="129"/>
        <v>3517366.8119794219</v>
      </c>
      <c r="HW21" s="40">
        <f t="shared" ca="1" si="129"/>
        <v>3517366.8119794219</v>
      </c>
      <c r="HX21" s="40">
        <f t="shared" ca="1" si="129"/>
        <v>3517366.8119794219</v>
      </c>
      <c r="HY21" s="40">
        <f t="shared" ca="1" si="129"/>
        <v>3517366.8119794219</v>
      </c>
      <c r="HZ21" s="40">
        <f t="shared" ca="1" si="129"/>
        <v>3517366.8119794219</v>
      </c>
      <c r="IA21" s="40">
        <f t="shared" ca="1" si="129"/>
        <v>3517366.8119794219</v>
      </c>
      <c r="IB21" s="40">
        <f t="shared" ca="1" si="129"/>
        <v>3517366.8119794219</v>
      </c>
      <c r="IC21" s="40">
        <f t="shared" ca="1" si="129"/>
        <v>3517366.8119794219</v>
      </c>
      <c r="ID21" s="40">
        <f t="shared" ca="1" si="129"/>
        <v>3517366.8119794219</v>
      </c>
      <c r="IE21" s="40">
        <f t="shared" ca="1" si="129"/>
        <v>3517366.8119794219</v>
      </c>
      <c r="IF21" s="40">
        <f t="shared" ca="1" si="129"/>
        <v>3517366.8119794219</v>
      </c>
      <c r="IG21" s="40">
        <f t="shared" ca="1" si="129"/>
        <v>3517366.8119794219</v>
      </c>
      <c r="IH21" s="40">
        <f t="shared" ca="1" si="129"/>
        <v>3517366.8119794219</v>
      </c>
      <c r="II21" s="40">
        <f t="shared" ca="1" si="129"/>
        <v>3517366.8119794219</v>
      </c>
      <c r="IJ21" s="40">
        <f t="shared" ca="1" si="129"/>
        <v>3517366.8119794219</v>
      </c>
      <c r="IK21" s="40">
        <f t="shared" ca="1" si="129"/>
        <v>3517366.8119794219</v>
      </c>
      <c r="IL21" s="40">
        <f t="shared" ca="1" si="129"/>
        <v>3517366.8119794219</v>
      </c>
      <c r="IM21" s="40">
        <f t="shared" ca="1" si="129"/>
        <v>3517366.8119794219</v>
      </c>
      <c r="IN21" s="40">
        <f t="shared" ca="1" si="129"/>
        <v>3517366.8119794219</v>
      </c>
    </row>
    <row r="22" spans="2:248" x14ac:dyDescent="0.3">
      <c r="C22" s="40"/>
      <c r="F22" s="19" t="s">
        <v>496</v>
      </c>
      <c r="G22" s="40">
        <f t="shared" ref="G22:V23" si="130">G11*$C$15</f>
        <v>15.025722684958353</v>
      </c>
      <c r="H22" s="40">
        <f t="shared" ca="1" si="130"/>
        <v>21.24326310632043</v>
      </c>
      <c r="I22" s="40">
        <f t="shared" ca="1" si="130"/>
        <v>26.813143067123956</v>
      </c>
      <c r="J22" s="40">
        <f t="shared" ca="1" si="130"/>
        <v>35.491793238608523</v>
      </c>
      <c r="K22" s="40">
        <f t="shared" ca="1" si="130"/>
        <v>41.709333659970596</v>
      </c>
      <c r="L22" s="40">
        <f t="shared" ca="1" si="130"/>
        <v>49.740323370896618</v>
      </c>
      <c r="M22" s="40">
        <f t="shared" ca="1" si="130"/>
        <v>59.455230279274858</v>
      </c>
      <c r="N22" s="40">
        <f t="shared" ca="1" si="130"/>
        <v>76.164870161685442</v>
      </c>
      <c r="O22" s="40">
        <f t="shared" ca="1" si="130"/>
        <v>103.49614159725624</v>
      </c>
      <c r="P22" s="40">
        <f t="shared" ca="1" si="130"/>
        <v>146.50079617834393</v>
      </c>
      <c r="Q22" s="40">
        <f t="shared" ca="1" si="130"/>
        <v>172.0186183243508</v>
      </c>
      <c r="R22" s="40">
        <f t="shared" ca="1" si="130"/>
        <v>164.63528907398333</v>
      </c>
      <c r="S22" s="40">
        <f t="shared" ca="1" si="130"/>
        <v>218.26157520823125</v>
      </c>
      <c r="T22" s="40">
        <f t="shared" ca="1" si="130"/>
        <v>297.40568348848603</v>
      </c>
      <c r="U22" s="40">
        <f t="shared" ca="1" si="130"/>
        <v>290.79954679078878</v>
      </c>
      <c r="V22" s="40">
        <f t="shared" ca="1" si="130"/>
        <v>449.9944879960803</v>
      </c>
      <c r="W22" s="40">
        <f t="shared" ca="1" si="126"/>
        <v>569.29354483096517</v>
      </c>
      <c r="X22" s="40">
        <f t="shared" ca="1" si="126"/>
        <v>639.49993875551195</v>
      </c>
      <c r="Y22" s="40">
        <f t="shared" ca="1" si="126"/>
        <v>735.87181528662416</v>
      </c>
      <c r="Z22" s="40">
        <f t="shared" ca="1" si="126"/>
        <v>872.91676874081327</v>
      </c>
      <c r="AA22" s="40">
        <f t="shared" ca="1" si="126"/>
        <v>1091.1459609260166</v>
      </c>
      <c r="AB22" s="40">
        <f t="shared" ca="1" si="126"/>
        <v>1363.9324511575207</v>
      </c>
      <c r="AC22" s="40">
        <f t="shared" ca="1" si="126"/>
        <v>1704.9155639469009</v>
      </c>
      <c r="AD22" s="40">
        <f t="shared" ca="1" si="126"/>
        <v>2131.1444549336261</v>
      </c>
      <c r="AE22" s="40">
        <f t="shared" ca="1" si="126"/>
        <v>2663.9305686670327</v>
      </c>
      <c r="AF22" s="40">
        <f t="shared" ca="1" si="126"/>
        <v>3329.9132108337908</v>
      </c>
      <c r="AG22" s="40">
        <f t="shared" ca="1" si="126"/>
        <v>4162.3915135422385</v>
      </c>
      <c r="AH22" s="40">
        <f t="shared" ca="1" si="126"/>
        <v>5202.9893919277984</v>
      </c>
      <c r="AI22" s="40">
        <f t="shared" ca="1" si="126"/>
        <v>6503.7367399097475</v>
      </c>
      <c r="AJ22" s="40">
        <f t="shared" ca="1" si="126"/>
        <v>8129.6709248871848</v>
      </c>
      <c r="AK22" s="40">
        <f t="shared" ca="1" si="126"/>
        <v>10162.088656108981</v>
      </c>
      <c r="AL22" s="40">
        <f t="shared" ca="1" si="126"/>
        <v>12702.610820136226</v>
      </c>
      <c r="AM22" s="40">
        <f t="shared" ca="1" si="126"/>
        <v>15878.263525170281</v>
      </c>
      <c r="AN22" s="40">
        <f t="shared" ca="1" si="126"/>
        <v>19847.829406462854</v>
      </c>
      <c r="AO22" s="40">
        <f t="shared" ca="1" si="126"/>
        <v>24809.786758078568</v>
      </c>
      <c r="AP22" s="40">
        <f t="shared" ca="1" si="126"/>
        <v>31012.233447598206</v>
      </c>
      <c r="AQ22" s="40">
        <f t="shared" ca="1" si="126"/>
        <v>38765.291809497758</v>
      </c>
      <c r="AR22" s="40">
        <f t="shared" ca="1" si="126"/>
        <v>48456.614761872203</v>
      </c>
      <c r="AS22" s="40">
        <f t="shared" ca="1" si="126"/>
        <v>60570.768452340257</v>
      </c>
      <c r="AT22" s="40">
        <f t="shared" ca="1" si="126"/>
        <v>75713.46056542531</v>
      </c>
      <c r="AU22" s="40">
        <f t="shared" ca="1" si="126"/>
        <v>94641.825706781645</v>
      </c>
      <c r="AV22" s="40">
        <f t="shared" ca="1" si="126"/>
        <v>118302.28213347706</v>
      </c>
      <c r="AW22" s="40">
        <f t="shared" ca="1" si="126"/>
        <v>147877.85266684633</v>
      </c>
      <c r="AX22" s="40">
        <f t="shared" ca="1" si="126"/>
        <v>184847.31583355792</v>
      </c>
      <c r="AY22" s="40">
        <f t="shared" ca="1" si="126"/>
        <v>231059.14479194739</v>
      </c>
      <c r="AZ22" s="40">
        <f t="shared" ca="1" si="126"/>
        <v>288823.93098993425</v>
      </c>
      <c r="BA22" s="40">
        <f t="shared" ca="1" si="126"/>
        <v>361029.91373741784</v>
      </c>
      <c r="BB22" s="40">
        <f t="shared" ca="1" si="126"/>
        <v>451287.39217177226</v>
      </c>
      <c r="BC22" s="40">
        <f t="shared" ca="1" si="126"/>
        <v>564109.24021471536</v>
      </c>
      <c r="BD22" s="40">
        <f t="shared" ca="1" si="126"/>
        <v>705136.55026839406</v>
      </c>
      <c r="BE22" s="40">
        <f t="shared" ca="1" si="126"/>
        <v>881420.68783549266</v>
      </c>
      <c r="BF22" s="40">
        <f t="shared" ca="1" si="126"/>
        <v>1101775.8597943657</v>
      </c>
      <c r="BG22" s="40">
        <f t="shared" ca="1" si="126"/>
        <v>1377219.824742957</v>
      </c>
      <c r="BH22" s="40">
        <f t="shared" ca="1" si="126"/>
        <v>1721524.7809286963</v>
      </c>
      <c r="BI22" s="40">
        <f t="shared" ca="1" si="126"/>
        <v>2151905.9761608704</v>
      </c>
      <c r="BJ22" s="40">
        <f t="shared" ca="1" si="126"/>
        <v>2689882.4702010881</v>
      </c>
      <c r="BK22" s="40">
        <f t="shared" ca="1" si="126"/>
        <v>3362353.0877513597</v>
      </c>
      <c r="BL22" s="40">
        <f t="shared" ca="1" si="126"/>
        <v>3517366.8119794219</v>
      </c>
      <c r="BM22" s="40">
        <f t="shared" ca="1" si="126"/>
        <v>3517366.8119794219</v>
      </c>
      <c r="BN22" s="40">
        <f t="shared" ca="1" si="126"/>
        <v>3517366.8119794219</v>
      </c>
      <c r="BO22" s="40">
        <f t="shared" ca="1" si="126"/>
        <v>3517366.8119794219</v>
      </c>
      <c r="BP22" s="40">
        <f t="shared" ca="1" si="126"/>
        <v>3517366.8119794219</v>
      </c>
      <c r="BQ22" s="40">
        <f t="shared" ca="1" si="126"/>
        <v>3517366.8119794219</v>
      </c>
      <c r="BR22" s="40">
        <f t="shared" ca="1" si="126"/>
        <v>3517366.8119794219</v>
      </c>
      <c r="BS22" s="40">
        <f t="shared" ca="1" si="126"/>
        <v>3517366.8119794219</v>
      </c>
      <c r="BT22" s="40">
        <f t="shared" ca="1" si="127"/>
        <v>3517366.8119794219</v>
      </c>
      <c r="BU22" s="40">
        <f t="shared" ca="1" si="127"/>
        <v>3517366.8119794219</v>
      </c>
      <c r="BV22" s="40">
        <f t="shared" ca="1" si="127"/>
        <v>3517366.8119794219</v>
      </c>
      <c r="BW22" s="40">
        <f t="shared" ca="1" si="127"/>
        <v>3517366.8119794219</v>
      </c>
      <c r="BX22" s="40">
        <f t="shared" ca="1" si="127"/>
        <v>3517366.8119794219</v>
      </c>
      <c r="BY22" s="40">
        <f t="shared" ca="1" si="127"/>
        <v>3517366.8119794219</v>
      </c>
      <c r="BZ22" s="40">
        <f t="shared" ca="1" si="127"/>
        <v>3517366.8119794219</v>
      </c>
      <c r="CA22" s="40">
        <f t="shared" ca="1" si="127"/>
        <v>3517366.8119794219</v>
      </c>
      <c r="CB22" s="40">
        <f t="shared" ca="1" si="127"/>
        <v>3517366.8119794219</v>
      </c>
      <c r="CC22" s="40">
        <f t="shared" ca="1" si="127"/>
        <v>3517366.8119794219</v>
      </c>
      <c r="CD22" s="40">
        <f t="shared" ca="1" si="127"/>
        <v>3517366.8119794219</v>
      </c>
      <c r="CE22" s="40">
        <f t="shared" ca="1" si="127"/>
        <v>3517366.8119794219</v>
      </c>
      <c r="CF22" s="40">
        <f t="shared" ca="1" si="127"/>
        <v>3517366.8119794219</v>
      </c>
      <c r="CG22" s="40">
        <f t="shared" ca="1" si="127"/>
        <v>3517366.8119794219</v>
      </c>
      <c r="CH22" s="40">
        <f t="shared" ca="1" si="127"/>
        <v>3517366.8119794219</v>
      </c>
      <c r="CI22" s="40">
        <f t="shared" ca="1" si="127"/>
        <v>3517366.8119794219</v>
      </c>
      <c r="CJ22" s="40">
        <f t="shared" ca="1" si="127"/>
        <v>3517366.8119794219</v>
      </c>
      <c r="CK22" s="40">
        <f t="shared" ca="1" si="127"/>
        <v>3517366.8119794219</v>
      </c>
      <c r="CL22" s="40">
        <f t="shared" ca="1" si="127"/>
        <v>3517366.8119794219</v>
      </c>
      <c r="CM22" s="40">
        <f t="shared" ca="1" si="127"/>
        <v>3517366.8119794219</v>
      </c>
      <c r="CN22" s="40">
        <f t="shared" ca="1" si="127"/>
        <v>3517366.8119794219</v>
      </c>
      <c r="CO22" s="40">
        <f t="shared" ca="1" si="127"/>
        <v>3517366.8119794219</v>
      </c>
      <c r="CP22" s="40">
        <f t="shared" ca="1" si="127"/>
        <v>3517366.8119794219</v>
      </c>
      <c r="CQ22" s="40">
        <f t="shared" ca="1" si="127"/>
        <v>3517366.8119794219</v>
      </c>
      <c r="CR22" s="40">
        <f t="shared" ca="1" si="127"/>
        <v>3517366.8119794219</v>
      </c>
      <c r="CS22" s="40">
        <f t="shared" ca="1" si="127"/>
        <v>3517366.8119794219</v>
      </c>
      <c r="CT22" s="40">
        <f t="shared" ca="1" si="127"/>
        <v>3517366.8119794219</v>
      </c>
      <c r="CU22" s="40">
        <f t="shared" ca="1" si="127"/>
        <v>3517366.8119794219</v>
      </c>
      <c r="CV22" s="40">
        <f t="shared" ca="1" si="127"/>
        <v>3517366.8119794219</v>
      </c>
      <c r="CW22" s="40">
        <f t="shared" ca="1" si="127"/>
        <v>3517366.8119794219</v>
      </c>
      <c r="CX22" s="40">
        <f t="shared" ca="1" si="127"/>
        <v>3517366.8119794219</v>
      </c>
      <c r="CY22" s="40">
        <f t="shared" ca="1" si="127"/>
        <v>3517366.8119794219</v>
      </c>
      <c r="CZ22" s="40">
        <f t="shared" ca="1" si="127"/>
        <v>3517366.8119794219</v>
      </c>
      <c r="DA22" s="40">
        <f t="shared" ca="1" si="127"/>
        <v>3517366.8119794219</v>
      </c>
      <c r="DB22" s="40">
        <f t="shared" ca="1" si="127"/>
        <v>3517366.8119794219</v>
      </c>
      <c r="DC22" s="40">
        <f t="shared" ca="1" si="127"/>
        <v>3517366.8119794219</v>
      </c>
      <c r="DD22" s="40">
        <f t="shared" ca="1" si="127"/>
        <v>3517366.8119794219</v>
      </c>
      <c r="DE22" s="40">
        <f t="shared" ca="1" si="127"/>
        <v>3517366.8119794219</v>
      </c>
      <c r="DF22" s="40">
        <f t="shared" ca="1" si="127"/>
        <v>3517366.8119794219</v>
      </c>
      <c r="DG22" s="40">
        <f t="shared" ca="1" si="127"/>
        <v>3517366.8119794219</v>
      </c>
      <c r="DH22" s="40">
        <f t="shared" ca="1" si="127"/>
        <v>3517366.8119794219</v>
      </c>
      <c r="DI22" s="40">
        <f t="shared" ca="1" si="127"/>
        <v>3517366.8119794219</v>
      </c>
      <c r="DJ22" s="40">
        <f t="shared" ca="1" si="127"/>
        <v>3517366.8119794219</v>
      </c>
      <c r="DK22" s="40">
        <f t="shared" ca="1" si="127"/>
        <v>3517366.8119794219</v>
      </c>
      <c r="DL22" s="40">
        <f t="shared" ca="1" si="127"/>
        <v>3517366.8119794219</v>
      </c>
      <c r="DM22" s="40">
        <f t="shared" ca="1" si="127"/>
        <v>3517366.8119794219</v>
      </c>
      <c r="DN22" s="40">
        <f t="shared" ca="1" si="127"/>
        <v>3517366.8119794219</v>
      </c>
      <c r="DO22" s="40">
        <f t="shared" ca="1" si="127"/>
        <v>3517366.8119794219</v>
      </c>
      <c r="DP22" s="40">
        <f t="shared" ca="1" si="127"/>
        <v>3517366.8119794219</v>
      </c>
      <c r="DQ22" s="40">
        <f t="shared" ca="1" si="127"/>
        <v>3517366.8119794219</v>
      </c>
      <c r="DR22" s="40">
        <f t="shared" ca="1" si="127"/>
        <v>3517366.8119794219</v>
      </c>
      <c r="DS22" s="40">
        <f t="shared" ca="1" si="127"/>
        <v>3517366.8119794219</v>
      </c>
      <c r="DT22" s="40">
        <f t="shared" ca="1" si="127"/>
        <v>3517366.8119794219</v>
      </c>
      <c r="DU22" s="40">
        <f t="shared" ca="1" si="127"/>
        <v>3517366.8119794219</v>
      </c>
      <c r="DV22" s="40">
        <f t="shared" ca="1" si="127"/>
        <v>3517366.8119794219</v>
      </c>
      <c r="DW22" s="40">
        <f t="shared" ca="1" si="127"/>
        <v>3517366.8119794219</v>
      </c>
      <c r="DX22" s="40">
        <f t="shared" ca="1" si="127"/>
        <v>3517366.8119794219</v>
      </c>
      <c r="DY22" s="40">
        <f t="shared" ca="1" si="127"/>
        <v>3517366.8119794219</v>
      </c>
      <c r="DZ22" s="40">
        <f t="shared" ca="1" si="127"/>
        <v>3517366.8119794219</v>
      </c>
      <c r="EA22" s="40">
        <f t="shared" ca="1" si="127"/>
        <v>3517366.8119794219</v>
      </c>
      <c r="EB22" s="40">
        <f t="shared" ca="1" si="127"/>
        <v>3517366.8119794219</v>
      </c>
      <c r="EC22" s="40">
        <f t="shared" ca="1" si="127"/>
        <v>3517366.8119794219</v>
      </c>
      <c r="ED22" s="40">
        <f t="shared" ca="1" si="127"/>
        <v>3517366.8119794219</v>
      </c>
      <c r="EE22" s="40">
        <f t="shared" ca="1" si="127"/>
        <v>3517366.8119794219</v>
      </c>
      <c r="EF22" s="40">
        <f t="shared" ca="1" si="128"/>
        <v>3517366.8119794219</v>
      </c>
      <c r="EG22" s="40">
        <f t="shared" ca="1" si="128"/>
        <v>3517366.8119794219</v>
      </c>
      <c r="EH22" s="40">
        <f t="shared" ca="1" si="128"/>
        <v>3517366.8119794219</v>
      </c>
      <c r="EI22" s="40">
        <f t="shared" ca="1" si="128"/>
        <v>3517366.8119794219</v>
      </c>
      <c r="EJ22" s="40">
        <f t="shared" ca="1" si="128"/>
        <v>3517366.8119794219</v>
      </c>
      <c r="EK22" s="40">
        <f t="shared" ca="1" si="128"/>
        <v>3517366.8119794219</v>
      </c>
      <c r="EL22" s="40">
        <f t="shared" ca="1" si="128"/>
        <v>3517366.8119794219</v>
      </c>
      <c r="EM22" s="40">
        <f t="shared" ca="1" si="128"/>
        <v>3517366.8119794219</v>
      </c>
      <c r="EN22" s="40">
        <f t="shared" ca="1" si="128"/>
        <v>3517366.8119794219</v>
      </c>
      <c r="EO22" s="40">
        <f t="shared" ca="1" si="128"/>
        <v>3517366.8119794219</v>
      </c>
      <c r="EP22" s="40">
        <f t="shared" ca="1" si="128"/>
        <v>3517366.8119794219</v>
      </c>
      <c r="EQ22" s="40">
        <f t="shared" ca="1" si="128"/>
        <v>3517366.8119794219</v>
      </c>
      <c r="ER22" s="40">
        <f t="shared" ca="1" si="128"/>
        <v>3517366.8119794219</v>
      </c>
      <c r="ES22" s="40">
        <f t="shared" ca="1" si="128"/>
        <v>3517366.8119794219</v>
      </c>
      <c r="ET22" s="40">
        <f t="shared" ca="1" si="128"/>
        <v>3517366.8119794219</v>
      </c>
      <c r="EU22" s="40">
        <f t="shared" ca="1" si="128"/>
        <v>3517366.8119794219</v>
      </c>
      <c r="EV22" s="40">
        <f t="shared" ca="1" si="128"/>
        <v>3517366.8119794219</v>
      </c>
      <c r="EW22" s="40">
        <f t="shared" ca="1" si="128"/>
        <v>3517366.8119794219</v>
      </c>
      <c r="EX22" s="40">
        <f t="shared" ca="1" si="128"/>
        <v>3517366.8119794219</v>
      </c>
      <c r="EY22" s="40">
        <f t="shared" ca="1" si="128"/>
        <v>3517366.8119794219</v>
      </c>
      <c r="EZ22" s="40">
        <f t="shared" ca="1" si="128"/>
        <v>3517366.8119794219</v>
      </c>
      <c r="FA22" s="40">
        <f t="shared" ca="1" si="128"/>
        <v>3517366.8119794219</v>
      </c>
      <c r="FB22" s="40">
        <f t="shared" ca="1" si="128"/>
        <v>3517366.8119794219</v>
      </c>
      <c r="FC22" s="40">
        <f t="shared" ca="1" si="128"/>
        <v>3517366.8119794219</v>
      </c>
      <c r="FD22" s="40">
        <f t="shared" ca="1" si="128"/>
        <v>3517366.8119794219</v>
      </c>
      <c r="FE22" s="40">
        <f t="shared" ca="1" si="128"/>
        <v>3517366.8119794219</v>
      </c>
      <c r="FF22" s="40">
        <f t="shared" ca="1" si="128"/>
        <v>3517366.8119794219</v>
      </c>
      <c r="FG22" s="40">
        <f t="shared" ca="1" si="128"/>
        <v>3517366.8119794219</v>
      </c>
      <c r="FH22" s="40">
        <f t="shared" ca="1" si="128"/>
        <v>3517366.8119794219</v>
      </c>
      <c r="FI22" s="40">
        <f t="shared" ca="1" si="128"/>
        <v>3517366.8119794219</v>
      </c>
      <c r="FJ22" s="40">
        <f t="shared" ca="1" si="128"/>
        <v>3517366.8119794219</v>
      </c>
      <c r="FK22" s="40">
        <f t="shared" ca="1" si="128"/>
        <v>3517366.8119794219</v>
      </c>
      <c r="FL22" s="40">
        <f t="shared" ca="1" si="128"/>
        <v>3517366.8119794219</v>
      </c>
      <c r="FM22" s="40">
        <f t="shared" ca="1" si="128"/>
        <v>3517366.8119794219</v>
      </c>
      <c r="FN22" s="40">
        <f t="shared" ca="1" si="128"/>
        <v>3517366.8119794219</v>
      </c>
      <c r="FO22" s="40">
        <f t="shared" ca="1" si="128"/>
        <v>3517366.8119794219</v>
      </c>
      <c r="FP22" s="40">
        <f t="shared" ca="1" si="128"/>
        <v>3517366.8119794219</v>
      </c>
      <c r="FQ22" s="40">
        <f t="shared" ca="1" si="128"/>
        <v>3517366.8119794219</v>
      </c>
      <c r="FR22" s="40">
        <f t="shared" ca="1" si="128"/>
        <v>3517366.8119794219</v>
      </c>
      <c r="FS22" s="40">
        <f t="shared" ca="1" si="128"/>
        <v>3517366.8119794219</v>
      </c>
      <c r="FT22" s="40">
        <f t="shared" ca="1" si="128"/>
        <v>3517366.8119794219</v>
      </c>
      <c r="FU22" s="40">
        <f t="shared" ca="1" si="128"/>
        <v>3517366.8119794219</v>
      </c>
      <c r="FV22" s="40">
        <f t="shared" ca="1" si="128"/>
        <v>3517366.8119794219</v>
      </c>
      <c r="FW22" s="40">
        <f t="shared" ca="1" si="128"/>
        <v>3517366.8119794219</v>
      </c>
      <c r="FX22" s="40">
        <f t="shared" ca="1" si="128"/>
        <v>3517366.8119794219</v>
      </c>
      <c r="FY22" s="40">
        <f t="shared" ca="1" si="128"/>
        <v>3517366.8119794219</v>
      </c>
      <c r="FZ22" s="40">
        <f t="shared" ca="1" si="128"/>
        <v>3517366.8119794219</v>
      </c>
      <c r="GA22" s="40">
        <f t="shared" ca="1" si="128"/>
        <v>3517366.8119794219</v>
      </c>
      <c r="GB22" s="40">
        <f t="shared" ca="1" si="128"/>
        <v>3517366.8119794219</v>
      </c>
      <c r="GC22" s="40">
        <f t="shared" ca="1" si="128"/>
        <v>3517366.8119794219</v>
      </c>
      <c r="GD22" s="40">
        <f t="shared" ca="1" si="128"/>
        <v>3517366.8119794219</v>
      </c>
      <c r="GE22" s="40">
        <f t="shared" ca="1" si="128"/>
        <v>3517366.8119794219</v>
      </c>
      <c r="GF22" s="40">
        <f t="shared" ca="1" si="128"/>
        <v>3517366.8119794219</v>
      </c>
      <c r="GG22" s="40">
        <f t="shared" ca="1" si="128"/>
        <v>3517366.8119794219</v>
      </c>
      <c r="GH22" s="40">
        <f t="shared" ca="1" si="128"/>
        <v>3517366.8119794219</v>
      </c>
      <c r="GI22" s="40">
        <f t="shared" ca="1" si="128"/>
        <v>3517366.8119794219</v>
      </c>
      <c r="GJ22" s="40">
        <f t="shared" ca="1" si="128"/>
        <v>3517366.8119794219</v>
      </c>
      <c r="GK22" s="40">
        <f t="shared" ca="1" si="128"/>
        <v>3517366.8119794219</v>
      </c>
      <c r="GL22" s="40">
        <f t="shared" ca="1" si="128"/>
        <v>3517366.8119794219</v>
      </c>
      <c r="GM22" s="40">
        <f t="shared" ca="1" si="128"/>
        <v>3517366.8119794219</v>
      </c>
      <c r="GN22" s="40">
        <f t="shared" ca="1" si="128"/>
        <v>3517366.8119794219</v>
      </c>
      <c r="GO22" s="40">
        <f t="shared" ca="1" si="128"/>
        <v>3517366.8119794219</v>
      </c>
      <c r="GP22" s="40">
        <f t="shared" ca="1" si="128"/>
        <v>3517366.8119794219</v>
      </c>
      <c r="GQ22" s="40">
        <f t="shared" ca="1" si="128"/>
        <v>3517366.8119794219</v>
      </c>
      <c r="GR22" s="40">
        <f t="shared" ca="1" si="129"/>
        <v>3517366.8119794219</v>
      </c>
      <c r="GS22" s="40">
        <f t="shared" ca="1" si="129"/>
        <v>3517366.8119794219</v>
      </c>
      <c r="GT22" s="40">
        <f t="shared" ca="1" si="129"/>
        <v>3517366.8119794219</v>
      </c>
      <c r="GU22" s="40">
        <f t="shared" ca="1" si="129"/>
        <v>3517366.8119794219</v>
      </c>
      <c r="GV22" s="40">
        <f t="shared" ca="1" si="129"/>
        <v>3517366.8119794219</v>
      </c>
      <c r="GW22" s="40">
        <f t="shared" ca="1" si="129"/>
        <v>3517366.8119794219</v>
      </c>
      <c r="GX22" s="40">
        <f t="shared" ca="1" si="129"/>
        <v>3517366.8119794219</v>
      </c>
      <c r="GY22" s="40">
        <f t="shared" ca="1" si="129"/>
        <v>3517366.8119794219</v>
      </c>
      <c r="GZ22" s="40">
        <f t="shared" ca="1" si="129"/>
        <v>3517366.8119794219</v>
      </c>
      <c r="HA22" s="40">
        <f t="shared" ca="1" si="129"/>
        <v>3517366.8119794219</v>
      </c>
      <c r="HB22" s="40">
        <f t="shared" ca="1" si="129"/>
        <v>3517366.8119794219</v>
      </c>
      <c r="HC22" s="40">
        <f t="shared" ca="1" si="129"/>
        <v>3517366.8119794219</v>
      </c>
      <c r="HD22" s="40">
        <f t="shared" ca="1" si="129"/>
        <v>3517366.8119794219</v>
      </c>
      <c r="HE22" s="40">
        <f t="shared" ca="1" si="129"/>
        <v>3517366.8119794219</v>
      </c>
      <c r="HF22" s="40">
        <f t="shared" ca="1" si="129"/>
        <v>3517366.8119794219</v>
      </c>
      <c r="HG22" s="40">
        <f t="shared" ca="1" si="129"/>
        <v>3517366.8119794219</v>
      </c>
      <c r="HH22" s="40">
        <f t="shared" ca="1" si="129"/>
        <v>3517366.8119794219</v>
      </c>
      <c r="HI22" s="40">
        <f t="shared" ca="1" si="129"/>
        <v>3517366.8119794219</v>
      </c>
      <c r="HJ22" s="40">
        <f t="shared" ca="1" si="129"/>
        <v>3517366.8119794219</v>
      </c>
      <c r="HK22" s="40">
        <f t="shared" ca="1" si="129"/>
        <v>3517366.8119794219</v>
      </c>
      <c r="HL22" s="40">
        <f t="shared" ca="1" si="129"/>
        <v>3517366.8119794219</v>
      </c>
      <c r="HM22" s="40">
        <f t="shared" ca="1" si="129"/>
        <v>3517366.8119794219</v>
      </c>
      <c r="HN22" s="40">
        <f t="shared" ca="1" si="129"/>
        <v>3517366.8119794219</v>
      </c>
      <c r="HO22" s="40">
        <f t="shared" ca="1" si="129"/>
        <v>3517366.8119794219</v>
      </c>
      <c r="HP22" s="40">
        <f t="shared" ca="1" si="129"/>
        <v>3517366.8119794219</v>
      </c>
      <c r="HQ22" s="40">
        <f t="shared" ca="1" si="129"/>
        <v>3517366.8119794219</v>
      </c>
      <c r="HR22" s="40">
        <f t="shared" ca="1" si="129"/>
        <v>3517366.8119794219</v>
      </c>
      <c r="HS22" s="40">
        <f t="shared" ca="1" si="129"/>
        <v>3517366.8119794219</v>
      </c>
      <c r="HT22" s="40">
        <f t="shared" ca="1" si="129"/>
        <v>3517366.8119794219</v>
      </c>
      <c r="HU22" s="40">
        <f t="shared" ca="1" si="129"/>
        <v>3517366.8119794219</v>
      </c>
      <c r="HV22" s="40">
        <f t="shared" ca="1" si="129"/>
        <v>3517366.8119794219</v>
      </c>
      <c r="HW22" s="40">
        <f t="shared" ca="1" si="129"/>
        <v>3517366.8119794219</v>
      </c>
      <c r="HX22" s="40">
        <f t="shared" ca="1" si="129"/>
        <v>3517366.8119794219</v>
      </c>
      <c r="HY22" s="40">
        <f t="shared" ca="1" si="129"/>
        <v>3517366.8119794219</v>
      </c>
      <c r="HZ22" s="40">
        <f t="shared" ca="1" si="129"/>
        <v>3517366.8119794219</v>
      </c>
      <c r="IA22" s="40">
        <f t="shared" ca="1" si="129"/>
        <v>3517366.8119794219</v>
      </c>
      <c r="IB22" s="40">
        <f t="shared" ca="1" si="129"/>
        <v>3517366.8119794219</v>
      </c>
      <c r="IC22" s="40">
        <f t="shared" ca="1" si="129"/>
        <v>3517366.8119794219</v>
      </c>
      <c r="ID22" s="40">
        <f t="shared" ca="1" si="129"/>
        <v>3517366.8119794219</v>
      </c>
      <c r="IE22" s="40">
        <f t="shared" ca="1" si="129"/>
        <v>3517366.8119794219</v>
      </c>
      <c r="IF22" s="40">
        <f t="shared" ca="1" si="129"/>
        <v>3517366.8119794219</v>
      </c>
      <c r="IG22" s="40">
        <f t="shared" ca="1" si="129"/>
        <v>3517366.8119794219</v>
      </c>
      <c r="IH22" s="40">
        <f t="shared" ca="1" si="129"/>
        <v>3517366.8119794219</v>
      </c>
      <c r="II22" s="40">
        <f t="shared" ca="1" si="129"/>
        <v>3517366.8119794219</v>
      </c>
      <c r="IJ22" s="40">
        <f t="shared" ca="1" si="129"/>
        <v>3517366.8119794219</v>
      </c>
      <c r="IK22" s="40">
        <f t="shared" ca="1" si="129"/>
        <v>3517366.8119794219</v>
      </c>
      <c r="IL22" s="40">
        <f t="shared" ca="1" si="129"/>
        <v>3517366.8119794219</v>
      </c>
      <c r="IM22" s="40">
        <f t="shared" ca="1" si="129"/>
        <v>3517366.8119794219</v>
      </c>
      <c r="IN22" s="40">
        <f t="shared" ca="1" si="129"/>
        <v>3517366.8119794219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30"/>
        <v>15.025722684958353</v>
      </c>
      <c r="H23" s="40">
        <f t="shared" ref="H23:BS23" ca="1" si="131">H12*$C$15</f>
        <v>21.24326310632043</v>
      </c>
      <c r="I23" s="40">
        <f t="shared" ca="1" si="131"/>
        <v>26.813143067123956</v>
      </c>
      <c r="J23" s="40">
        <f t="shared" ca="1" si="131"/>
        <v>35.491793238608523</v>
      </c>
      <c r="K23" s="40">
        <f t="shared" ca="1" si="131"/>
        <v>41.709333659970596</v>
      </c>
      <c r="L23" s="40">
        <f t="shared" ca="1" si="131"/>
        <v>49.740323370896618</v>
      </c>
      <c r="M23" s="40">
        <f t="shared" ca="1" si="131"/>
        <v>59.455230279274858</v>
      </c>
      <c r="N23" s="40">
        <f t="shared" ca="1" si="131"/>
        <v>76.164870161685442</v>
      </c>
      <c r="O23" s="40">
        <f t="shared" ca="1" si="131"/>
        <v>103.49614159725624</v>
      </c>
      <c r="P23" s="40">
        <f t="shared" ca="1" si="131"/>
        <v>146.50079617834393</v>
      </c>
      <c r="Q23" s="40">
        <f t="shared" ca="1" si="131"/>
        <v>172.0186183243508</v>
      </c>
      <c r="R23" s="40">
        <f t="shared" ca="1" si="131"/>
        <v>164.63528907398333</v>
      </c>
      <c r="S23" s="40">
        <f t="shared" ca="1" si="131"/>
        <v>218.26157520823125</v>
      </c>
      <c r="T23" s="40">
        <f t="shared" ca="1" si="131"/>
        <v>297.40568348848603</v>
      </c>
      <c r="U23" s="40">
        <f t="shared" ca="1" si="131"/>
        <v>290.79954679078878</v>
      </c>
      <c r="V23" s="40">
        <f t="shared" ca="1" si="131"/>
        <v>449.9944879960803</v>
      </c>
      <c r="W23" s="40">
        <f t="shared" ca="1" si="131"/>
        <v>569.29354483096517</v>
      </c>
      <c r="X23" s="40">
        <f t="shared" ca="1" si="131"/>
        <v>639.49993875551195</v>
      </c>
      <c r="Y23" s="40">
        <f t="shared" ca="1" si="131"/>
        <v>735.87181528662416</v>
      </c>
      <c r="Z23" s="40">
        <f t="shared" ca="1" si="131"/>
        <v>872.91676874081327</v>
      </c>
      <c r="AA23" s="40">
        <f t="shared" ca="1" si="131"/>
        <v>1222.0834762371383</v>
      </c>
      <c r="AB23" s="40">
        <f t="shared" ca="1" si="131"/>
        <v>1710.9168667319937</v>
      </c>
      <c r="AC23" s="40">
        <f t="shared" ca="1" si="131"/>
        <v>2395.2836134247909</v>
      </c>
      <c r="AD23" s="40">
        <f t="shared" ca="1" si="131"/>
        <v>3353.3970587947069</v>
      </c>
      <c r="AE23" s="40">
        <f t="shared" ca="1" si="131"/>
        <v>4694.7558823125901</v>
      </c>
      <c r="AF23" s="40">
        <f t="shared" ca="1" si="131"/>
        <v>6572.6582352376245</v>
      </c>
      <c r="AG23" s="40">
        <f t="shared" ca="1" si="131"/>
        <v>9201.7215293326735</v>
      </c>
      <c r="AH23" s="40">
        <f t="shared" ca="1" si="131"/>
        <v>12882.410141065742</v>
      </c>
      <c r="AI23" s="40">
        <f t="shared" ca="1" si="131"/>
        <v>18035.374197492038</v>
      </c>
      <c r="AJ23" s="40">
        <f t="shared" ca="1" si="131"/>
        <v>25249.523876488849</v>
      </c>
      <c r="AK23" s="40">
        <f t="shared" ca="1" si="131"/>
        <v>35349.333427084392</v>
      </c>
      <c r="AL23" s="40">
        <f t="shared" ca="1" si="131"/>
        <v>49489.066797918145</v>
      </c>
      <c r="AM23" s="40">
        <f t="shared" ca="1" si="131"/>
        <v>69284.693517085398</v>
      </c>
      <c r="AN23" s="40">
        <f t="shared" ca="1" si="131"/>
        <v>96998.570923919557</v>
      </c>
      <c r="AO23" s="40">
        <f t="shared" ca="1" si="131"/>
        <v>135797.99929348737</v>
      </c>
      <c r="AP23" s="40">
        <f t="shared" ca="1" si="131"/>
        <v>190117.19901088232</v>
      </c>
      <c r="AQ23" s="40">
        <f t="shared" ca="1" si="131"/>
        <v>266164.07861523522</v>
      </c>
      <c r="AR23" s="40">
        <f t="shared" ca="1" si="131"/>
        <v>372629.71006132936</v>
      </c>
      <c r="AS23" s="40">
        <f t="shared" ca="1" si="131"/>
        <v>521681.594085861</v>
      </c>
      <c r="AT23" s="40">
        <f t="shared" ca="1" si="131"/>
        <v>730354.2317202054</v>
      </c>
      <c r="AU23" s="40">
        <f t="shared" ca="1" si="131"/>
        <v>1022495.9244082875</v>
      </c>
      <c r="AV23" s="40">
        <f t="shared" ca="1" si="131"/>
        <v>1431494.2941716025</v>
      </c>
      <c r="AW23" s="40">
        <f t="shared" ca="1" si="131"/>
        <v>2004092.0118402434</v>
      </c>
      <c r="AX23" s="40">
        <f t="shared" ca="1" si="131"/>
        <v>2805728.8165763402</v>
      </c>
      <c r="AY23" s="40">
        <f t="shared" ca="1" si="131"/>
        <v>3517366.8119794219</v>
      </c>
      <c r="AZ23" s="40">
        <f t="shared" ca="1" si="131"/>
        <v>3517366.8119794219</v>
      </c>
      <c r="BA23" s="40">
        <f t="shared" ca="1" si="131"/>
        <v>3517366.8119794219</v>
      </c>
      <c r="BB23" s="40">
        <f t="shared" ca="1" si="131"/>
        <v>3517366.8119794219</v>
      </c>
      <c r="BC23" s="40">
        <f t="shared" ca="1" si="131"/>
        <v>3517366.8119794219</v>
      </c>
      <c r="BD23" s="40">
        <f t="shared" ca="1" si="131"/>
        <v>3517366.8119794219</v>
      </c>
      <c r="BE23" s="40">
        <f t="shared" ca="1" si="131"/>
        <v>3517366.8119794219</v>
      </c>
      <c r="BF23" s="40">
        <f t="shared" ca="1" si="131"/>
        <v>3517366.8119794219</v>
      </c>
      <c r="BG23" s="40">
        <f t="shared" ca="1" si="131"/>
        <v>3517366.8119794219</v>
      </c>
      <c r="BH23" s="40">
        <f t="shared" ca="1" si="131"/>
        <v>3517366.8119794219</v>
      </c>
      <c r="BI23" s="40">
        <f t="shared" ca="1" si="131"/>
        <v>3517366.8119794219</v>
      </c>
      <c r="BJ23" s="40">
        <f t="shared" ca="1" si="131"/>
        <v>3517366.8119794219</v>
      </c>
      <c r="BK23" s="40">
        <f t="shared" ca="1" si="131"/>
        <v>3517366.8119794219</v>
      </c>
      <c r="BL23" s="40">
        <f t="shared" ca="1" si="131"/>
        <v>3517366.8119794219</v>
      </c>
      <c r="BM23" s="40">
        <f t="shared" ca="1" si="131"/>
        <v>3517366.8119794219</v>
      </c>
      <c r="BN23" s="40">
        <f t="shared" ca="1" si="131"/>
        <v>3517366.8119794219</v>
      </c>
      <c r="BO23" s="40">
        <f t="shared" ca="1" si="131"/>
        <v>3517366.8119794219</v>
      </c>
      <c r="BP23" s="40">
        <f t="shared" ca="1" si="131"/>
        <v>3517366.8119794219</v>
      </c>
      <c r="BQ23" s="40">
        <f t="shared" ca="1" si="131"/>
        <v>3517366.8119794219</v>
      </c>
      <c r="BR23" s="40">
        <f t="shared" ca="1" si="131"/>
        <v>3517366.8119794219</v>
      </c>
      <c r="BS23" s="40">
        <f t="shared" ca="1" si="131"/>
        <v>3517366.8119794219</v>
      </c>
      <c r="BT23" s="40">
        <f t="shared" ca="1" si="127"/>
        <v>3517366.8119794219</v>
      </c>
      <c r="BU23" s="40">
        <f t="shared" ca="1" si="127"/>
        <v>3517366.8119794219</v>
      </c>
      <c r="BV23" s="40">
        <f t="shared" ca="1" si="127"/>
        <v>3517366.8119794219</v>
      </c>
      <c r="BW23" s="40">
        <f t="shared" ca="1" si="127"/>
        <v>3517366.8119794219</v>
      </c>
      <c r="BX23" s="40">
        <f t="shared" ca="1" si="127"/>
        <v>3517366.8119794219</v>
      </c>
      <c r="BY23" s="40">
        <f t="shared" ca="1" si="127"/>
        <v>3517366.8119794219</v>
      </c>
      <c r="BZ23" s="40">
        <f t="shared" ca="1" si="127"/>
        <v>3517366.8119794219</v>
      </c>
      <c r="CA23" s="40">
        <f t="shared" ca="1" si="127"/>
        <v>3517366.8119794219</v>
      </c>
      <c r="CB23" s="40">
        <f t="shared" ca="1" si="127"/>
        <v>3517366.8119794219</v>
      </c>
      <c r="CC23" s="40">
        <f t="shared" ca="1" si="127"/>
        <v>3517366.8119794219</v>
      </c>
      <c r="CD23" s="40">
        <f t="shared" ca="1" si="127"/>
        <v>3517366.8119794219</v>
      </c>
      <c r="CE23" s="40">
        <f t="shared" ca="1" si="127"/>
        <v>3517366.8119794219</v>
      </c>
      <c r="CF23" s="40">
        <f t="shared" ca="1" si="127"/>
        <v>3517366.8119794219</v>
      </c>
      <c r="CG23" s="40">
        <f t="shared" ca="1" si="127"/>
        <v>3517366.8119794219</v>
      </c>
      <c r="CH23" s="40">
        <f t="shared" ca="1" si="127"/>
        <v>3517366.8119794219</v>
      </c>
      <c r="CI23" s="40">
        <f t="shared" ca="1" si="127"/>
        <v>3517366.8119794219</v>
      </c>
      <c r="CJ23" s="40">
        <f t="shared" ca="1" si="127"/>
        <v>3517366.8119794219</v>
      </c>
      <c r="CK23" s="40">
        <f t="shared" ca="1" si="127"/>
        <v>3517366.8119794219</v>
      </c>
      <c r="CL23" s="40">
        <f t="shared" ca="1" si="127"/>
        <v>3517366.8119794219</v>
      </c>
      <c r="CM23" s="40">
        <f t="shared" ca="1" si="127"/>
        <v>3517366.8119794219</v>
      </c>
      <c r="CN23" s="40">
        <f t="shared" ca="1" si="127"/>
        <v>3517366.8119794219</v>
      </c>
      <c r="CO23" s="40">
        <f t="shared" ca="1" si="127"/>
        <v>3517366.8119794219</v>
      </c>
      <c r="CP23" s="40">
        <f t="shared" ca="1" si="127"/>
        <v>3517366.8119794219</v>
      </c>
      <c r="CQ23" s="40">
        <f t="shared" ca="1" si="127"/>
        <v>3517366.8119794219</v>
      </c>
      <c r="CR23" s="40">
        <f t="shared" ca="1" si="127"/>
        <v>3517366.8119794219</v>
      </c>
      <c r="CS23" s="40">
        <f t="shared" ca="1" si="127"/>
        <v>3517366.8119794219</v>
      </c>
      <c r="CT23" s="40">
        <f t="shared" ca="1" si="127"/>
        <v>3517366.8119794219</v>
      </c>
      <c r="CU23" s="40">
        <f t="shared" ca="1" si="127"/>
        <v>3517366.8119794219</v>
      </c>
      <c r="CV23" s="40">
        <f t="shared" ca="1" si="127"/>
        <v>3517366.8119794219</v>
      </c>
      <c r="CW23" s="40">
        <f t="shared" ca="1" si="127"/>
        <v>3517366.8119794219</v>
      </c>
      <c r="CX23" s="40">
        <f t="shared" ca="1" si="127"/>
        <v>3517366.8119794219</v>
      </c>
      <c r="CY23" s="40">
        <f t="shared" ca="1" si="127"/>
        <v>3517366.8119794219</v>
      </c>
      <c r="CZ23" s="40">
        <f t="shared" ca="1" si="127"/>
        <v>3517366.8119794219</v>
      </c>
      <c r="DA23" s="40">
        <f t="shared" ca="1" si="127"/>
        <v>3517366.8119794219</v>
      </c>
      <c r="DB23" s="40">
        <f t="shared" ca="1" si="127"/>
        <v>3517366.8119794219</v>
      </c>
      <c r="DC23" s="40">
        <f t="shared" ca="1" si="127"/>
        <v>3517366.8119794219</v>
      </c>
      <c r="DD23" s="40">
        <f t="shared" ca="1" si="127"/>
        <v>3517366.8119794219</v>
      </c>
      <c r="DE23" s="40">
        <f t="shared" ca="1" si="127"/>
        <v>3517366.8119794219</v>
      </c>
      <c r="DF23" s="40">
        <f t="shared" ca="1" si="127"/>
        <v>3517366.8119794219</v>
      </c>
      <c r="DG23" s="40">
        <f t="shared" ca="1" si="127"/>
        <v>3517366.8119794219</v>
      </c>
      <c r="DH23" s="40">
        <f t="shared" ca="1" si="127"/>
        <v>3517366.8119794219</v>
      </c>
      <c r="DI23" s="40">
        <f t="shared" ca="1" si="127"/>
        <v>3517366.8119794219</v>
      </c>
      <c r="DJ23" s="40">
        <f t="shared" ca="1" si="127"/>
        <v>3517366.8119794219</v>
      </c>
      <c r="DK23" s="40">
        <f t="shared" ca="1" si="127"/>
        <v>3517366.8119794219</v>
      </c>
      <c r="DL23" s="40">
        <f t="shared" ca="1" si="127"/>
        <v>3517366.8119794219</v>
      </c>
      <c r="DM23" s="40">
        <f t="shared" ca="1" si="127"/>
        <v>3517366.8119794219</v>
      </c>
      <c r="DN23" s="40">
        <f t="shared" ca="1" si="127"/>
        <v>3517366.8119794219</v>
      </c>
      <c r="DO23" s="40">
        <f t="shared" ca="1" si="127"/>
        <v>3517366.8119794219</v>
      </c>
      <c r="DP23" s="40">
        <f t="shared" ca="1" si="127"/>
        <v>3517366.8119794219</v>
      </c>
      <c r="DQ23" s="40">
        <f t="shared" ca="1" si="127"/>
        <v>3517366.8119794219</v>
      </c>
      <c r="DR23" s="40">
        <f t="shared" ca="1" si="127"/>
        <v>3517366.8119794219</v>
      </c>
      <c r="DS23" s="40">
        <f t="shared" ca="1" si="127"/>
        <v>3517366.8119794219</v>
      </c>
      <c r="DT23" s="40">
        <f t="shared" ca="1" si="127"/>
        <v>3517366.8119794219</v>
      </c>
      <c r="DU23" s="40">
        <f t="shared" ca="1" si="127"/>
        <v>3517366.8119794219</v>
      </c>
      <c r="DV23" s="40">
        <f t="shared" ca="1" si="127"/>
        <v>3517366.8119794219</v>
      </c>
      <c r="DW23" s="40">
        <f t="shared" ca="1" si="127"/>
        <v>3517366.8119794219</v>
      </c>
      <c r="DX23" s="40">
        <f t="shared" ca="1" si="127"/>
        <v>3517366.8119794219</v>
      </c>
      <c r="DY23" s="40">
        <f t="shared" ca="1" si="127"/>
        <v>3517366.8119794219</v>
      </c>
      <c r="DZ23" s="40">
        <f t="shared" ca="1" si="127"/>
        <v>3517366.8119794219</v>
      </c>
      <c r="EA23" s="40">
        <f t="shared" ca="1" si="127"/>
        <v>3517366.8119794219</v>
      </c>
      <c r="EB23" s="40">
        <f t="shared" ca="1" si="127"/>
        <v>3517366.8119794219</v>
      </c>
      <c r="EC23" s="40">
        <f t="shared" ca="1" si="127"/>
        <v>3517366.8119794219</v>
      </c>
      <c r="ED23" s="40">
        <f t="shared" ca="1" si="127"/>
        <v>3517366.8119794219</v>
      </c>
      <c r="EE23" s="40">
        <f t="shared" ca="1" si="127"/>
        <v>3517366.8119794219</v>
      </c>
      <c r="EF23" s="40">
        <f t="shared" ca="1" si="128"/>
        <v>3517366.8119794219</v>
      </c>
      <c r="EG23" s="40">
        <f t="shared" ca="1" si="128"/>
        <v>3517366.8119794219</v>
      </c>
      <c r="EH23" s="40">
        <f t="shared" ca="1" si="128"/>
        <v>3517366.8119794219</v>
      </c>
      <c r="EI23" s="40">
        <f t="shared" ca="1" si="128"/>
        <v>3517366.8119794219</v>
      </c>
      <c r="EJ23" s="40">
        <f t="shared" ca="1" si="128"/>
        <v>3517366.8119794219</v>
      </c>
      <c r="EK23" s="40">
        <f t="shared" ca="1" si="128"/>
        <v>3517366.8119794219</v>
      </c>
      <c r="EL23" s="40">
        <f t="shared" ca="1" si="128"/>
        <v>3517366.8119794219</v>
      </c>
      <c r="EM23" s="40">
        <f t="shared" ca="1" si="128"/>
        <v>3517366.8119794219</v>
      </c>
      <c r="EN23" s="40">
        <f t="shared" ca="1" si="128"/>
        <v>3517366.8119794219</v>
      </c>
      <c r="EO23" s="40">
        <f t="shared" ca="1" si="128"/>
        <v>3517366.8119794219</v>
      </c>
      <c r="EP23" s="40">
        <f t="shared" ca="1" si="128"/>
        <v>3517366.8119794219</v>
      </c>
      <c r="EQ23" s="40">
        <f t="shared" ca="1" si="128"/>
        <v>3517366.8119794219</v>
      </c>
      <c r="ER23" s="40">
        <f t="shared" ca="1" si="128"/>
        <v>3517366.8119794219</v>
      </c>
      <c r="ES23" s="40">
        <f t="shared" ca="1" si="128"/>
        <v>3517366.8119794219</v>
      </c>
      <c r="ET23" s="40">
        <f t="shared" ca="1" si="128"/>
        <v>3517366.8119794219</v>
      </c>
      <c r="EU23" s="40">
        <f t="shared" ca="1" si="128"/>
        <v>3517366.8119794219</v>
      </c>
      <c r="EV23" s="40">
        <f t="shared" ca="1" si="128"/>
        <v>3517366.8119794219</v>
      </c>
      <c r="EW23" s="40">
        <f t="shared" ca="1" si="128"/>
        <v>3517366.8119794219</v>
      </c>
      <c r="EX23" s="40">
        <f t="shared" ca="1" si="128"/>
        <v>3517366.8119794219</v>
      </c>
      <c r="EY23" s="40">
        <f t="shared" ca="1" si="128"/>
        <v>3517366.8119794219</v>
      </c>
      <c r="EZ23" s="40">
        <f t="shared" ca="1" si="128"/>
        <v>3517366.8119794219</v>
      </c>
      <c r="FA23" s="40">
        <f t="shared" ca="1" si="128"/>
        <v>3517366.8119794219</v>
      </c>
      <c r="FB23" s="40">
        <f t="shared" ca="1" si="128"/>
        <v>3517366.8119794219</v>
      </c>
      <c r="FC23" s="40">
        <f t="shared" ca="1" si="128"/>
        <v>3517366.8119794219</v>
      </c>
      <c r="FD23" s="40">
        <f t="shared" ca="1" si="128"/>
        <v>3517366.8119794219</v>
      </c>
      <c r="FE23" s="40">
        <f t="shared" ca="1" si="128"/>
        <v>3517366.8119794219</v>
      </c>
      <c r="FF23" s="40">
        <f t="shared" ca="1" si="128"/>
        <v>3517366.8119794219</v>
      </c>
      <c r="FG23" s="40">
        <f t="shared" ca="1" si="128"/>
        <v>3517366.8119794219</v>
      </c>
      <c r="FH23" s="40">
        <f t="shared" ca="1" si="128"/>
        <v>3517366.8119794219</v>
      </c>
      <c r="FI23" s="40">
        <f t="shared" ca="1" si="128"/>
        <v>3517366.8119794219</v>
      </c>
      <c r="FJ23" s="40">
        <f t="shared" ca="1" si="128"/>
        <v>3517366.8119794219</v>
      </c>
      <c r="FK23" s="40">
        <f t="shared" ca="1" si="128"/>
        <v>3517366.8119794219</v>
      </c>
      <c r="FL23" s="40">
        <f t="shared" ca="1" si="128"/>
        <v>3517366.8119794219</v>
      </c>
      <c r="FM23" s="40">
        <f t="shared" ca="1" si="128"/>
        <v>3517366.8119794219</v>
      </c>
      <c r="FN23" s="40">
        <f t="shared" ca="1" si="128"/>
        <v>3517366.8119794219</v>
      </c>
      <c r="FO23" s="40">
        <f t="shared" ca="1" si="128"/>
        <v>3517366.8119794219</v>
      </c>
      <c r="FP23" s="40">
        <f t="shared" ca="1" si="128"/>
        <v>3517366.8119794219</v>
      </c>
      <c r="FQ23" s="40">
        <f t="shared" ca="1" si="128"/>
        <v>3517366.8119794219</v>
      </c>
      <c r="FR23" s="40">
        <f t="shared" ca="1" si="128"/>
        <v>3517366.8119794219</v>
      </c>
      <c r="FS23" s="40">
        <f t="shared" ca="1" si="128"/>
        <v>3517366.8119794219</v>
      </c>
      <c r="FT23" s="40">
        <f t="shared" ca="1" si="128"/>
        <v>3517366.8119794219</v>
      </c>
      <c r="FU23" s="40">
        <f t="shared" ca="1" si="128"/>
        <v>3517366.8119794219</v>
      </c>
      <c r="FV23" s="40">
        <f t="shared" ca="1" si="128"/>
        <v>3517366.8119794219</v>
      </c>
      <c r="FW23" s="40">
        <f t="shared" ca="1" si="128"/>
        <v>3517366.8119794219</v>
      </c>
      <c r="FX23" s="40">
        <f t="shared" ca="1" si="128"/>
        <v>3517366.8119794219</v>
      </c>
      <c r="FY23" s="40">
        <f t="shared" ca="1" si="128"/>
        <v>3517366.8119794219</v>
      </c>
      <c r="FZ23" s="40">
        <f t="shared" ca="1" si="128"/>
        <v>3517366.8119794219</v>
      </c>
      <c r="GA23" s="40">
        <f t="shared" ca="1" si="128"/>
        <v>3517366.8119794219</v>
      </c>
      <c r="GB23" s="40">
        <f t="shared" ca="1" si="128"/>
        <v>3517366.8119794219</v>
      </c>
      <c r="GC23" s="40">
        <f t="shared" ca="1" si="128"/>
        <v>3517366.8119794219</v>
      </c>
      <c r="GD23" s="40">
        <f t="shared" ca="1" si="128"/>
        <v>3517366.8119794219</v>
      </c>
      <c r="GE23" s="40">
        <f t="shared" ca="1" si="128"/>
        <v>3517366.8119794219</v>
      </c>
      <c r="GF23" s="40">
        <f t="shared" ca="1" si="128"/>
        <v>3517366.8119794219</v>
      </c>
      <c r="GG23" s="40">
        <f t="shared" ca="1" si="128"/>
        <v>3517366.8119794219</v>
      </c>
      <c r="GH23" s="40">
        <f t="shared" ca="1" si="128"/>
        <v>3517366.8119794219</v>
      </c>
      <c r="GI23" s="40">
        <f t="shared" ca="1" si="128"/>
        <v>3517366.8119794219</v>
      </c>
      <c r="GJ23" s="40">
        <f t="shared" ca="1" si="128"/>
        <v>3517366.8119794219</v>
      </c>
      <c r="GK23" s="40">
        <f t="shared" ca="1" si="128"/>
        <v>3517366.8119794219</v>
      </c>
      <c r="GL23" s="40">
        <f t="shared" ca="1" si="128"/>
        <v>3517366.8119794219</v>
      </c>
      <c r="GM23" s="40">
        <f t="shared" ca="1" si="128"/>
        <v>3517366.8119794219</v>
      </c>
      <c r="GN23" s="40">
        <f t="shared" ca="1" si="128"/>
        <v>3517366.8119794219</v>
      </c>
      <c r="GO23" s="40">
        <f t="shared" ca="1" si="128"/>
        <v>3517366.8119794219</v>
      </c>
      <c r="GP23" s="40">
        <f t="shared" ca="1" si="128"/>
        <v>3517366.8119794219</v>
      </c>
      <c r="GQ23" s="40">
        <f t="shared" ca="1" si="128"/>
        <v>3517366.8119794219</v>
      </c>
      <c r="GR23" s="40">
        <f t="shared" ca="1" si="129"/>
        <v>3517366.8119794219</v>
      </c>
      <c r="GS23" s="40">
        <f t="shared" ca="1" si="129"/>
        <v>3517366.8119794219</v>
      </c>
      <c r="GT23" s="40">
        <f t="shared" ca="1" si="129"/>
        <v>3517366.8119794219</v>
      </c>
      <c r="GU23" s="40">
        <f t="shared" ca="1" si="129"/>
        <v>3517366.8119794219</v>
      </c>
      <c r="GV23" s="40">
        <f t="shared" ca="1" si="129"/>
        <v>3517366.8119794219</v>
      </c>
      <c r="GW23" s="40">
        <f t="shared" ca="1" si="129"/>
        <v>3517366.8119794219</v>
      </c>
      <c r="GX23" s="40">
        <f t="shared" ca="1" si="129"/>
        <v>3517366.8119794219</v>
      </c>
      <c r="GY23" s="40">
        <f t="shared" ca="1" si="129"/>
        <v>3517366.8119794219</v>
      </c>
      <c r="GZ23" s="40">
        <f t="shared" ca="1" si="129"/>
        <v>3517366.8119794219</v>
      </c>
      <c r="HA23" s="40">
        <f t="shared" ca="1" si="129"/>
        <v>3517366.8119794219</v>
      </c>
      <c r="HB23" s="40">
        <f t="shared" ca="1" si="129"/>
        <v>3517366.8119794219</v>
      </c>
      <c r="HC23" s="40">
        <f t="shared" ca="1" si="129"/>
        <v>3517366.8119794219</v>
      </c>
      <c r="HD23" s="40">
        <f t="shared" ca="1" si="129"/>
        <v>3517366.8119794219</v>
      </c>
      <c r="HE23" s="40">
        <f t="shared" ca="1" si="129"/>
        <v>3517366.8119794219</v>
      </c>
      <c r="HF23" s="40">
        <f t="shared" ca="1" si="129"/>
        <v>3517366.8119794219</v>
      </c>
      <c r="HG23" s="40">
        <f t="shared" ca="1" si="129"/>
        <v>3517366.8119794219</v>
      </c>
      <c r="HH23" s="40">
        <f t="shared" ca="1" si="129"/>
        <v>3517366.8119794219</v>
      </c>
      <c r="HI23" s="40">
        <f t="shared" ca="1" si="129"/>
        <v>3517366.8119794219</v>
      </c>
      <c r="HJ23" s="40">
        <f t="shared" ca="1" si="129"/>
        <v>3517366.8119794219</v>
      </c>
      <c r="HK23" s="40">
        <f t="shared" ca="1" si="129"/>
        <v>3517366.8119794219</v>
      </c>
      <c r="HL23" s="40">
        <f t="shared" ca="1" si="129"/>
        <v>3517366.8119794219</v>
      </c>
      <c r="HM23" s="40">
        <f t="shared" ca="1" si="129"/>
        <v>3517366.8119794219</v>
      </c>
      <c r="HN23" s="40">
        <f t="shared" ca="1" si="129"/>
        <v>3517366.8119794219</v>
      </c>
      <c r="HO23" s="40">
        <f t="shared" ca="1" si="129"/>
        <v>3517366.8119794219</v>
      </c>
      <c r="HP23" s="40">
        <f t="shared" ca="1" si="129"/>
        <v>3517366.8119794219</v>
      </c>
      <c r="HQ23" s="40">
        <f t="shared" ca="1" si="129"/>
        <v>3517366.8119794219</v>
      </c>
      <c r="HR23" s="40">
        <f t="shared" ca="1" si="129"/>
        <v>3517366.8119794219</v>
      </c>
      <c r="HS23" s="40">
        <f t="shared" ca="1" si="129"/>
        <v>3517366.8119794219</v>
      </c>
      <c r="HT23" s="40">
        <f t="shared" ca="1" si="129"/>
        <v>3517366.8119794219</v>
      </c>
      <c r="HU23" s="40">
        <f t="shared" ca="1" si="129"/>
        <v>3517366.8119794219</v>
      </c>
      <c r="HV23" s="40">
        <f t="shared" ca="1" si="129"/>
        <v>3517366.8119794219</v>
      </c>
      <c r="HW23" s="40">
        <f t="shared" ca="1" si="129"/>
        <v>3517366.8119794219</v>
      </c>
      <c r="HX23" s="40">
        <f t="shared" ca="1" si="129"/>
        <v>3517366.8119794219</v>
      </c>
      <c r="HY23" s="40">
        <f t="shared" ca="1" si="129"/>
        <v>3517366.8119794219</v>
      </c>
      <c r="HZ23" s="40">
        <f t="shared" ca="1" si="129"/>
        <v>3517366.8119794219</v>
      </c>
      <c r="IA23" s="40">
        <f t="shared" ca="1" si="129"/>
        <v>3517366.8119794219</v>
      </c>
      <c r="IB23" s="40">
        <f t="shared" ca="1" si="129"/>
        <v>3517366.8119794219</v>
      </c>
      <c r="IC23" s="40">
        <f t="shared" ca="1" si="129"/>
        <v>3517366.8119794219</v>
      </c>
      <c r="ID23" s="40">
        <f t="shared" ca="1" si="129"/>
        <v>3517366.8119794219</v>
      </c>
      <c r="IE23" s="40">
        <f t="shared" ca="1" si="129"/>
        <v>3517366.8119794219</v>
      </c>
      <c r="IF23" s="40">
        <f t="shared" ca="1" si="129"/>
        <v>3517366.8119794219</v>
      </c>
      <c r="IG23" s="40">
        <f t="shared" ca="1" si="129"/>
        <v>3517366.8119794219</v>
      </c>
      <c r="IH23" s="40">
        <f t="shared" ca="1" si="129"/>
        <v>3517366.8119794219</v>
      </c>
      <c r="II23" s="40">
        <f t="shared" ca="1" si="129"/>
        <v>3517366.8119794219</v>
      </c>
      <c r="IJ23" s="40">
        <f t="shared" ca="1" si="129"/>
        <v>3517366.8119794219</v>
      </c>
      <c r="IK23" s="40">
        <f t="shared" ca="1" si="129"/>
        <v>3517366.8119794219</v>
      </c>
      <c r="IL23" s="40">
        <f t="shared" ca="1" si="129"/>
        <v>3517366.8119794219</v>
      </c>
      <c r="IM23" s="40">
        <f t="shared" ca="1" si="129"/>
        <v>3517366.8119794219</v>
      </c>
      <c r="IN23" s="40">
        <f t="shared" ca="1" si="129"/>
        <v>3517366.8119794219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1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1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20217</v>
      </c>
      <c r="D27" s="24">
        <f ca="1">IF(D31&lt;TODAY(),_xlfn.MAXIFS(G20:IN20,G4:IN4,"&lt;"&amp;C5+5),IF(D31="N/A",C16*1.5,_xlfn.MAXIFS(G20:IN20,G3:IN3,"&lt;"&amp;$D$31)*1.5))</f>
        <v>6100.913266183401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1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1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43920</v>
      </c>
      <c r="D30" s="20">
        <f ca="1">IF(D31&lt;TODAY(),TODAY()+3+Projections!Z45,IFERROR(OFFSET(G26,-23,MATCH(1,G26:IN26,0))+3+Projections!Z45,xMax2+3+Projections!Z45))</f>
        <v>43926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43922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540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H1" zoomScale="94" workbookViewId="0">
      <selection activeCell="X11" sqref="X1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:D33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AO2" si="7">I2*1.5</f>
        <v>150</v>
      </c>
      <c r="K2" s="10">
        <f t="shared" si="7"/>
        <v>225</v>
      </c>
      <c r="L2" s="10">
        <f t="shared" si="7"/>
        <v>337.5</v>
      </c>
      <c r="M2" s="10">
        <f t="shared" si="7"/>
        <v>506.25</v>
      </c>
      <c r="N2" s="10">
        <f t="shared" si="7"/>
        <v>759.375</v>
      </c>
      <c r="O2" s="10">
        <f t="shared" si="7"/>
        <v>1139.0625</v>
      </c>
      <c r="P2" s="10">
        <f t="shared" si="7"/>
        <v>1708.59375</v>
      </c>
      <c r="Q2" s="10">
        <f t="shared" si="7"/>
        <v>2562.890625</v>
      </c>
      <c r="R2" s="10">
        <f t="shared" si="7"/>
        <v>3844.3359375</v>
      </c>
      <c r="S2" s="10">
        <f t="shared" si="7"/>
        <v>5766.50390625</v>
      </c>
      <c r="T2" s="10">
        <f t="shared" si="7"/>
        <v>8649.755859375</v>
      </c>
      <c r="U2" s="10">
        <f t="shared" si="7"/>
        <v>12974.6337890625</v>
      </c>
      <c r="V2" s="10">
        <f t="shared" si="7"/>
        <v>19461.95068359375</v>
      </c>
      <c r="W2" s="10">
        <f t="shared" si="7"/>
        <v>29192.926025390625</v>
      </c>
      <c r="X2" s="10">
        <f t="shared" si="7"/>
        <v>43789.389038085938</v>
      </c>
      <c r="Y2" s="10">
        <f t="shared" si="7"/>
        <v>65684.083557128906</v>
      </c>
      <c r="Z2" s="10">
        <f t="shared" si="7"/>
        <v>98526.125335693359</v>
      </c>
      <c r="AA2" s="10">
        <f t="shared" si="7"/>
        <v>147789.18800354004</v>
      </c>
      <c r="AB2" s="10">
        <f t="shared" si="7"/>
        <v>221683.78200531006</v>
      </c>
      <c r="AC2" s="10">
        <f t="shared" si="7"/>
        <v>332525.67300796509</v>
      </c>
      <c r="AD2" s="10">
        <f t="shared" si="7"/>
        <v>498788.50951194763</v>
      </c>
      <c r="AE2" s="10">
        <f t="shared" si="7"/>
        <v>748182.76426792145</v>
      </c>
      <c r="AF2" s="10">
        <f t="shared" si="7"/>
        <v>1122274.1464018822</v>
      </c>
      <c r="AG2" s="10">
        <f t="shared" si="7"/>
        <v>1683411.2196028233</v>
      </c>
      <c r="AH2" s="10">
        <f t="shared" si="7"/>
        <v>2525116.8294042349</v>
      </c>
      <c r="AI2" s="10">
        <f t="shared" si="7"/>
        <v>3787675.2441063523</v>
      </c>
      <c r="AJ2" s="10">
        <f t="shared" si="7"/>
        <v>5681512.8661595285</v>
      </c>
      <c r="AK2" s="10">
        <f t="shared" si="7"/>
        <v>8522269.2992392927</v>
      </c>
      <c r="AL2" s="10">
        <f t="shared" si="7"/>
        <v>12783403.948858939</v>
      </c>
      <c r="AM2" s="10">
        <f t="shared" si="7"/>
        <v>19175105.923288409</v>
      </c>
      <c r="AN2" s="10">
        <f t="shared" si="7"/>
        <v>28762658.884932615</v>
      </c>
      <c r="AO2" s="10">
        <f t="shared" si="7"/>
        <v>43143988.327398926</v>
      </c>
      <c r="AP2" s="10">
        <f t="shared" ref="AP2:BH2" si="8">AO2*1.5</f>
        <v>64715982.491098389</v>
      </c>
      <c r="AQ2" s="10">
        <f t="shared" si="8"/>
        <v>97073973.736647576</v>
      </c>
      <c r="AR2" s="10">
        <f t="shared" si="8"/>
        <v>145610960.60497135</v>
      </c>
      <c r="AS2" s="10">
        <f t="shared" si="8"/>
        <v>218416440.90745702</v>
      </c>
      <c r="AT2" s="10">
        <f t="shared" si="8"/>
        <v>327624661.36118555</v>
      </c>
      <c r="AU2" s="10">
        <f t="shared" si="8"/>
        <v>491436992.04177833</v>
      </c>
      <c r="AV2" s="10">
        <f t="shared" si="8"/>
        <v>737155488.06266749</v>
      </c>
      <c r="AW2" s="10">
        <f t="shared" si="8"/>
        <v>1105733232.0940013</v>
      </c>
      <c r="AX2" s="10">
        <f t="shared" si="8"/>
        <v>1658599848.1410019</v>
      </c>
      <c r="AY2" s="10">
        <f t="shared" si="8"/>
        <v>2487899772.211503</v>
      </c>
      <c r="AZ2" s="10">
        <f t="shared" si="8"/>
        <v>3731849658.3172545</v>
      </c>
      <c r="BA2" s="10">
        <f t="shared" si="8"/>
        <v>5597774487.4758816</v>
      </c>
      <c r="BB2" s="10">
        <f t="shared" si="8"/>
        <v>8396661731.2138224</v>
      </c>
      <c r="BC2" s="10">
        <f t="shared" si="8"/>
        <v>12594992596.820734</v>
      </c>
      <c r="BD2" s="10">
        <f t="shared" si="8"/>
        <v>18892488895.231102</v>
      </c>
      <c r="BE2" s="10">
        <f t="shared" si="8"/>
        <v>28338733342.846653</v>
      </c>
      <c r="BF2" s="10">
        <f t="shared" si="8"/>
        <v>42508100014.269981</v>
      </c>
      <c r="BG2" s="10">
        <f t="shared" si="8"/>
        <v>63762150021.404968</v>
      </c>
      <c r="BH2" s="10">
        <f t="shared" si="8"/>
        <v>95643225032.107452</v>
      </c>
    </row>
    <row r="3" spans="1:307" x14ac:dyDescent="0.25">
      <c r="A3" s="9">
        <f t="shared" ref="A3:A200" si="9">A2+1</f>
        <v>2</v>
      </c>
      <c r="B3" s="9">
        <v>1</v>
      </c>
      <c r="C3" s="9" t="str">
        <f>H3</f>
        <v>40% Daily Increase</v>
      </c>
      <c r="D3" s="6">
        <f t="shared" si="5"/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si="6"/>
        <v>1.4000000000000001</v>
      </c>
      <c r="H3" s="15" t="s">
        <v>431</v>
      </c>
      <c r="I3" s="9">
        <v>100</v>
      </c>
      <c r="J3" s="10">
        <f t="shared" ref="J3:AO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ref="AP3:BH3" si="11">AO3*1.4</f>
        <v>6640873.0383449625</v>
      </c>
      <c r="AQ3" s="10">
        <f t="shared" si="11"/>
        <v>9297222.2536829468</v>
      </c>
      <c r="AR3" s="10">
        <f t="shared" si="11"/>
        <v>13016111.155156124</v>
      </c>
      <c r="AS3" s="10">
        <f t="shared" si="11"/>
        <v>18222555.617218573</v>
      </c>
      <c r="AT3" s="10">
        <f t="shared" si="11"/>
        <v>25511577.864105999</v>
      </c>
      <c r="AU3" s="10">
        <f t="shared" si="11"/>
        <v>35716209.009748399</v>
      </c>
      <c r="AV3" s="10">
        <f t="shared" si="11"/>
        <v>50002692.613647759</v>
      </c>
      <c r="AW3" s="10">
        <f t="shared" si="11"/>
        <v>70003769.659106866</v>
      </c>
      <c r="AX3" s="10">
        <f t="shared" si="11"/>
        <v>98005277.522749603</v>
      </c>
      <c r="AY3" s="10">
        <f t="shared" si="11"/>
        <v>137207388.53184944</v>
      </c>
      <c r="AZ3" s="10">
        <f t="shared" si="11"/>
        <v>192090343.9445892</v>
      </c>
      <c r="BA3" s="10">
        <f t="shared" si="11"/>
        <v>268926481.52242488</v>
      </c>
      <c r="BB3" s="10">
        <f t="shared" si="11"/>
        <v>376497074.1313948</v>
      </c>
      <c r="BC3" s="10">
        <f t="shared" si="11"/>
        <v>527095903.78395271</v>
      </c>
      <c r="BD3" s="10">
        <f t="shared" si="11"/>
        <v>737934265.29753375</v>
      </c>
      <c r="BE3" s="10">
        <f t="shared" si="11"/>
        <v>1033107971.4165472</v>
      </c>
      <c r="BF3" s="10">
        <f t="shared" si="11"/>
        <v>1446351159.983166</v>
      </c>
      <c r="BG3" s="10">
        <f t="shared" si="11"/>
        <v>2024891623.9764323</v>
      </c>
      <c r="BH3" s="10">
        <f t="shared" si="11"/>
        <v>2834848273.5670052</v>
      </c>
    </row>
    <row r="4" spans="1:307" x14ac:dyDescent="0.25">
      <c r="A4" s="9">
        <f t="shared" si="9"/>
        <v>3</v>
      </c>
      <c r="B4" s="9">
        <v>1</v>
      </c>
      <c r="C4" s="9" t="str">
        <f>H4</f>
        <v>30% Daily Increase</v>
      </c>
      <c r="D4" s="6">
        <f t="shared" si="5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6"/>
        <v>1.3</v>
      </c>
      <c r="H4" s="15" t="s">
        <v>432</v>
      </c>
      <c r="I4" s="9">
        <v>100</v>
      </c>
      <c r="J4" s="10">
        <f t="shared" ref="J4:AO4" si="12">I4*1.3</f>
        <v>130</v>
      </c>
      <c r="K4" s="10">
        <f t="shared" si="12"/>
        <v>169</v>
      </c>
      <c r="L4" s="10">
        <f t="shared" si="12"/>
        <v>219.70000000000002</v>
      </c>
      <c r="M4" s="10">
        <f t="shared" si="12"/>
        <v>285.61</v>
      </c>
      <c r="N4" s="10">
        <f t="shared" si="12"/>
        <v>371.29300000000001</v>
      </c>
      <c r="O4" s="10">
        <f t="shared" si="12"/>
        <v>482.68090000000001</v>
      </c>
      <c r="P4" s="10">
        <f t="shared" si="12"/>
        <v>627.48517000000004</v>
      </c>
      <c r="Q4" s="10">
        <f t="shared" si="12"/>
        <v>815.73072100000013</v>
      </c>
      <c r="R4" s="10">
        <f t="shared" si="12"/>
        <v>1060.4499373000001</v>
      </c>
      <c r="S4" s="10">
        <f t="shared" si="12"/>
        <v>1378.5849184900003</v>
      </c>
      <c r="T4" s="10">
        <f t="shared" si="12"/>
        <v>1792.1603940370005</v>
      </c>
      <c r="U4" s="10">
        <f t="shared" si="12"/>
        <v>2329.8085122481007</v>
      </c>
      <c r="V4" s="10">
        <f t="shared" si="12"/>
        <v>3028.7510659225309</v>
      </c>
      <c r="W4" s="10">
        <f t="shared" si="12"/>
        <v>3937.37638569929</v>
      </c>
      <c r="X4" s="10">
        <f t="shared" si="12"/>
        <v>5118.5893014090771</v>
      </c>
      <c r="Y4" s="10">
        <f t="shared" si="12"/>
        <v>6654.1660918318003</v>
      </c>
      <c r="Z4" s="10">
        <f t="shared" si="12"/>
        <v>8650.4159193813412</v>
      </c>
      <c r="AA4" s="10">
        <f t="shared" si="12"/>
        <v>11245.540695195745</v>
      </c>
      <c r="AB4" s="10">
        <f t="shared" si="12"/>
        <v>14619.202903754469</v>
      </c>
      <c r="AC4" s="10">
        <f t="shared" si="12"/>
        <v>19004.963774880809</v>
      </c>
      <c r="AD4" s="10">
        <f t="shared" si="12"/>
        <v>24706.452907345054</v>
      </c>
      <c r="AE4" s="10">
        <f t="shared" si="12"/>
        <v>32118.388779548572</v>
      </c>
      <c r="AF4" s="10">
        <f t="shared" si="12"/>
        <v>41753.905413413144</v>
      </c>
      <c r="AG4" s="10">
        <f t="shared" si="12"/>
        <v>54280.077037437091</v>
      </c>
      <c r="AH4" s="10">
        <f t="shared" si="12"/>
        <v>70564.100148668222</v>
      </c>
      <c r="AI4" s="10">
        <f t="shared" si="12"/>
        <v>91733.330193268688</v>
      </c>
      <c r="AJ4" s="10">
        <f t="shared" si="12"/>
        <v>119253.32925124929</v>
      </c>
      <c r="AK4" s="10">
        <f t="shared" si="12"/>
        <v>155029.32802662408</v>
      </c>
      <c r="AL4" s="10">
        <f t="shared" si="12"/>
        <v>201538.1264346113</v>
      </c>
      <c r="AM4" s="10">
        <f t="shared" si="12"/>
        <v>261999.5643649947</v>
      </c>
      <c r="AN4" s="10">
        <f t="shared" si="12"/>
        <v>340599.43367449311</v>
      </c>
      <c r="AO4" s="10">
        <f t="shared" si="12"/>
        <v>442779.26377684105</v>
      </c>
      <c r="AP4" s="10">
        <f t="shared" ref="AP4:BH4" si="13">AO4*1.3</f>
        <v>575613.04290989344</v>
      </c>
      <c r="AQ4" s="10">
        <f t="shared" si="13"/>
        <v>748296.95578286145</v>
      </c>
      <c r="AR4" s="10">
        <f t="shared" si="13"/>
        <v>972786.04251771991</v>
      </c>
      <c r="AS4" s="10">
        <f t="shared" si="13"/>
        <v>1264621.8552730358</v>
      </c>
      <c r="AT4" s="10">
        <f t="shared" si="13"/>
        <v>1644008.4118549465</v>
      </c>
      <c r="AU4" s="10">
        <f t="shared" si="13"/>
        <v>2137210.9354114304</v>
      </c>
      <c r="AV4" s="10">
        <f t="shared" si="13"/>
        <v>2778374.2160348599</v>
      </c>
      <c r="AW4" s="10">
        <f t="shared" si="13"/>
        <v>3611886.4808453182</v>
      </c>
      <c r="AX4" s="10">
        <f t="shared" si="13"/>
        <v>4695452.4250989137</v>
      </c>
      <c r="AY4" s="10">
        <f t="shared" si="13"/>
        <v>6104088.1526285885</v>
      </c>
      <c r="AZ4" s="10">
        <f t="shared" si="13"/>
        <v>7935314.5984171657</v>
      </c>
      <c r="BA4" s="10">
        <f t="shared" si="13"/>
        <v>10315908.977942316</v>
      </c>
      <c r="BB4" s="10">
        <f t="shared" si="13"/>
        <v>13410681.671325011</v>
      </c>
      <c r="BC4" s="10">
        <f t="shared" si="13"/>
        <v>17433886.172722515</v>
      </c>
      <c r="BD4" s="10">
        <f t="shared" si="13"/>
        <v>22664052.02453927</v>
      </c>
      <c r="BE4" s="10">
        <f t="shared" si="13"/>
        <v>29463267.631901052</v>
      </c>
      <c r="BF4" s="10">
        <f t="shared" si="13"/>
        <v>38302247.921471372</v>
      </c>
      <c r="BG4" s="10">
        <f t="shared" si="13"/>
        <v>49792922.297912784</v>
      </c>
      <c r="BH4" s="10">
        <f t="shared" si="13"/>
        <v>64730798.98728662</v>
      </c>
    </row>
    <row r="5" spans="1:307" x14ac:dyDescent="0.25">
      <c r="A5" s="9">
        <f t="shared" si="9"/>
        <v>4</v>
      </c>
      <c r="B5" s="9">
        <f t="array" ref="B5">IF(C5="",0,IF(OR(C5=Country_Comparison!$S$10:$S$29),1,0))</f>
        <v>1</v>
      </c>
      <c r="C5" s="9" t="str">
        <f t="shared" ref="C5:C36" si="14">IF(H5="","",H5)</f>
        <v>China</v>
      </c>
      <c r="D5" s="6">
        <f t="shared" si="5"/>
        <v>81591</v>
      </c>
      <c r="E5" s="6">
        <f>IF(COUNTIF(I5:XFD5,"&gt;"&amp;0)=0,,HLOOKUP(COUNTIF(I5:XFD5,"&gt;"&amp;0)-1,I$1:XFD5,A5+1,FALSE))</f>
        <v>81591</v>
      </c>
      <c r="F5" s="7">
        <f>IF(COUNTIF(I5:XFD5,"&gt;"&amp;0)=0,,HLOOKUP(COUNTIF(I5:XFD5,"&gt;"&amp;0)-MIN($F$1+1,COUNTIF(I5:XFD5,"&gt;"&amp;0)),I$1:XFD5,A5+1,FALSE))</f>
        <v>81156</v>
      </c>
      <c r="G5" s="8">
        <f t="shared" si="6"/>
        <v>1.0010697184188031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  <c r="BT5" s="9">
        <v>81305</v>
      </c>
      <c r="BU5" s="9">
        <v>81435</v>
      </c>
      <c r="BV5" s="9">
        <v>81498</v>
      </c>
      <c r="BW5" s="9">
        <v>81591</v>
      </c>
    </row>
    <row r="6" spans="1:307" x14ac:dyDescent="0.25">
      <c r="A6" s="9">
        <f t="shared" si="9"/>
        <v>5</v>
      </c>
      <c r="B6" s="9">
        <f t="array" ref="B6">IF(C6="",0,IF(OR(C6=Country_Comparison!$S$10:$S$29),1,0))</f>
        <v>1</v>
      </c>
      <c r="C6" s="9" t="str">
        <f t="shared" si="14"/>
        <v>Italy</v>
      </c>
      <c r="D6" s="6">
        <f t="shared" si="5"/>
        <v>69176</v>
      </c>
      <c r="E6" s="6">
        <f>IF(COUNTIF(I6:XFD6,"&gt;"&amp;0)=0,,HLOOKUP(COUNTIF(I6:XFD6,"&gt;"&amp;0)-1,I$1:XFD6,A6+1,FALSE))</f>
        <v>69176</v>
      </c>
      <c r="F6" s="7">
        <f>IF(COUNTIF(I6:XFD6,"&gt;"&amp;0)=0,,HLOOKUP(COUNTIF(I6:XFD6,"&gt;"&amp;0)-MIN($F$1+1,COUNTIF(I6:XFD6,"&gt;"&amp;0)),I$1:XFD6,A6+1,FALSE))</f>
        <v>41035</v>
      </c>
      <c r="G6" s="8">
        <f t="shared" si="6"/>
        <v>1.110095140835208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</row>
    <row r="7" spans="1:307" x14ac:dyDescent="0.25">
      <c r="A7" s="9">
        <f t="shared" si="9"/>
        <v>6</v>
      </c>
      <c r="B7" s="9">
        <f t="array" ref="B7">IF(C7="",0,IF(OR(C7=Country_Comparison!$S$10:$S$29),1,0))</f>
        <v>1</v>
      </c>
      <c r="C7" s="9" t="str">
        <f t="shared" si="14"/>
        <v>US</v>
      </c>
      <c r="D7" s="6">
        <f t="shared" si="5"/>
        <v>53740</v>
      </c>
      <c r="E7" s="6">
        <f>IF(COUNTIF(I7:XFD7,"&gt;"&amp;0)=0,,HLOOKUP(COUNTIF(I7:XFD7,"&gt;"&amp;0)-1,I$1:XFD7,A7+1,FALSE))</f>
        <v>53740</v>
      </c>
      <c r="F7" s="7">
        <f>IF(COUNTIF(I7:XFD7,"&gt;"&amp;0)=0,,HLOOKUP(COUNTIF(I7:XFD7,"&gt;"&amp;0)-MIN($F$1+1,COUNTIF(I7:XFD7,"&gt;"&amp;0)),I$1:XFD7,A7+1,FALSE))</f>
        <v>13677</v>
      </c>
      <c r="G7" s="8">
        <f t="shared" si="6"/>
        <v>1.3148050486440246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33276</v>
      </c>
      <c r="AC7" s="9">
        <v>43847</v>
      </c>
      <c r="AD7" s="9">
        <v>53740</v>
      </c>
    </row>
    <row r="8" spans="1:307" x14ac:dyDescent="0.25">
      <c r="A8" s="9">
        <f t="shared" si="9"/>
        <v>7</v>
      </c>
      <c r="B8" s="9">
        <f t="array" ref="B8">IF(C8="",0,IF(OR(C8=Country_Comparison!$S$10:$S$29),1,0))</f>
        <v>1</v>
      </c>
      <c r="C8" s="9" t="str">
        <f t="shared" si="14"/>
        <v>Spain</v>
      </c>
      <c r="D8" s="6">
        <f t="shared" si="5"/>
        <v>39885</v>
      </c>
      <c r="E8" s="6">
        <f>IF(COUNTIF(I8:XFD8,"&gt;"&amp;0)=0,,HLOOKUP(COUNTIF(I8:XFD8,"&gt;"&amp;0)-1,I$1:XFD8,A8+1,FALSE))</f>
        <v>39885</v>
      </c>
      <c r="F8" s="7">
        <f>IF(COUNTIF(I8:XFD8,"&gt;"&amp;0)=0,,HLOOKUP(COUNTIF(I8:XFD8,"&gt;"&amp;0)-MIN($F$1+1,COUNTIF(I8:XFD8,"&gt;"&amp;0)),I$1:XFD8,A8+1,FALSE))</f>
        <v>17963</v>
      </c>
      <c r="G8" s="8">
        <f t="shared" si="6"/>
        <v>1.172967948968231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</row>
    <row r="9" spans="1:307" x14ac:dyDescent="0.25">
      <c r="A9" s="9">
        <f t="shared" si="9"/>
        <v>8</v>
      </c>
      <c r="B9" s="9">
        <f t="array" ref="B9">IF(C9="",0,IF(OR(C9=Country_Comparison!$S$10:$S$29),1,0))</f>
        <v>1</v>
      </c>
      <c r="C9" s="9" t="str">
        <f t="shared" si="14"/>
        <v>Germany</v>
      </c>
      <c r="D9" s="6">
        <f t="shared" si="5"/>
        <v>32986</v>
      </c>
      <c r="E9" s="6">
        <f>IF(COUNTIF(I9:XFD9,"&gt;"&amp;0)=0,,HLOOKUP(COUNTIF(I9:XFD9,"&gt;"&amp;0)-1,I$1:XFD9,A9+1,FALSE))</f>
        <v>32986</v>
      </c>
      <c r="F9" s="7">
        <f>IF(COUNTIF(I9:XFD9,"&gt;"&amp;0)=0,,HLOOKUP(COUNTIF(I9:XFD9,"&gt;"&amp;0)-MIN($F$1+1,COUNTIF(I9:XFD9,"&gt;"&amp;0)),I$1:XFD9,A9+1,FALSE))</f>
        <v>15320</v>
      </c>
      <c r="G9" s="8">
        <f t="shared" si="6"/>
        <v>1.1657734973694034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</row>
    <row r="10" spans="1:307" x14ac:dyDescent="0.25">
      <c r="A10" s="9">
        <f t="shared" si="9"/>
        <v>9</v>
      </c>
      <c r="B10" s="9">
        <f t="array" ref="B10">IF(C10="",0,IF(OR(C10=Country_Comparison!$S$10:$S$29),1,0))</f>
        <v>1</v>
      </c>
      <c r="C10" s="9" t="str">
        <f t="shared" si="14"/>
        <v>France</v>
      </c>
      <c r="D10" s="6">
        <f t="shared" si="5"/>
        <v>22622</v>
      </c>
      <c r="E10" s="6">
        <f>IF(COUNTIF(I10:XFD10,"&gt;"&amp;0)=0,,HLOOKUP(COUNTIF(I10:XFD10,"&gt;"&amp;0)-1,I$1:XFD10,A10+1,FALSE))</f>
        <v>22622</v>
      </c>
      <c r="F10" s="7">
        <f>IF(COUNTIF(I10:XFD10,"&gt;"&amp;0)=0,,HLOOKUP(COUNTIF(I10:XFD10,"&gt;"&amp;0)-MIN($F$1+1,COUNTIF(I10:XFD10,"&gt;"&amp;0)),I$1:XFD10,A10+1,FALSE))</f>
        <v>10970</v>
      </c>
      <c r="G10" s="8">
        <f t="shared" si="6"/>
        <v>1.1557525866617884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2875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</row>
    <row r="11" spans="1:307" x14ac:dyDescent="0.25">
      <c r="A11" s="9">
        <f t="shared" si="9"/>
        <v>10</v>
      </c>
      <c r="B11" s="9">
        <f t="array" ref="B11">IF(C11="",0,IF(OR(C11=Country_Comparison!$S$10:$S$29),1,0))</f>
        <v>1</v>
      </c>
      <c r="C11" s="9" t="str">
        <f t="shared" si="14"/>
        <v>United Kingdom</v>
      </c>
      <c r="D11" s="6">
        <f t="shared" si="5"/>
        <v>8164</v>
      </c>
      <c r="E11" s="6">
        <f>IF(COUNTIF(I11:XFD11,"&gt;"&amp;0)=0,,HLOOKUP(COUNTIF(I11:XFD11,"&gt;"&amp;0)-1,I$1:XFD11,A11+1,FALSE))</f>
        <v>8164</v>
      </c>
      <c r="F11" s="7">
        <f>IF(COUNTIF(I11:XFD11,"&gt;"&amp;0)=0,,HLOOKUP(COUNTIF(I11:XFD11,"&gt;"&amp;0)-MIN($F$1+1,COUNTIF(I11:XFD11,"&gt;"&amp;0)),I$1:XFD11,A11+1,FALSE))</f>
        <v>2716</v>
      </c>
      <c r="G11" s="8">
        <f t="shared" si="6"/>
        <v>1.2462197971935498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</row>
    <row r="12" spans="1:307" x14ac:dyDescent="0.25">
      <c r="A12" s="9">
        <f t="shared" si="9"/>
        <v>11</v>
      </c>
      <c r="B12" s="9">
        <f t="array" ref="B12">IF(C12="",0,IF(OR(C12=Country_Comparison!$S$10:$S$29),1,0))</f>
        <v>0</v>
      </c>
      <c r="C12" s="9" t="str">
        <f t="shared" si="14"/>
        <v>Iran</v>
      </c>
      <c r="D12" s="6">
        <f t="shared" si="5"/>
        <v>24811</v>
      </c>
      <c r="E12" s="6">
        <f>IF(COUNTIF(I12:XFD12,"&gt;"&amp;0)=0,,HLOOKUP(COUNTIF(I12:XFD12,"&gt;"&amp;0)-1,I$1:XFD12,A12+1,FALSE))</f>
        <v>24811</v>
      </c>
      <c r="F12" s="7">
        <f>IF(COUNTIF(I12:XFD12,"&gt;"&amp;0)=0,,HLOOKUP(COUNTIF(I12:XFD12,"&gt;"&amp;0)-MIN($F$1+1,COUNTIF(I12:XFD12,"&gt;"&amp;0)),I$1:XFD12,A12+1,FALSE))</f>
        <v>18407</v>
      </c>
      <c r="G12" s="8">
        <f t="shared" si="6"/>
        <v>1.061529948599049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  <c r="AI12" s="9">
        <v>23049</v>
      </c>
      <c r="AJ12" s="9">
        <v>24811</v>
      </c>
    </row>
    <row r="13" spans="1:307" x14ac:dyDescent="0.25">
      <c r="A13" s="9">
        <f t="shared" si="9"/>
        <v>12</v>
      </c>
      <c r="B13" s="9">
        <f t="array" ref="B13">IF(C13="",0,IF(OR(C13=Country_Comparison!$S$10:$S$29),1,0))</f>
        <v>0</v>
      </c>
      <c r="C13" s="9" t="str">
        <f t="shared" si="14"/>
        <v>Switzerland</v>
      </c>
      <c r="D13" s="6">
        <f t="shared" si="5"/>
        <v>9877</v>
      </c>
      <c r="E13" s="6">
        <f>IF(COUNTIF(I13:XFD13,"&gt;"&amp;0)=0,,HLOOKUP(COUNTIF(I13:XFD13,"&gt;"&amp;0)-1,I$1:XFD13,A13+1,FALSE))</f>
        <v>9877</v>
      </c>
      <c r="F13" s="7">
        <f>IF(COUNTIF(I13:XFD13,"&gt;"&amp;0)=0,,HLOOKUP(COUNTIF(I13:XFD13,"&gt;"&amp;0)-MIN($F$1+1,COUNTIF(I13:XFD13,"&gt;"&amp;0)),I$1:XFD13,A13+1,FALSE))</f>
        <v>4075</v>
      </c>
      <c r="G13" s="8">
        <f t="shared" si="6"/>
        <v>1.1937118032777425</v>
      </c>
      <c r="H13" s="13" t="s">
        <v>77</v>
      </c>
      <c r="I13" s="9">
        <v>114</v>
      </c>
      <c r="J13" s="9">
        <v>214</v>
      </c>
      <c r="K13" s="9">
        <v>268</v>
      </c>
      <c r="L13" s="9">
        <v>337</v>
      </c>
      <c r="M13" s="9">
        <v>374</v>
      </c>
      <c r="N13" s="9">
        <v>491</v>
      </c>
      <c r="O13" s="9">
        <v>652</v>
      </c>
      <c r="P13" s="9">
        <v>652</v>
      </c>
      <c r="Q13" s="9">
        <v>1139</v>
      </c>
      <c r="R13" s="9">
        <v>1359</v>
      </c>
      <c r="S13" s="9">
        <v>2200</v>
      </c>
      <c r="T13" s="9">
        <v>2200</v>
      </c>
      <c r="U13" s="9">
        <v>2700</v>
      </c>
      <c r="V13" s="9">
        <v>3028</v>
      </c>
      <c r="W13" s="9">
        <v>4075</v>
      </c>
      <c r="X13" s="9">
        <v>5294</v>
      </c>
      <c r="Y13" s="9">
        <v>6575</v>
      </c>
      <c r="Z13" s="9">
        <v>7474</v>
      </c>
      <c r="AA13" s="9">
        <v>8795</v>
      </c>
      <c r="AB13" s="9">
        <v>9877</v>
      </c>
    </row>
    <row r="14" spans="1:307" x14ac:dyDescent="0.25">
      <c r="A14" s="9">
        <f t="shared" si="9"/>
        <v>13</v>
      </c>
      <c r="B14" s="9">
        <f t="array" ref="B14">IF(C14="",0,IF(OR(C14=Country_Comparison!$S$10:$S$29),1,0))</f>
        <v>0</v>
      </c>
      <c r="C14" s="9" t="str">
        <f t="shared" si="14"/>
        <v>Korea, South</v>
      </c>
      <c r="D14" s="6">
        <f t="shared" si="5"/>
        <v>9037</v>
      </c>
      <c r="E14" s="6">
        <f>IF(COUNTIF(I14:XFD14,"&gt;"&amp;0)=0,,HLOOKUP(COUNTIF(I14:XFD14,"&gt;"&amp;0)-1,I$1:XFD14,A14+1,FALSE))</f>
        <v>9037</v>
      </c>
      <c r="F14" s="7">
        <f>IF(COUNTIF(I14:XFD14,"&gt;"&amp;0)=0,,HLOOKUP(COUNTIF(I14:XFD14,"&gt;"&amp;0)-MIN($F$1+1,COUNTIF(I14:XFD14,"&gt;"&amp;0)),I$1:XFD14,A14+1,FALSE))</f>
        <v>8565</v>
      </c>
      <c r="G14" s="8">
        <f t="shared" si="6"/>
        <v>1.0107863839049602</v>
      </c>
      <c r="H14" s="13" t="s">
        <v>339</v>
      </c>
      <c r="I14" s="9">
        <v>104</v>
      </c>
      <c r="J14" s="9">
        <v>204</v>
      </c>
      <c r="K14" s="9">
        <v>433</v>
      </c>
      <c r="L14" s="9">
        <v>602</v>
      </c>
      <c r="M14" s="9">
        <v>833</v>
      </c>
      <c r="N14" s="9">
        <v>977</v>
      </c>
      <c r="O14" s="9">
        <v>1261</v>
      </c>
      <c r="P14" s="9">
        <v>1766</v>
      </c>
      <c r="Q14" s="9">
        <v>2337</v>
      </c>
      <c r="R14" s="9">
        <v>3150</v>
      </c>
      <c r="S14" s="9">
        <v>3736</v>
      </c>
      <c r="T14" s="9">
        <v>4335</v>
      </c>
      <c r="U14" s="9">
        <v>5186</v>
      </c>
      <c r="V14" s="9">
        <v>5621</v>
      </c>
      <c r="W14" s="9">
        <v>6088</v>
      </c>
      <c r="X14" s="9">
        <v>6593</v>
      </c>
      <c r="Y14" s="9">
        <v>7041</v>
      </c>
      <c r="Z14" s="9">
        <v>7314</v>
      </c>
      <c r="AA14" s="9">
        <v>7478</v>
      </c>
      <c r="AB14" s="9">
        <v>7513</v>
      </c>
      <c r="AC14" s="9">
        <v>7755</v>
      </c>
      <c r="AD14" s="9">
        <v>7869</v>
      </c>
      <c r="AE14" s="9">
        <v>7979</v>
      </c>
      <c r="AF14" s="9">
        <v>8086</v>
      </c>
      <c r="AG14" s="9">
        <v>8162</v>
      </c>
      <c r="AH14" s="9">
        <v>8236</v>
      </c>
      <c r="AI14" s="9">
        <v>8320</v>
      </c>
      <c r="AJ14" s="9">
        <v>8413</v>
      </c>
      <c r="AK14" s="9">
        <v>8565</v>
      </c>
      <c r="AL14" s="9">
        <v>8652</v>
      </c>
      <c r="AM14" s="9">
        <v>8799</v>
      </c>
      <c r="AN14" s="9">
        <v>8961</v>
      </c>
      <c r="AO14" s="9">
        <v>8961</v>
      </c>
      <c r="AP14" s="9">
        <v>9037</v>
      </c>
    </row>
    <row r="15" spans="1:307" x14ac:dyDescent="0.25">
      <c r="A15" s="9">
        <f t="shared" si="9"/>
        <v>14</v>
      </c>
      <c r="B15" s="9">
        <f t="array" ref="B15">IF(C15="",0,IF(OR(C15=Country_Comparison!$S$10:$S$29),1,0))</f>
        <v>0</v>
      </c>
      <c r="C15" s="9" t="str">
        <f t="shared" si="14"/>
        <v>Netherlands</v>
      </c>
      <c r="D15" s="6">
        <f t="shared" si="5"/>
        <v>5580</v>
      </c>
      <c r="E15" s="6">
        <f>IF(COUNTIF(I15:XFD15,"&gt;"&amp;0)=0,,HLOOKUP(COUNTIF(I15:XFD15,"&gt;"&amp;0)-1,I$1:XFD15,A15+1,FALSE))</f>
        <v>5580</v>
      </c>
      <c r="F15" s="7">
        <f>IF(COUNTIF(I15:XFD15,"&gt;"&amp;0)=0,,HLOOKUP(COUNTIF(I15:XFD15,"&gt;"&amp;0)-MIN($F$1+1,COUNTIF(I15:XFD15,"&gt;"&amp;0)),I$1:XFD15,A15+1,FALSE))</f>
        <v>2467</v>
      </c>
      <c r="G15" s="8">
        <f t="shared" si="6"/>
        <v>1.1773159015066659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4217</v>
      </c>
      <c r="Z15" s="9">
        <v>4764</v>
      </c>
      <c r="AA15" s="9">
        <v>5580</v>
      </c>
    </row>
    <row r="16" spans="1:307" x14ac:dyDescent="0.25">
      <c r="A16" s="9">
        <f t="shared" si="9"/>
        <v>15</v>
      </c>
      <c r="B16" s="9">
        <f t="array" ref="B16">IF(C16="",0,IF(OR(C16=Country_Comparison!$S$10:$S$29),1,0))</f>
        <v>0</v>
      </c>
      <c r="C16" s="9" t="str">
        <f t="shared" si="14"/>
        <v>Austria</v>
      </c>
      <c r="D16" s="6">
        <f t="shared" si="5"/>
        <v>5283</v>
      </c>
      <c r="E16" s="6">
        <f>IF(COUNTIF(I16:XFD16,"&gt;"&amp;0)=0,,HLOOKUP(COUNTIF(I16:XFD16,"&gt;"&amp;0)-1,I$1:XFD16,A16+1,FALSE))</f>
        <v>5283</v>
      </c>
      <c r="F16" s="7">
        <f>IF(COUNTIF(I16:XFD16,"&gt;"&amp;0)=0,,HLOOKUP(COUNTIF(I16:XFD16,"&gt;"&amp;0)-MIN($F$1+1,COUNTIF(I16:XFD16,"&gt;"&amp;0)),I$1:XFD16,A16+1,FALSE))</f>
        <v>2013</v>
      </c>
      <c r="G16" s="8">
        <f t="shared" si="6"/>
        <v>1.2128507669287318</v>
      </c>
      <c r="H16" s="13" t="s">
        <v>78</v>
      </c>
      <c r="I16" s="9">
        <v>104</v>
      </c>
      <c r="J16" s="9">
        <v>131</v>
      </c>
      <c r="K16" s="9">
        <v>182</v>
      </c>
      <c r="L16" s="9">
        <v>246</v>
      </c>
      <c r="M16" s="9">
        <v>302</v>
      </c>
      <c r="N16" s="9">
        <v>504</v>
      </c>
      <c r="O16" s="9">
        <v>655</v>
      </c>
      <c r="P16" s="9">
        <v>860</v>
      </c>
      <c r="Q16" s="9">
        <v>1018</v>
      </c>
      <c r="R16" s="9">
        <v>1332</v>
      </c>
      <c r="S16" s="9">
        <v>1646</v>
      </c>
      <c r="T16" s="9">
        <v>2013</v>
      </c>
      <c r="U16" s="9">
        <v>2388</v>
      </c>
      <c r="V16" s="9">
        <v>2814</v>
      </c>
      <c r="W16" s="9">
        <v>3582</v>
      </c>
      <c r="X16" s="9">
        <v>4474</v>
      </c>
      <c r="Y16" s="9">
        <v>5283</v>
      </c>
    </row>
    <row r="17" spans="1:41" x14ac:dyDescent="0.25">
      <c r="A17" s="9">
        <f t="shared" si="9"/>
        <v>16</v>
      </c>
      <c r="B17" s="9">
        <f t="array" ref="B17">IF(C17="",0,IF(OR(C17=Country_Comparison!$S$10:$S$29),1,0))</f>
        <v>0</v>
      </c>
      <c r="C17" s="9" t="str">
        <f t="shared" si="14"/>
        <v>Belgium</v>
      </c>
      <c r="D17" s="6">
        <f t="shared" si="5"/>
        <v>4269</v>
      </c>
      <c r="E17" s="6">
        <f>IF(COUNTIF(I17:XFD17,"&gt;"&amp;0)=0,,HLOOKUP(COUNTIF(I17:XFD17,"&gt;"&amp;0)-1,I$1:XFD17,A17+1,FALSE))</f>
        <v>4269</v>
      </c>
      <c r="F17" s="7">
        <f>IF(COUNTIF(I17:XFD17,"&gt;"&amp;0)=0,,HLOOKUP(COUNTIF(I17:XFD17,"&gt;"&amp;0)-MIN($F$1+1,COUNTIF(I17:XFD17,"&gt;"&amp;0)),I$1:XFD17,A17+1,FALSE))</f>
        <v>1795</v>
      </c>
      <c r="G17" s="8">
        <f t="shared" si="6"/>
        <v>1.1891929897167626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  <c r="Y17" s="9">
        <v>3401</v>
      </c>
      <c r="Z17" s="9">
        <v>3743</v>
      </c>
      <c r="AA17" s="9">
        <v>4269</v>
      </c>
    </row>
    <row r="18" spans="1:41" x14ac:dyDescent="0.25">
      <c r="A18" s="9">
        <f t="shared" si="9"/>
        <v>17</v>
      </c>
      <c r="B18" s="9">
        <f t="array" ref="B18">IF(C18="",0,IF(OR(C18=Country_Comparison!$S$10:$S$29),1,0))</f>
        <v>0</v>
      </c>
      <c r="C18" s="9" t="str">
        <f t="shared" si="14"/>
        <v>Norway</v>
      </c>
      <c r="D18" s="6">
        <f t="shared" si="5"/>
        <v>2863</v>
      </c>
      <c r="E18" s="6">
        <f>IF(COUNTIF(I18:XFD18,"&gt;"&amp;0)=0,,HLOOKUP(COUNTIF(I18:XFD18,"&gt;"&amp;0)-1,I$1:XFD18,A18+1,FALSE))</f>
        <v>2863</v>
      </c>
      <c r="F18" s="7">
        <f>IF(COUNTIF(I18:XFD18,"&gt;"&amp;0)=0,,HLOOKUP(COUNTIF(I18:XFD18,"&gt;"&amp;0)-MIN($F$1+1,COUNTIF(I18:XFD18,"&gt;"&amp;0)),I$1:XFD18,A18+1,FALSE))</f>
        <v>1746</v>
      </c>
      <c r="G18" s="8">
        <f t="shared" si="6"/>
        <v>1.1039652972822576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  <c r="Y18" s="9">
        <v>2385</v>
      </c>
      <c r="Z18" s="9">
        <v>2621</v>
      </c>
      <c r="AA18" s="9">
        <v>2863</v>
      </c>
    </row>
    <row r="19" spans="1:41" x14ac:dyDescent="0.25">
      <c r="A19" s="9">
        <f t="shared" si="9"/>
        <v>18</v>
      </c>
      <c r="B19" s="9">
        <f t="array" ref="B19">IF(C19="",0,IF(OR(C19=Country_Comparison!$S$10:$S$29),1,0))</f>
        <v>0</v>
      </c>
      <c r="C19" s="9" t="str">
        <f t="shared" si="14"/>
        <v>Canada</v>
      </c>
      <c r="D19" s="6">
        <f t="shared" si="5"/>
        <v>2790</v>
      </c>
      <c r="E19" s="6">
        <f>IF(COUNTIF(I19:XFD19,"&gt;"&amp;0)=0,,HLOOKUP(COUNTIF(I19:XFD19,"&gt;"&amp;0)-1,I$1:XFD19,A19+1,FALSE))</f>
        <v>2790</v>
      </c>
      <c r="F19" s="7">
        <f>IF(COUNTIF(I19:XFD19,"&gt;"&amp;0)=0,,HLOOKUP(COUNTIF(I19:XFD19,"&gt;"&amp;0)-MIN($F$1+1,COUNTIF(I19:XFD19,"&gt;"&amp;0)),I$1:XFD19,A19+1,FALSE))</f>
        <v>800</v>
      </c>
      <c r="G19" s="8">
        <f t="shared" si="6"/>
        <v>1.2838161753835937</v>
      </c>
      <c r="H19" s="13" t="s">
        <v>45</v>
      </c>
      <c r="I19" s="9">
        <v>108</v>
      </c>
      <c r="J19" s="9">
        <v>117</v>
      </c>
      <c r="K19" s="9">
        <v>193</v>
      </c>
      <c r="L19" s="9">
        <v>198</v>
      </c>
      <c r="M19" s="9">
        <v>252</v>
      </c>
      <c r="N19" s="9">
        <v>415</v>
      </c>
      <c r="O19" s="9">
        <v>478</v>
      </c>
      <c r="P19" s="9">
        <v>657</v>
      </c>
      <c r="Q19" s="9">
        <v>800</v>
      </c>
      <c r="R19" s="9">
        <v>943</v>
      </c>
      <c r="S19" s="9">
        <v>1277</v>
      </c>
      <c r="T19" s="9">
        <v>1469</v>
      </c>
      <c r="U19" s="9">
        <v>2088</v>
      </c>
      <c r="V19" s="9">
        <v>2790</v>
      </c>
    </row>
    <row r="20" spans="1:41" x14ac:dyDescent="0.25">
      <c r="A20" s="9">
        <f t="shared" si="9"/>
        <v>19</v>
      </c>
      <c r="B20" s="9">
        <f t="array" ref="B20">IF(C20="",0,IF(OR(C20=Country_Comparison!$S$10:$S$29),1,0))</f>
        <v>0</v>
      </c>
      <c r="C20" s="9" t="str">
        <f t="shared" si="14"/>
        <v>Portugal</v>
      </c>
      <c r="D20" s="6">
        <f t="shared" si="5"/>
        <v>2362</v>
      </c>
      <c r="E20" s="6">
        <f>IF(COUNTIF(I20:XFD20,"&gt;"&amp;0)=0,,HLOOKUP(COUNTIF(I20:XFD20,"&gt;"&amp;0)-1,I$1:XFD20,A20+1,FALSE))</f>
        <v>2362</v>
      </c>
      <c r="F20" s="7">
        <f>IF(COUNTIF(I20:XFD20,"&gt;"&amp;0)=0,,HLOOKUP(COUNTIF(I20:XFD20,"&gt;"&amp;0)-MIN($F$1+1,COUNTIF(I20:XFD20,"&gt;"&amp;0)),I$1:XFD20,A20+1,FALSE))</f>
        <v>785</v>
      </c>
      <c r="G20" s="8">
        <f t="shared" si="6"/>
        <v>1.2464706226017206</v>
      </c>
      <c r="H20" s="13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  <c r="S20" s="9">
        <v>2060</v>
      </c>
      <c r="T20" s="9">
        <v>2362</v>
      </c>
    </row>
    <row r="21" spans="1:41" x14ac:dyDescent="0.25">
      <c r="A21" s="9">
        <f t="shared" si="9"/>
        <v>20</v>
      </c>
      <c r="B21" s="9">
        <f t="array" ref="B21">IF(C21="",0,IF(OR(C21=Country_Comparison!$S$10:$S$29),1,0))</f>
        <v>0</v>
      </c>
      <c r="C21" s="9" t="str">
        <f t="shared" si="14"/>
        <v>Sweden</v>
      </c>
      <c r="D21" s="6">
        <f t="shared" si="5"/>
        <v>2286</v>
      </c>
      <c r="E21" s="6">
        <f>IF(COUNTIF(I21:XFD21,"&gt;"&amp;0)=0,,HLOOKUP(COUNTIF(I21:XFD21,"&gt;"&amp;0)-1,I$1:XFD21,A21+1,FALSE))</f>
        <v>2286</v>
      </c>
      <c r="F21" s="7">
        <f>IF(COUNTIF(I21:XFD21,"&gt;"&amp;0)=0,,HLOOKUP(COUNTIF(I21:XFD21,"&gt;"&amp;0)-MIN($F$1+1,COUNTIF(I21:XFD21,"&gt;"&amp;0)),I$1:XFD21,A21+1,FALSE))</f>
        <v>1439</v>
      </c>
      <c r="G21" s="8">
        <f t="shared" si="6"/>
        <v>1.0969910553182884</v>
      </c>
      <c r="H21" s="13" t="s">
        <v>59</v>
      </c>
      <c r="I21" s="9">
        <v>101</v>
      </c>
      <c r="J21" s="9">
        <v>161</v>
      </c>
      <c r="K21" s="9">
        <v>203</v>
      </c>
      <c r="L21" s="9">
        <v>248</v>
      </c>
      <c r="M21" s="9">
        <v>355</v>
      </c>
      <c r="N21" s="9">
        <v>500</v>
      </c>
      <c r="O21" s="9">
        <v>599</v>
      </c>
      <c r="P21" s="9">
        <v>814</v>
      </c>
      <c r="Q21" s="9">
        <v>961</v>
      </c>
      <c r="R21" s="9">
        <v>1022</v>
      </c>
      <c r="S21" s="9">
        <v>1103</v>
      </c>
      <c r="T21" s="9">
        <v>1190</v>
      </c>
      <c r="U21" s="9">
        <v>1279</v>
      </c>
      <c r="V21" s="9">
        <v>1439</v>
      </c>
      <c r="W21" s="9">
        <v>1639</v>
      </c>
      <c r="X21" s="9">
        <v>1763</v>
      </c>
      <c r="Y21" s="9">
        <v>1934</v>
      </c>
      <c r="Z21" s="9">
        <v>2046</v>
      </c>
      <c r="AA21" s="9">
        <v>2286</v>
      </c>
    </row>
    <row r="22" spans="1:41" x14ac:dyDescent="0.25">
      <c r="A22" s="9">
        <f t="shared" si="9"/>
        <v>21</v>
      </c>
      <c r="B22" s="9">
        <f t="array" ref="B22">IF(C22="",0,IF(OR(C22=Country_Comparison!$S$10:$S$29),1,0))</f>
        <v>0</v>
      </c>
      <c r="C22" s="9" t="str">
        <f t="shared" si="14"/>
        <v>Brazil</v>
      </c>
      <c r="D22" s="6">
        <f t="shared" si="5"/>
        <v>2247</v>
      </c>
      <c r="E22" s="6">
        <f>IF(COUNTIF(I22:XFD22,"&gt;"&amp;0)=0,,HLOOKUP(COUNTIF(I22:XFD22,"&gt;"&amp;0)-1,I$1:XFD22,A22+1,FALSE))</f>
        <v>2247</v>
      </c>
      <c r="F22" s="7">
        <f>IF(COUNTIF(I22:XFD22,"&gt;"&amp;0)=0,,HLOOKUP(COUNTIF(I22:XFD22,"&gt;"&amp;0)-MIN($F$1+1,COUNTIF(I22:XFD22,"&gt;"&amp;0)),I$1:XFD22,A22+1,FALSE))</f>
        <v>621</v>
      </c>
      <c r="G22" s="8">
        <f t="shared" si="6"/>
        <v>1.2933089840836098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  <c r="T22" s="9">
        <v>2247</v>
      </c>
    </row>
    <row r="23" spans="1:41" x14ac:dyDescent="0.25">
      <c r="A23" s="9">
        <f t="shared" si="9"/>
        <v>22</v>
      </c>
      <c r="B23" s="9">
        <f t="array" ref="B23">IF(C23="",0,IF(OR(C23=Country_Comparison!$S$10:$S$29),1,0))</f>
        <v>0</v>
      </c>
      <c r="C23" s="9" t="str">
        <f t="shared" si="14"/>
        <v>Australia</v>
      </c>
      <c r="D23" s="6">
        <f t="shared" si="5"/>
        <v>2044</v>
      </c>
      <c r="E23" s="6">
        <f>IF(COUNTIF(I23:XFD23,"&gt;"&amp;0)=0,,HLOOKUP(COUNTIF(I23:XFD23,"&gt;"&amp;0)-1,I$1:XFD23,A23+1,FALSE))</f>
        <v>2044</v>
      </c>
      <c r="F23" s="7">
        <f>IF(COUNTIF(I23:XFD23,"&gt;"&amp;0)=0,,HLOOKUP(COUNTIF(I23:XFD23,"&gt;"&amp;0)-MIN($F$1+1,COUNTIF(I23:XFD23,"&gt;"&amp;0)),I$1:XFD23,A23+1,FALSE))</f>
        <v>681</v>
      </c>
      <c r="G23" s="8">
        <f t="shared" si="6"/>
        <v>1.2458528668900091</v>
      </c>
      <c r="H23" s="13" t="s">
        <v>48</v>
      </c>
      <c r="I23" s="9">
        <v>107</v>
      </c>
      <c r="J23" s="9">
        <v>128</v>
      </c>
      <c r="K23" s="9">
        <v>128</v>
      </c>
      <c r="L23" s="9">
        <v>200</v>
      </c>
      <c r="M23" s="9">
        <v>250</v>
      </c>
      <c r="N23" s="9">
        <v>297</v>
      </c>
      <c r="O23" s="9">
        <v>377</v>
      </c>
      <c r="P23" s="9">
        <v>452</v>
      </c>
      <c r="Q23" s="9">
        <v>568</v>
      </c>
      <c r="R23" s="9">
        <v>681</v>
      </c>
      <c r="S23" s="9">
        <v>791</v>
      </c>
      <c r="T23" s="9">
        <v>1071</v>
      </c>
      <c r="U23" s="9">
        <v>1549</v>
      </c>
      <c r="V23" s="9">
        <v>1682</v>
      </c>
      <c r="W23" s="9">
        <v>2044</v>
      </c>
    </row>
    <row r="24" spans="1:41" x14ac:dyDescent="0.25">
      <c r="A24" s="9">
        <f t="shared" si="9"/>
        <v>23</v>
      </c>
      <c r="B24" s="9">
        <f t="array" ref="B24">IF(C24="",0,IF(OR(C24=Country_Comparison!$S$10:$S$29),1,0))</f>
        <v>0</v>
      </c>
      <c r="C24" s="9" t="str">
        <f t="shared" si="14"/>
        <v>Israel</v>
      </c>
      <c r="D24" s="6">
        <f t="shared" si="5"/>
        <v>1930</v>
      </c>
      <c r="E24" s="6">
        <f>IF(COUNTIF(I24:XFD24,"&gt;"&amp;0)=0,,HLOOKUP(COUNTIF(I24:XFD24,"&gt;"&amp;0)-1,I$1:XFD24,A24+1,FALSE))</f>
        <v>1930</v>
      </c>
      <c r="F24" s="7">
        <f>IF(COUNTIF(I24:XFD24,"&gt;"&amp;0)=0,,HLOOKUP(COUNTIF(I24:XFD24,"&gt;"&amp;0)-MIN($F$1+1,COUNTIF(I24:XFD24,"&gt;"&amp;0)),I$1:XFD24,A24+1,FALSE))</f>
        <v>677</v>
      </c>
      <c r="G24" s="8">
        <f t="shared" si="6"/>
        <v>1.2330870252704298</v>
      </c>
      <c r="H24" s="13" t="s">
        <v>79</v>
      </c>
      <c r="I24" s="9">
        <v>109</v>
      </c>
      <c r="J24" s="9">
        <v>131</v>
      </c>
      <c r="K24" s="9">
        <v>161</v>
      </c>
      <c r="L24" s="9">
        <v>193</v>
      </c>
      <c r="M24" s="9">
        <v>251</v>
      </c>
      <c r="N24" s="9">
        <v>255</v>
      </c>
      <c r="O24" s="9">
        <v>337</v>
      </c>
      <c r="P24" s="9">
        <v>433</v>
      </c>
      <c r="Q24" s="9">
        <v>677</v>
      </c>
      <c r="R24" s="9">
        <v>705</v>
      </c>
      <c r="S24" s="9">
        <v>883</v>
      </c>
      <c r="T24" s="9">
        <v>1071</v>
      </c>
      <c r="U24" s="9">
        <v>1442</v>
      </c>
      <c r="V24" s="9">
        <v>1930</v>
      </c>
    </row>
    <row r="25" spans="1:41" x14ac:dyDescent="0.25">
      <c r="A25" s="9">
        <f t="shared" si="9"/>
        <v>24</v>
      </c>
      <c r="B25" s="9">
        <f t="array" ref="B25">IF(C25="",0,IF(OR(C25=Country_Comparison!$S$10:$S$29),1,0))</f>
        <v>0</v>
      </c>
      <c r="C25" s="9" t="str">
        <f t="shared" si="14"/>
        <v>Turkey</v>
      </c>
      <c r="D25" s="6">
        <f t="shared" si="5"/>
        <v>1872</v>
      </c>
      <c r="E25" s="6">
        <f>IF(COUNTIF(I25:XFD25,"&gt;"&amp;0)=0,,HLOOKUP(COUNTIF(I25:XFD25,"&gt;"&amp;0)-1,I$1:XFD25,A25+1,FALSE))</f>
        <v>1872</v>
      </c>
      <c r="F25" s="7">
        <f>IF(COUNTIF(I25:XFD25,"&gt;"&amp;0)=0,,HLOOKUP(COUNTIF(I25:XFD25,"&gt;"&amp;0)-MIN($F$1+1,COUNTIF(I25:XFD25,"&gt;"&amp;0)),I$1:XFD25,A25+1,FALSE))</f>
        <v>192</v>
      </c>
      <c r="G25" s="8">
        <f t="shared" si="6"/>
        <v>1.5768882719642627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  <c r="N25" s="9">
        <v>1872</v>
      </c>
    </row>
    <row r="26" spans="1:41" x14ac:dyDescent="0.25">
      <c r="A26" s="9">
        <f t="shared" si="9"/>
        <v>25</v>
      </c>
      <c r="B26" s="9">
        <f t="array" ref="B26">IF(C26="",0,IF(OR(C26=Country_Comparison!$S$10:$S$29),1,0))</f>
        <v>0</v>
      </c>
      <c r="C26" s="9" t="str">
        <f t="shared" si="14"/>
        <v>Denmark</v>
      </c>
      <c r="D26" s="6">
        <f t="shared" si="5"/>
        <v>1718</v>
      </c>
      <c r="E26" s="6">
        <f>IF(COUNTIF(I26:XFD26,"&gt;"&amp;0)=0,,HLOOKUP(COUNTIF(I26:XFD26,"&gt;"&amp;0)-1,I$1:XFD26,A26+1,FALSE))</f>
        <v>1718</v>
      </c>
      <c r="F26" s="7">
        <f>IF(COUNTIF(I26:XFD26,"&gt;"&amp;0)=0,,HLOOKUP(COUNTIF(I26:XFD26,"&gt;"&amp;0)-MIN($F$1+1,COUNTIF(I26:XFD26,"&gt;"&amp;0)),I$1:XFD26,A26+1,FALSE))</f>
        <v>1225</v>
      </c>
      <c r="G26" s="8">
        <f t="shared" si="6"/>
        <v>1.0699843218748706</v>
      </c>
      <c r="H26" s="13" t="s">
        <v>87</v>
      </c>
      <c r="I26" s="9">
        <v>264</v>
      </c>
      <c r="J26" s="9">
        <v>444</v>
      </c>
      <c r="K26" s="9">
        <v>617</v>
      </c>
      <c r="L26" s="9">
        <v>804</v>
      </c>
      <c r="M26" s="9">
        <v>836</v>
      </c>
      <c r="N26" s="9">
        <v>875</v>
      </c>
      <c r="O26" s="9">
        <v>933</v>
      </c>
      <c r="P26" s="9">
        <v>1025</v>
      </c>
      <c r="Q26" s="9">
        <v>1116</v>
      </c>
      <c r="R26" s="9">
        <v>1225</v>
      </c>
      <c r="S26" s="9">
        <v>1337</v>
      </c>
      <c r="T26" s="9">
        <v>1420</v>
      </c>
      <c r="U26" s="9">
        <v>1514</v>
      </c>
      <c r="V26" s="9">
        <v>1572</v>
      </c>
      <c r="W26" s="9">
        <v>1718</v>
      </c>
    </row>
    <row r="27" spans="1:41" x14ac:dyDescent="0.25">
      <c r="A27" s="9">
        <f t="shared" si="9"/>
        <v>26</v>
      </c>
      <c r="B27" s="9">
        <f t="array" ref="B27">IF(C27="",0,IF(OR(C27=Country_Comparison!$S$10:$S$29),1,0))</f>
        <v>0</v>
      </c>
      <c r="C27" s="9" t="str">
        <f t="shared" si="14"/>
        <v>Malaysia</v>
      </c>
      <c r="D27" s="6">
        <f t="shared" si="5"/>
        <v>1624</v>
      </c>
      <c r="E27" s="6">
        <f>IF(COUNTIF(I27:XFD27,"&gt;"&amp;0)=0,,HLOOKUP(COUNTIF(I27:XFD27,"&gt;"&amp;0)-1,I$1:XFD27,A27+1,FALSE))</f>
        <v>1624</v>
      </c>
      <c r="F27" s="7">
        <f>IF(COUNTIF(I27:XFD27,"&gt;"&amp;0)=0,,HLOOKUP(COUNTIF(I27:XFD27,"&gt;"&amp;0)-MIN($F$1+1,COUNTIF(I27:XFD27,"&gt;"&amp;0)),I$1:XFD27,A27+1,FALSE))</f>
        <v>900</v>
      </c>
      <c r="G27" s="8">
        <f t="shared" si="6"/>
        <v>1.1253009955597064</v>
      </c>
      <c r="H27" s="13" t="s">
        <v>43</v>
      </c>
      <c r="I27" s="9">
        <v>117</v>
      </c>
      <c r="J27" s="9">
        <v>129</v>
      </c>
      <c r="K27" s="9">
        <v>149</v>
      </c>
      <c r="L27" s="9">
        <v>149</v>
      </c>
      <c r="M27" s="9">
        <v>197</v>
      </c>
      <c r="N27" s="9">
        <v>238</v>
      </c>
      <c r="O27" s="9">
        <v>428</v>
      </c>
      <c r="P27" s="9">
        <v>566</v>
      </c>
      <c r="Q27" s="9">
        <v>673</v>
      </c>
      <c r="R27" s="9">
        <v>790</v>
      </c>
      <c r="S27" s="9">
        <v>900</v>
      </c>
      <c r="T27" s="9">
        <v>1030</v>
      </c>
      <c r="U27" s="9">
        <v>1183</v>
      </c>
      <c r="V27" s="9">
        <v>1306</v>
      </c>
      <c r="W27" s="9">
        <v>1518</v>
      </c>
      <c r="X27" s="9">
        <v>1624</v>
      </c>
    </row>
    <row r="28" spans="1:41" x14ac:dyDescent="0.25">
      <c r="A28" s="9">
        <f t="shared" si="9"/>
        <v>27</v>
      </c>
      <c r="B28" s="9">
        <f t="array" ref="B28">IF(C28="",0,IF(OR(C28=Country_Comparison!$S$10:$S$29),1,0))</f>
        <v>0</v>
      </c>
      <c r="C28" s="9" t="str">
        <f t="shared" si="14"/>
        <v>Czechia</v>
      </c>
      <c r="D28" s="6">
        <f t="shared" si="5"/>
        <v>1394</v>
      </c>
      <c r="E28" s="6">
        <f>IF(COUNTIF(I28:XFD28,"&gt;"&amp;0)=0,,HLOOKUP(COUNTIF(I28:XFD28,"&gt;"&amp;0)-1,I$1:XFD28,A28+1,FALSE))</f>
        <v>1394</v>
      </c>
      <c r="F28" s="7">
        <f>IF(COUNTIF(I28:XFD28,"&gt;"&amp;0)=0,,HLOOKUP(COUNTIF(I28:XFD28,"&gt;"&amp;0)-MIN($F$1+1,COUNTIF(I28:XFD28,"&gt;"&amp;0)),I$1:XFD28,A28+1,FALSE))</f>
        <v>694</v>
      </c>
      <c r="G28" s="8">
        <f t="shared" si="6"/>
        <v>1.1496897532123991</v>
      </c>
      <c r="H28" s="13" t="s">
        <v>341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  <c r="N28" s="9">
        <v>464</v>
      </c>
      <c r="O28" s="9">
        <v>694</v>
      </c>
      <c r="P28" s="9">
        <v>833</v>
      </c>
      <c r="Q28" s="9">
        <v>995</v>
      </c>
      <c r="R28" s="9">
        <v>1120</v>
      </c>
      <c r="S28" s="9">
        <v>1236</v>
      </c>
      <c r="T28" s="9">
        <v>1394</v>
      </c>
    </row>
    <row r="29" spans="1:41" x14ac:dyDescent="0.25">
      <c r="A29" s="9">
        <f t="shared" si="9"/>
        <v>28</v>
      </c>
      <c r="B29" s="9">
        <f t="array" ref="B29">IF(C29="",0,IF(OR(C29=Country_Comparison!$S$10:$S$29),1,0))</f>
        <v>0</v>
      </c>
      <c r="C29" s="9" t="str">
        <f t="shared" si="14"/>
        <v>Ireland</v>
      </c>
      <c r="D29" s="6">
        <f t="shared" si="5"/>
        <v>1329</v>
      </c>
      <c r="E29" s="6">
        <f>IF(COUNTIF(I29:XFD29,"&gt;"&amp;0)=0,,HLOOKUP(COUNTIF(I29:XFD29,"&gt;"&amp;0)-1,I$1:XFD29,A29+1,FALSE))</f>
        <v>1329</v>
      </c>
      <c r="F29" s="7">
        <f>IF(COUNTIF(I29:XFD29,"&gt;"&amp;0)=0,,HLOOKUP(COUNTIF(I29:XFD29,"&gt;"&amp;0)-MIN($F$1+1,COUNTIF(I29:XFD29,"&gt;"&amp;0)),I$1:XFD29,A29+1,FALSE))</f>
        <v>557</v>
      </c>
      <c r="G29" s="8">
        <f t="shared" si="6"/>
        <v>1.1899643679276424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  <c r="Q29" s="9">
        <v>906</v>
      </c>
      <c r="R29" s="9">
        <v>1125</v>
      </c>
      <c r="S29" s="9">
        <v>1329</v>
      </c>
    </row>
    <row r="30" spans="1:41" x14ac:dyDescent="0.25">
      <c r="A30" s="9">
        <f t="shared" si="9"/>
        <v>29</v>
      </c>
      <c r="B30" s="9">
        <f t="array" ref="B30">IF(C30="",0,IF(OR(C30=Country_Comparison!$S$10:$S$29),1,0))</f>
        <v>0</v>
      </c>
      <c r="C30" s="9" t="str">
        <f t="shared" si="14"/>
        <v>Japan</v>
      </c>
      <c r="D30" s="6">
        <f t="shared" si="5"/>
        <v>1193</v>
      </c>
      <c r="E30" s="6">
        <f>IF(COUNTIF(I30:XFD30,"&gt;"&amp;0)=0,,HLOOKUP(COUNTIF(I30:XFD30,"&gt;"&amp;0)-1,I$1:XFD30,A30+1,FALSE))</f>
        <v>1193</v>
      </c>
      <c r="F30" s="7">
        <f>IF(COUNTIF(I30:XFD30,"&gt;"&amp;0)=0,,HLOOKUP(COUNTIF(I30:XFD30,"&gt;"&amp;0)-MIN($F$1+1,COUNTIF(I30:XFD30,"&gt;"&amp;0)),I$1:XFD30,A30+1,FALSE))</f>
        <v>924</v>
      </c>
      <c r="G30" s="8">
        <f t="shared" si="6"/>
        <v>1.0524311514034226</v>
      </c>
      <c r="H30" s="13" t="s">
        <v>36</v>
      </c>
      <c r="I30" s="9">
        <v>105</v>
      </c>
      <c r="J30" s="9">
        <v>122</v>
      </c>
      <c r="K30" s="9">
        <v>147</v>
      </c>
      <c r="L30" s="9">
        <v>159</v>
      </c>
      <c r="M30" s="9">
        <v>170</v>
      </c>
      <c r="N30" s="9">
        <v>189</v>
      </c>
      <c r="O30" s="9">
        <v>214</v>
      </c>
      <c r="P30" s="9">
        <v>228</v>
      </c>
      <c r="Q30" s="9">
        <v>241</v>
      </c>
      <c r="R30" s="9">
        <v>256</v>
      </c>
      <c r="S30" s="9">
        <v>274</v>
      </c>
      <c r="T30" s="9">
        <v>293</v>
      </c>
      <c r="U30" s="9">
        <v>331</v>
      </c>
      <c r="V30" s="9">
        <v>360</v>
      </c>
      <c r="W30" s="9">
        <v>420</v>
      </c>
      <c r="X30" s="9">
        <v>461</v>
      </c>
      <c r="Y30" s="9">
        <v>502</v>
      </c>
      <c r="Z30" s="9">
        <v>511</v>
      </c>
      <c r="AA30" s="9">
        <v>581</v>
      </c>
      <c r="AB30" s="9">
        <v>639</v>
      </c>
      <c r="AC30" s="9">
        <v>639</v>
      </c>
      <c r="AD30" s="9">
        <v>701</v>
      </c>
      <c r="AE30" s="9">
        <v>773</v>
      </c>
      <c r="AF30" s="9">
        <v>839</v>
      </c>
      <c r="AG30" s="9">
        <v>839</v>
      </c>
      <c r="AH30" s="9">
        <v>878</v>
      </c>
      <c r="AI30" s="9">
        <v>889</v>
      </c>
      <c r="AJ30" s="9">
        <v>924</v>
      </c>
      <c r="AK30" s="9">
        <v>963</v>
      </c>
      <c r="AL30" s="9">
        <v>1007</v>
      </c>
      <c r="AM30" s="9">
        <v>1101</v>
      </c>
      <c r="AN30" s="9">
        <v>1128</v>
      </c>
      <c r="AO30" s="9">
        <v>1193</v>
      </c>
    </row>
    <row r="31" spans="1:41" x14ac:dyDescent="0.25">
      <c r="A31" s="9">
        <f t="shared" si="9"/>
        <v>30</v>
      </c>
      <c r="B31" s="9">
        <f t="array" ref="B31">IF(C31="",0,IF(OR(C31=Country_Comparison!$S$10:$S$29),1,0))</f>
        <v>0</v>
      </c>
      <c r="C31" s="9" t="str">
        <f t="shared" si="14"/>
        <v>Luxembourg</v>
      </c>
      <c r="D31" s="6">
        <f t="shared" si="5"/>
        <v>1099</v>
      </c>
      <c r="E31" s="6">
        <f>IF(COUNTIF(I31:XFD31,"&gt;"&amp;0)=0,,HLOOKUP(COUNTIF(I31:XFD31,"&gt;"&amp;0)-1,I$1:XFD31,A31+1,FALSE))</f>
        <v>1099</v>
      </c>
      <c r="F31" s="7">
        <f>IF(COUNTIF(I31:XFD31,"&gt;"&amp;0)=0,,HLOOKUP(COUNTIF(I31:XFD31,"&gt;"&amp;0)-MIN($F$1+1,COUNTIF(I31:XFD31,"&gt;"&amp;0)),I$1:XFD31,A31+1,FALSE))</f>
        <v>335</v>
      </c>
      <c r="G31" s="8">
        <f t="shared" si="6"/>
        <v>1.2682082588394086</v>
      </c>
      <c r="H31" s="13" t="s">
        <v>99</v>
      </c>
      <c r="I31" s="9">
        <v>140</v>
      </c>
      <c r="J31" s="9">
        <v>203</v>
      </c>
      <c r="K31" s="9">
        <v>335</v>
      </c>
      <c r="L31" s="9">
        <v>484</v>
      </c>
      <c r="M31" s="9">
        <v>670</v>
      </c>
      <c r="N31" s="9">
        <v>798</v>
      </c>
      <c r="O31" s="9">
        <v>875</v>
      </c>
      <c r="P31" s="9">
        <v>1099</v>
      </c>
    </row>
    <row r="32" spans="1:41" x14ac:dyDescent="0.25">
      <c r="A32" s="9">
        <f t="shared" si="9"/>
        <v>31</v>
      </c>
      <c r="B32" s="9">
        <f t="array" ref="B32">IF(C32="",0,IF(OR(C32=Country_Comparison!$S$10:$S$29),1,0))</f>
        <v>0</v>
      </c>
      <c r="C32" s="9" t="str">
        <f t="shared" si="14"/>
        <v>Ecuador</v>
      </c>
      <c r="D32" s="6">
        <f t="shared" si="5"/>
        <v>1082</v>
      </c>
      <c r="E32" s="6">
        <f>IF(COUNTIF(I32:XFD32,"&gt;"&amp;0)=0,,HLOOKUP(COUNTIF(I32:XFD32,"&gt;"&amp;0)-1,I$1:XFD32,A32+1,FALSE))</f>
        <v>1082</v>
      </c>
      <c r="F32" s="7">
        <f>IF(COUNTIF(I32:XFD32,"&gt;"&amp;0)=0,,HLOOKUP(COUNTIF(I32:XFD32,"&gt;"&amp;0)-MIN($F$1+1,COUNTIF(I32:XFD32,"&gt;"&amp;0)),I$1:XFD32,A32+1,FALSE))</f>
        <v>199</v>
      </c>
      <c r="G32" s="8">
        <f t="shared" si="6"/>
        <v>1.4030554558158974</v>
      </c>
      <c r="H32" s="13" t="s">
        <v>103</v>
      </c>
      <c r="I32" s="9">
        <v>111</v>
      </c>
      <c r="J32" s="9">
        <v>199</v>
      </c>
      <c r="K32" s="9">
        <v>367</v>
      </c>
      <c r="L32" s="9">
        <v>506</v>
      </c>
      <c r="M32" s="9">
        <v>789</v>
      </c>
      <c r="N32" s="9">
        <v>981</v>
      </c>
      <c r="O32" s="9">
        <v>1082</v>
      </c>
    </row>
    <row r="33" spans="1:33" x14ac:dyDescent="0.25">
      <c r="A33" s="9">
        <f t="shared" si="9"/>
        <v>32</v>
      </c>
      <c r="B33" s="9">
        <f t="array" ref="B33">IF(C33="",0,IF(OR(C33=Country_Comparison!$S$10:$S$29),1,0))</f>
        <v>0</v>
      </c>
      <c r="C33" s="9" t="str">
        <f t="shared" si="14"/>
        <v>Pakistan</v>
      </c>
      <c r="D33" s="6">
        <f t="shared" si="5"/>
        <v>972</v>
      </c>
      <c r="E33" s="6">
        <f>IF(COUNTIF(I33:XFD33,"&gt;"&amp;0)=0,,HLOOKUP(COUNTIF(I33:XFD33,"&gt;"&amp;0)-1,I$1:XFD33,A33+1,FALSE))</f>
        <v>972</v>
      </c>
      <c r="F33" s="7">
        <f>IF(COUNTIF(I33:XFD33,"&gt;"&amp;0)=0,,HLOOKUP(COUNTIF(I33:XFD33,"&gt;"&amp;0)-MIN($F$1+1,COUNTIF(I33:XFD33,"&gt;"&amp;0)),I$1:XFD33,A33+1,FALSE))</f>
        <v>454</v>
      </c>
      <c r="G33" s="8">
        <f t="shared" si="6"/>
        <v>1.1644533172271867</v>
      </c>
      <c r="H33" s="13" t="s">
        <v>80</v>
      </c>
      <c r="I33" s="9">
        <v>136</v>
      </c>
      <c r="J33" s="9">
        <v>236</v>
      </c>
      <c r="K33" s="9">
        <v>299</v>
      </c>
      <c r="L33" s="9">
        <v>454</v>
      </c>
      <c r="M33" s="9">
        <v>501</v>
      </c>
      <c r="N33" s="9">
        <v>730</v>
      </c>
      <c r="O33" s="9">
        <v>776</v>
      </c>
      <c r="P33" s="9">
        <v>875</v>
      </c>
      <c r="Q33" s="9">
        <v>972</v>
      </c>
    </row>
    <row r="34" spans="1:33" x14ac:dyDescent="0.25">
      <c r="A34" s="9">
        <f t="shared" si="9"/>
        <v>33</v>
      </c>
      <c r="B34" s="9">
        <f t="array" ref="B34">IF(C34="",0,IF(OR(C34=Country_Comparison!$S$10:$S$29),1,0))</f>
        <v>0</v>
      </c>
      <c r="C34" s="9" t="str">
        <f t="shared" si="14"/>
        <v>Chile</v>
      </c>
      <c r="D34" s="6">
        <f t="shared" ref="D34:D65" si="15">MAX(I34:CL34)</f>
        <v>922</v>
      </c>
      <c r="E34" s="6">
        <f>IF(COUNTIF(I34:XFD34,"&gt;"&amp;0)=0,,HLOOKUP(COUNTIF(I34:XFD34,"&gt;"&amp;0)-1,I$1:XFD34,A34+1,FALSE))</f>
        <v>922</v>
      </c>
      <c r="F34" s="7">
        <f>IF(COUNTIF(I34:XFD34,"&gt;"&amp;0)=0,,HLOOKUP(COUNTIF(I34:XFD34,"&gt;"&amp;0)-MIN($F$1+1,COUNTIF(I34:XFD34,"&gt;"&amp;0)),I$1:XFD34,A34+1,FALSE))</f>
        <v>238</v>
      </c>
      <c r="G34" s="8">
        <f t="shared" ref="G34:G65" si="16">IF(COUNTIF(I34:XFD34,"&gt;"&amp;0)=0,,(E34/F34)^(1/MIN(COUNTIF(I34:XFD34,"&gt;"&amp;0)-1,$F$1)))</f>
        <v>1.3110848312557313</v>
      </c>
      <c r="H34" s="13" t="s">
        <v>124</v>
      </c>
      <c r="I34" s="9">
        <v>155</v>
      </c>
      <c r="J34" s="9">
        <v>201</v>
      </c>
      <c r="K34" s="9">
        <v>238</v>
      </c>
      <c r="L34" s="9">
        <v>238</v>
      </c>
      <c r="M34" s="9">
        <v>434</v>
      </c>
      <c r="N34" s="9">
        <v>537</v>
      </c>
      <c r="O34" s="9">
        <v>632</v>
      </c>
      <c r="P34" s="9">
        <v>746</v>
      </c>
      <c r="Q34" s="9">
        <v>922</v>
      </c>
    </row>
    <row r="35" spans="1:33" x14ac:dyDescent="0.25">
      <c r="A35" s="9">
        <f t="shared" si="9"/>
        <v>34</v>
      </c>
      <c r="B35" s="9">
        <f t="array" ref="B35">IF(C35="",0,IF(OR(C35=Country_Comparison!$S$10:$S$29),1,0))</f>
        <v>0</v>
      </c>
      <c r="C35" s="9" t="str">
        <f t="shared" si="14"/>
        <v>Poland</v>
      </c>
      <c r="D35" s="6">
        <f t="shared" si="15"/>
        <v>901</v>
      </c>
      <c r="E35" s="6">
        <f>IF(COUNTIF(I35:XFD35,"&gt;"&amp;0)=0,,HLOOKUP(COUNTIF(I35:XFD35,"&gt;"&amp;0)-1,I$1:XFD35,A35+1,FALSE))</f>
        <v>901</v>
      </c>
      <c r="F35" s="7">
        <f>IF(COUNTIF(I35:XFD35,"&gt;"&amp;0)=0,,HLOOKUP(COUNTIF(I35:XFD35,"&gt;"&amp;0)-MIN($F$1+1,COUNTIF(I35:XFD35,"&gt;"&amp;0)),I$1:XFD35,A35+1,FALSE))</f>
        <v>355</v>
      </c>
      <c r="G35" s="8">
        <f t="shared" si="16"/>
        <v>1.2047565262547812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  <c r="Q35" s="9">
        <v>634</v>
      </c>
      <c r="R35" s="9">
        <v>749</v>
      </c>
      <c r="S35" s="9">
        <v>901</v>
      </c>
    </row>
    <row r="36" spans="1:33" x14ac:dyDescent="0.25">
      <c r="A36" s="9">
        <f t="shared" si="9"/>
        <v>35</v>
      </c>
      <c r="B36" s="9">
        <f t="array" ref="B36">IF(C36="",0,IF(OR(C36=Country_Comparison!$S$10:$S$29),1,0))</f>
        <v>0</v>
      </c>
      <c r="C36" s="9" t="str">
        <f t="shared" si="14"/>
        <v>Thailand</v>
      </c>
      <c r="D36" s="6">
        <f t="shared" si="15"/>
        <v>827</v>
      </c>
      <c r="E36" s="6">
        <f>IF(COUNTIF(I36:XFD36,"&gt;"&amp;0)=0,,HLOOKUP(COUNTIF(I36:XFD36,"&gt;"&amp;0)-1,I$1:XFD36,A36+1,FALSE))</f>
        <v>827</v>
      </c>
      <c r="F36" s="7">
        <f>IF(COUNTIF(I36:XFD36,"&gt;"&amp;0)=0,,HLOOKUP(COUNTIF(I36:XFD36,"&gt;"&amp;0)-MIN($F$1+1,COUNTIF(I36:XFD36,"&gt;"&amp;0)),I$1:XFD36,A36+1,FALSE))</f>
        <v>272</v>
      </c>
      <c r="G36" s="8">
        <f t="shared" si="16"/>
        <v>1.2490715630080882</v>
      </c>
      <c r="H36" s="15" t="s">
        <v>35</v>
      </c>
      <c r="I36" s="9">
        <v>114</v>
      </c>
      <c r="J36" s="9">
        <v>147</v>
      </c>
      <c r="K36" s="9">
        <v>177</v>
      </c>
      <c r="L36" s="9">
        <v>212</v>
      </c>
      <c r="M36" s="9">
        <v>272</v>
      </c>
      <c r="N36" s="9">
        <v>322</v>
      </c>
      <c r="O36" s="9">
        <v>411</v>
      </c>
      <c r="P36" s="9">
        <v>599</v>
      </c>
      <c r="Q36" s="9">
        <v>721</v>
      </c>
      <c r="R36" s="9">
        <v>827</v>
      </c>
    </row>
    <row r="37" spans="1:33" x14ac:dyDescent="0.25">
      <c r="A37" s="9">
        <f t="shared" si="9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Romania</v>
      </c>
      <c r="D37" s="6">
        <f t="shared" si="15"/>
        <v>794</v>
      </c>
      <c r="E37" s="6">
        <f>IF(COUNTIF(I37:XFD37,"&gt;"&amp;0)=0,,HLOOKUP(COUNTIF(I37:XFD37,"&gt;"&amp;0)-1,I$1:XFD37,A37+1,FALSE))</f>
        <v>794</v>
      </c>
      <c r="F37" s="7">
        <f>IF(COUNTIF(I37:XFD37,"&gt;"&amp;0)=0,,HLOOKUP(COUNTIF(I37:XFD37,"&gt;"&amp;0)-MIN($F$1+1,COUNTIF(I37:XFD37,"&gt;"&amp;0)),I$1:XFD37,A37+1,FALSE))</f>
        <v>277</v>
      </c>
      <c r="G37" s="8">
        <f t="shared" si="16"/>
        <v>1.2344347722356337</v>
      </c>
      <c r="H37" s="13" t="s">
        <v>86</v>
      </c>
      <c r="I37" s="9">
        <v>123</v>
      </c>
      <c r="J37" s="9">
        <v>131</v>
      </c>
      <c r="K37" s="9">
        <v>158</v>
      </c>
      <c r="L37" s="9">
        <v>184</v>
      </c>
      <c r="M37" s="9">
        <v>260</v>
      </c>
      <c r="N37" s="9">
        <v>277</v>
      </c>
      <c r="O37" s="9">
        <v>308</v>
      </c>
      <c r="P37" s="9">
        <v>367</v>
      </c>
      <c r="Q37" s="9">
        <v>433</v>
      </c>
      <c r="R37" s="9">
        <v>576</v>
      </c>
      <c r="S37" s="9">
        <v>794</v>
      </c>
    </row>
    <row r="38" spans="1:33" x14ac:dyDescent="0.25">
      <c r="A38" s="9">
        <f t="shared" si="9"/>
        <v>37</v>
      </c>
      <c r="B38" s="9">
        <f t="array" ref="B38">IF(C38="",0,IF(OR(C38=Country_Comparison!$S$10:$S$29),1,0))</f>
        <v>0</v>
      </c>
      <c r="C38" s="9" t="str">
        <f t="shared" si="17"/>
        <v>Finland</v>
      </c>
      <c r="D38" s="6">
        <f t="shared" si="15"/>
        <v>792</v>
      </c>
      <c r="E38" s="6">
        <f>IF(COUNTIF(I38:XFD38,"&gt;"&amp;0)=0,,HLOOKUP(COUNTIF(I38:XFD38,"&gt;"&amp;0)-1,I$1:XFD38,A38+1,FALSE))</f>
        <v>792</v>
      </c>
      <c r="F38" s="7">
        <f>IF(COUNTIF(I38:XFD38,"&gt;"&amp;0)=0,,HLOOKUP(COUNTIF(I38:XFD38,"&gt;"&amp;0)-MIN($F$1+1,COUNTIF(I38:XFD38,"&gt;"&amp;0)),I$1:XFD38,A38+1,FALSE))</f>
        <v>400</v>
      </c>
      <c r="G38" s="8">
        <f t="shared" si="16"/>
        <v>1.1463917131737602</v>
      </c>
      <c r="H38" s="13" t="s">
        <v>54</v>
      </c>
      <c r="I38" s="9">
        <v>155</v>
      </c>
      <c r="J38" s="9">
        <v>225</v>
      </c>
      <c r="K38" s="9">
        <v>244</v>
      </c>
      <c r="L38" s="9">
        <v>277</v>
      </c>
      <c r="M38" s="9">
        <v>321</v>
      </c>
      <c r="N38" s="9">
        <v>336</v>
      </c>
      <c r="O38" s="9">
        <v>400</v>
      </c>
      <c r="P38" s="9">
        <v>450</v>
      </c>
      <c r="Q38" s="9">
        <v>523</v>
      </c>
      <c r="R38" s="9">
        <v>626</v>
      </c>
      <c r="S38" s="9">
        <v>700</v>
      </c>
      <c r="T38" s="9">
        <v>792</v>
      </c>
    </row>
    <row r="39" spans="1:33" x14ac:dyDescent="0.25">
      <c r="A39" s="9">
        <f t="shared" si="9"/>
        <v>38</v>
      </c>
      <c r="B39" s="9">
        <f t="array" ref="B39">IF(C39="",0,IF(OR(C39=Country_Comparison!$S$10:$S$29),1,0))</f>
        <v>0</v>
      </c>
      <c r="C39" s="9" t="str">
        <f t="shared" si="17"/>
        <v>Saudi Arabia</v>
      </c>
      <c r="D39" s="6">
        <f t="shared" si="15"/>
        <v>767</v>
      </c>
      <c r="E39" s="6">
        <f>IF(COUNTIF(I39:XFD39,"&gt;"&amp;0)=0,,HLOOKUP(COUNTIF(I39:XFD39,"&gt;"&amp;0)-1,I$1:XFD39,A39+1,FALSE))</f>
        <v>767</v>
      </c>
      <c r="F39" s="7">
        <f>IF(COUNTIF(I39:XFD39,"&gt;"&amp;0)=0,,HLOOKUP(COUNTIF(I39:XFD39,"&gt;"&amp;0)-MIN($F$1+1,COUNTIF(I39:XFD39,"&gt;"&amp;0)),I$1:XFD39,A39+1,FALSE))</f>
        <v>274</v>
      </c>
      <c r="G39" s="8">
        <f t="shared" si="16"/>
        <v>1.2285956129821061</v>
      </c>
      <c r="H39" s="13" t="s">
        <v>113</v>
      </c>
      <c r="I39" s="9">
        <v>103</v>
      </c>
      <c r="J39" s="9">
        <v>103</v>
      </c>
      <c r="K39" s="9">
        <v>118</v>
      </c>
      <c r="L39" s="9">
        <v>171</v>
      </c>
      <c r="M39" s="9">
        <v>171</v>
      </c>
      <c r="N39" s="9">
        <v>274</v>
      </c>
      <c r="O39" s="9">
        <v>344</v>
      </c>
      <c r="P39" s="9">
        <v>392</v>
      </c>
      <c r="Q39" s="9">
        <v>511</v>
      </c>
      <c r="R39" s="9">
        <v>562</v>
      </c>
      <c r="S39" s="9">
        <v>767</v>
      </c>
    </row>
    <row r="40" spans="1:33" x14ac:dyDescent="0.25">
      <c r="A40" s="9">
        <f t="shared" si="9"/>
        <v>39</v>
      </c>
      <c r="B40" s="9">
        <f t="array" ref="B40">IF(C40="",0,IF(OR(C40=Country_Comparison!$S$10:$S$29),1,0))</f>
        <v>0</v>
      </c>
      <c r="C40" s="9" t="str">
        <f t="shared" si="17"/>
        <v>Greece</v>
      </c>
      <c r="D40" s="6">
        <f t="shared" si="15"/>
        <v>743</v>
      </c>
      <c r="E40" s="6">
        <f>IF(COUNTIF(I40:XFD40,"&gt;"&amp;0)=0,,HLOOKUP(COUNTIF(I40:XFD40,"&gt;"&amp;0)-1,I$1:XFD40,A40+1,FALSE))</f>
        <v>743</v>
      </c>
      <c r="F40" s="7">
        <f>IF(COUNTIF(I40:XFD40,"&gt;"&amp;0)=0,,HLOOKUP(COUNTIF(I40:XFD40,"&gt;"&amp;0)-MIN($F$1+1,COUNTIF(I40:XFD40,"&gt;"&amp;0)),I$1:XFD40,A40+1,FALSE))</f>
        <v>418</v>
      </c>
      <c r="G40" s="8">
        <f t="shared" si="16"/>
        <v>1.1219215921491286</v>
      </c>
      <c r="H40" s="13" t="s">
        <v>83</v>
      </c>
      <c r="I40" s="9">
        <v>190</v>
      </c>
      <c r="J40" s="9">
        <v>228</v>
      </c>
      <c r="K40" s="9">
        <v>331</v>
      </c>
      <c r="L40" s="9">
        <v>331</v>
      </c>
      <c r="M40" s="9">
        <v>387</v>
      </c>
      <c r="N40" s="9">
        <v>418</v>
      </c>
      <c r="O40" s="9">
        <v>418</v>
      </c>
      <c r="P40" s="9">
        <v>495</v>
      </c>
      <c r="Q40" s="9">
        <v>530</v>
      </c>
      <c r="R40" s="9">
        <v>624</v>
      </c>
      <c r="S40" s="9">
        <v>695</v>
      </c>
      <c r="T40" s="9">
        <v>743</v>
      </c>
    </row>
    <row r="41" spans="1:33" x14ac:dyDescent="0.25">
      <c r="A41" s="9">
        <f t="shared" si="9"/>
        <v>40</v>
      </c>
      <c r="B41" s="9">
        <f t="array" ref="B41">IF(C41="",0,IF(OR(C41=Country_Comparison!$S$10:$S$29),1,0))</f>
        <v>0</v>
      </c>
      <c r="C41" s="9" t="str">
        <f t="shared" si="17"/>
        <v>Indonesia</v>
      </c>
      <c r="D41" s="6">
        <f t="shared" si="15"/>
        <v>686</v>
      </c>
      <c r="E41" s="6">
        <f>IF(COUNTIF(I41:XFD41,"&gt;"&amp;0)=0,,HLOOKUP(COUNTIF(I41:XFD41,"&gt;"&amp;0)-1,I$1:XFD41,A41+1,FALSE))</f>
        <v>686</v>
      </c>
      <c r="F41" s="7">
        <f>IF(COUNTIF(I41:XFD41,"&gt;"&amp;0)=0,,HLOOKUP(COUNTIF(I41:XFD41,"&gt;"&amp;0)-MIN($F$1+1,COUNTIF(I41:XFD41,"&gt;"&amp;0)),I$1:XFD41,A41+1,FALSE))</f>
        <v>311</v>
      </c>
      <c r="G41" s="8">
        <f t="shared" si="16"/>
        <v>1.1714202987055509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  <c r="Q41" s="9">
        <v>579</v>
      </c>
      <c r="R41" s="9">
        <v>686</v>
      </c>
    </row>
    <row r="42" spans="1:33" x14ac:dyDescent="0.25">
      <c r="A42" s="9">
        <f t="shared" si="9"/>
        <v>41</v>
      </c>
      <c r="B42" s="9">
        <f t="array" ref="B42">IF(C42="",0,IF(OR(C42=Country_Comparison!$S$10:$S$29),1,0))</f>
        <v>0</v>
      </c>
      <c r="C42" s="9" t="str">
        <f t="shared" si="17"/>
        <v>Iceland</v>
      </c>
      <c r="D42" s="6">
        <f t="shared" si="15"/>
        <v>648</v>
      </c>
      <c r="E42" s="6">
        <f>IF(COUNTIF(I42:XFD42,"&gt;"&amp;0)=0,,HLOOKUP(COUNTIF(I42:XFD42,"&gt;"&amp;0)-1,I$1:XFD42,A42+1,FALSE))</f>
        <v>648</v>
      </c>
      <c r="F42" s="7">
        <f>IF(COUNTIF(I42:XFD42,"&gt;"&amp;0)=0,,HLOOKUP(COUNTIF(I42:XFD42,"&gt;"&amp;0)-MIN($F$1+1,COUNTIF(I42:XFD42,"&gt;"&amp;0)),I$1:XFD42,A42+1,FALSE))</f>
        <v>330</v>
      </c>
      <c r="G42" s="8">
        <f t="shared" si="16"/>
        <v>1.1444905555881899</v>
      </c>
      <c r="H42" s="13" t="s">
        <v>92</v>
      </c>
      <c r="I42" s="9">
        <v>103</v>
      </c>
      <c r="J42" s="9">
        <v>134</v>
      </c>
      <c r="K42" s="9">
        <v>156</v>
      </c>
      <c r="L42" s="9">
        <v>171</v>
      </c>
      <c r="M42" s="9">
        <v>180</v>
      </c>
      <c r="N42" s="9">
        <v>220</v>
      </c>
      <c r="O42" s="9">
        <v>250</v>
      </c>
      <c r="P42" s="9">
        <v>330</v>
      </c>
      <c r="Q42" s="9">
        <v>409</v>
      </c>
      <c r="R42" s="9">
        <v>473</v>
      </c>
      <c r="S42" s="9">
        <v>568</v>
      </c>
      <c r="T42" s="9">
        <v>588</v>
      </c>
      <c r="U42" s="9">
        <v>648</v>
      </c>
    </row>
    <row r="43" spans="1:33" x14ac:dyDescent="0.25">
      <c r="A43" s="9">
        <f t="shared" si="9"/>
        <v>42</v>
      </c>
      <c r="B43" s="9">
        <f t="array" ref="B43">IF(C43="",0,IF(OR(C43=Country_Comparison!$S$10:$S$29),1,0))</f>
        <v>0</v>
      </c>
      <c r="C43" s="9" t="str">
        <f t="shared" si="17"/>
        <v>Singapore</v>
      </c>
      <c r="D43" s="6">
        <f t="shared" si="15"/>
        <v>558</v>
      </c>
      <c r="E43" s="6">
        <f>IF(COUNTIF(I43:XFD43,"&gt;"&amp;0)=0,,HLOOKUP(COUNTIF(I43:XFD43,"&gt;"&amp;0)-1,I$1:XFD43,A43+1,FALSE))</f>
        <v>558</v>
      </c>
      <c r="F43" s="7">
        <f>IF(COUNTIF(I43:XFD43,"&gt;"&amp;0)=0,,HLOOKUP(COUNTIF(I43:XFD43,"&gt;"&amp;0)-MIN($F$1+1,COUNTIF(I43:XFD43,"&gt;"&amp;0)),I$1:XFD43,A43+1,FALSE))</f>
        <v>345</v>
      </c>
      <c r="G43" s="8">
        <f t="shared" si="16"/>
        <v>1.100938402236894</v>
      </c>
      <c r="H43" s="13" t="s">
        <v>40</v>
      </c>
      <c r="I43" s="9">
        <v>102</v>
      </c>
      <c r="J43" s="9">
        <v>106</v>
      </c>
      <c r="K43" s="9">
        <v>108</v>
      </c>
      <c r="L43" s="9">
        <v>110</v>
      </c>
      <c r="M43" s="9">
        <v>110</v>
      </c>
      <c r="N43" s="9">
        <v>117</v>
      </c>
      <c r="O43" s="9">
        <v>130</v>
      </c>
      <c r="P43" s="9">
        <v>138</v>
      </c>
      <c r="Q43" s="9">
        <v>150</v>
      </c>
      <c r="R43" s="9">
        <v>150</v>
      </c>
      <c r="S43" s="9">
        <v>160</v>
      </c>
      <c r="T43" s="9">
        <v>178</v>
      </c>
      <c r="U43" s="9">
        <v>178</v>
      </c>
      <c r="V43" s="9">
        <v>200</v>
      </c>
      <c r="W43" s="9">
        <v>212</v>
      </c>
      <c r="X43" s="9">
        <v>226</v>
      </c>
      <c r="Y43" s="9">
        <v>243</v>
      </c>
      <c r="Z43" s="9">
        <v>266</v>
      </c>
      <c r="AA43" s="9">
        <v>313</v>
      </c>
      <c r="AB43" s="9">
        <v>345</v>
      </c>
      <c r="AC43" s="9">
        <v>385</v>
      </c>
      <c r="AD43" s="9">
        <v>432</v>
      </c>
      <c r="AE43" s="9">
        <v>455</v>
      </c>
      <c r="AF43" s="9">
        <v>509</v>
      </c>
      <c r="AG43" s="9">
        <v>558</v>
      </c>
    </row>
    <row r="44" spans="1:33" x14ac:dyDescent="0.25">
      <c r="A44" s="9">
        <f t="shared" si="9"/>
        <v>43</v>
      </c>
      <c r="B44" s="9">
        <f t="array" ref="B44">IF(C44="",0,IF(OR(C44=Country_Comparison!$S$10:$S$29),1,0))</f>
        <v>0</v>
      </c>
      <c r="C44" s="9" t="str">
        <f t="shared" si="17"/>
        <v>South Africa</v>
      </c>
      <c r="D44" s="6">
        <f t="shared" si="15"/>
        <v>554</v>
      </c>
      <c r="E44" s="6">
        <f>IF(COUNTIF(I44:XFD44,"&gt;"&amp;0)=0,,HLOOKUP(COUNTIF(I44:XFD44,"&gt;"&amp;0)-1,I$1:XFD44,A44+1,FALSE))</f>
        <v>554</v>
      </c>
      <c r="F44" s="7">
        <f>IF(COUNTIF(I44:XFD44,"&gt;"&amp;0)=0,,HLOOKUP(COUNTIF(I44:XFD44,"&gt;"&amp;0)-MIN($F$1+1,COUNTIF(I44:XFD44,"&gt;"&amp;0)),I$1:XFD44,A44+1,FALSE))</f>
        <v>150</v>
      </c>
      <c r="G44" s="8">
        <f t="shared" si="16"/>
        <v>1.2986248261422353</v>
      </c>
      <c r="H44" s="13" t="s">
        <v>145</v>
      </c>
      <c r="I44" s="9">
        <v>116</v>
      </c>
      <c r="J44" s="9">
        <v>150</v>
      </c>
      <c r="K44" s="9">
        <v>202</v>
      </c>
      <c r="L44" s="9">
        <v>240</v>
      </c>
      <c r="M44" s="9">
        <v>274</v>
      </c>
      <c r="N44" s="9">
        <v>402</v>
      </c>
      <c r="O44" s="9">
        <v>554</v>
      </c>
    </row>
    <row r="45" spans="1:33" x14ac:dyDescent="0.25">
      <c r="A45" s="9">
        <f t="shared" si="9"/>
        <v>44</v>
      </c>
      <c r="B45" s="9">
        <f t="array" ref="B45">IF(C45="",0,IF(OR(C45=Country_Comparison!$S$10:$S$29),1,0))</f>
        <v>0</v>
      </c>
      <c r="C45" s="9" t="str">
        <f t="shared" si="17"/>
        <v>Philippines</v>
      </c>
      <c r="D45" s="6">
        <f t="shared" si="15"/>
        <v>552</v>
      </c>
      <c r="E45" s="6">
        <f>IF(COUNTIF(I45:XFD45,"&gt;"&amp;0)=0,,HLOOKUP(COUNTIF(I45:XFD45,"&gt;"&amp;0)-1,I$1:XFD45,A45+1,FALSE))</f>
        <v>552</v>
      </c>
      <c r="F45" s="7">
        <f>IF(COUNTIF(I45:XFD45,"&gt;"&amp;0)=0,,HLOOKUP(COUNTIF(I45:XFD45,"&gt;"&amp;0)-MIN($F$1+1,COUNTIF(I45:XFD45,"&gt;"&amp;0)),I$1:XFD45,A45+1,FALSE))</f>
        <v>217</v>
      </c>
      <c r="G45" s="8">
        <f t="shared" si="16"/>
        <v>1.2053019766154767</v>
      </c>
      <c r="H45" s="13" t="s">
        <v>56</v>
      </c>
      <c r="I45" s="9">
        <v>111</v>
      </c>
      <c r="J45" s="9">
        <v>140</v>
      </c>
      <c r="K45" s="9">
        <v>142</v>
      </c>
      <c r="L45" s="9">
        <v>187</v>
      </c>
      <c r="M45" s="9">
        <v>202</v>
      </c>
      <c r="N45" s="9">
        <v>217</v>
      </c>
      <c r="O45" s="9">
        <v>230</v>
      </c>
      <c r="P45" s="9">
        <v>307</v>
      </c>
      <c r="Q45" s="9">
        <v>380</v>
      </c>
      <c r="R45" s="9">
        <v>462</v>
      </c>
      <c r="S45" s="9">
        <v>552</v>
      </c>
    </row>
    <row r="46" spans="1:33" x14ac:dyDescent="0.25">
      <c r="A46" s="9">
        <f t="shared" si="9"/>
        <v>45</v>
      </c>
      <c r="B46" s="9">
        <f t="array" ref="B46">IF(C46="",0,IF(OR(C46=Country_Comparison!$S$10:$S$29),1,0))</f>
        <v>0</v>
      </c>
      <c r="C46" s="9" t="str">
        <f t="shared" si="17"/>
        <v>India</v>
      </c>
      <c r="D46" s="6">
        <f t="shared" si="15"/>
        <v>536</v>
      </c>
      <c r="E46" s="6">
        <f>IF(COUNTIF(I46:XFD46,"&gt;"&amp;0)=0,,HLOOKUP(COUNTIF(I46:XFD46,"&gt;"&amp;0)-1,I$1:XFD46,A46+1,FALSE))</f>
        <v>536</v>
      </c>
      <c r="F46" s="7">
        <f>IF(COUNTIF(I46:XFD46,"&gt;"&amp;0)=0,,HLOOKUP(COUNTIF(I46:XFD46,"&gt;"&amp;0)-MIN($F$1+1,COUNTIF(I46:XFD46,"&gt;"&amp;0)),I$1:XFD46,A46+1,FALSE))</f>
        <v>194</v>
      </c>
      <c r="G46" s="8">
        <f t="shared" si="16"/>
        <v>1.2253851471294472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  <c r="S46" s="9">
        <v>536</v>
      </c>
    </row>
    <row r="47" spans="1:33" x14ac:dyDescent="0.25">
      <c r="A47" s="9">
        <f t="shared" si="9"/>
        <v>46</v>
      </c>
      <c r="B47" s="9">
        <f t="array" ref="B47">IF(C47="",0,IF(OR(C47=Country_Comparison!$S$10:$S$29),1,0))</f>
        <v>0</v>
      </c>
      <c r="C47" s="9" t="str">
        <f t="shared" si="17"/>
        <v>Qatar</v>
      </c>
      <c r="D47" s="6">
        <f t="shared" si="15"/>
        <v>526</v>
      </c>
      <c r="E47" s="6">
        <f>IF(COUNTIF(I47:XFD47,"&gt;"&amp;0)=0,,HLOOKUP(COUNTIF(I47:XFD47,"&gt;"&amp;0)-1,I$1:XFD47,A47+1,FALSE))</f>
        <v>526</v>
      </c>
      <c r="F47" s="7">
        <f>IF(COUNTIF(I47:XFD47,"&gt;"&amp;0)=0,,HLOOKUP(COUNTIF(I47:XFD47,"&gt;"&amp;0)-MIN($F$1+1,COUNTIF(I47:XFD47,"&gt;"&amp;0)),I$1:XFD47,A47+1,FALSE))</f>
        <v>460</v>
      </c>
      <c r="G47" s="8">
        <f t="shared" si="16"/>
        <v>1.0271777004463769</v>
      </c>
      <c r="H47" s="13" t="s">
        <v>101</v>
      </c>
      <c r="I47" s="9">
        <v>262</v>
      </c>
      <c r="J47" s="9">
        <v>262</v>
      </c>
      <c r="K47" s="9">
        <v>320</v>
      </c>
      <c r="L47" s="9">
        <v>337</v>
      </c>
      <c r="M47" s="9">
        <v>401</v>
      </c>
      <c r="N47" s="9">
        <v>439</v>
      </c>
      <c r="O47" s="9">
        <v>439</v>
      </c>
      <c r="P47" s="9">
        <v>452</v>
      </c>
      <c r="Q47" s="9">
        <v>460</v>
      </c>
      <c r="R47" s="9">
        <v>470</v>
      </c>
      <c r="S47" s="9">
        <v>481</v>
      </c>
      <c r="T47" s="9">
        <v>494</v>
      </c>
      <c r="U47" s="9">
        <v>501</v>
      </c>
      <c r="V47" s="9">
        <v>526</v>
      </c>
    </row>
    <row r="48" spans="1:33" x14ac:dyDescent="0.25">
      <c r="A48" s="9">
        <f t="shared" si="9"/>
        <v>47</v>
      </c>
      <c r="B48" s="9">
        <f t="array" ref="B48">IF(C48="",0,IF(OR(C48=Country_Comparison!$S$10:$S$29),1,0))</f>
        <v>0</v>
      </c>
      <c r="C48" s="9" t="str">
        <f t="shared" si="17"/>
        <v>Russia</v>
      </c>
      <c r="D48" s="6">
        <f t="shared" si="15"/>
        <v>495</v>
      </c>
      <c r="E48" s="6">
        <f>IF(COUNTIF(I48:XFD48,"&gt;"&amp;0)=0,,HLOOKUP(COUNTIF(I48:XFD48,"&gt;"&amp;0)-1,I$1:XFD48,A48+1,FALSE))</f>
        <v>495</v>
      </c>
      <c r="F48" s="7">
        <f>IF(COUNTIF(I48:XFD48,"&gt;"&amp;0)=0,,HLOOKUP(COUNTIF(I48:XFD48,"&gt;"&amp;0)-MIN($F$1+1,COUNTIF(I48:XFD48,"&gt;"&amp;0)),I$1:XFD48,A48+1,FALSE))</f>
        <v>199</v>
      </c>
      <c r="G48" s="8">
        <f t="shared" si="16"/>
        <v>1.199914839951769</v>
      </c>
      <c r="H48" s="13" t="s">
        <v>344</v>
      </c>
      <c r="I48" s="9">
        <v>114</v>
      </c>
      <c r="J48" s="9">
        <v>147</v>
      </c>
      <c r="K48" s="9">
        <v>199</v>
      </c>
      <c r="L48" s="9">
        <v>253</v>
      </c>
      <c r="M48" s="9">
        <v>306</v>
      </c>
      <c r="N48" s="9">
        <v>367</v>
      </c>
      <c r="O48" s="9">
        <v>438</v>
      </c>
      <c r="P48" s="9">
        <v>495</v>
      </c>
    </row>
    <row r="49" spans="1:23" x14ac:dyDescent="0.25">
      <c r="A49" s="9">
        <f t="shared" si="9"/>
        <v>48</v>
      </c>
      <c r="B49" s="9">
        <f t="array" ref="B49">IF(C49="",0,IF(OR(C49=Country_Comparison!$S$10:$S$29),1,0))</f>
        <v>0</v>
      </c>
      <c r="C49" s="9" t="str">
        <f t="shared" si="17"/>
        <v>Slovenia</v>
      </c>
      <c r="D49" s="6">
        <f t="shared" si="15"/>
        <v>480</v>
      </c>
      <c r="E49" s="6">
        <f>IF(COUNTIF(I49:XFD49,"&gt;"&amp;0)=0,,HLOOKUP(COUNTIF(I49:XFD49,"&gt;"&amp;0)-1,I$1:XFD49,A49+1,FALSE))</f>
        <v>480</v>
      </c>
      <c r="F49" s="7">
        <f>IF(COUNTIF(I49:XFD49,"&gt;"&amp;0)=0,,HLOOKUP(COUNTIF(I49:XFD49,"&gt;"&amp;0)-MIN($F$1+1,COUNTIF(I49:XFD49,"&gt;"&amp;0)),I$1:XFD49,A49+1,FALSE))</f>
        <v>286</v>
      </c>
      <c r="G49" s="8">
        <f t="shared" si="16"/>
        <v>1.1091110721870998</v>
      </c>
      <c r="H49" s="13" t="s">
        <v>141</v>
      </c>
      <c r="I49" s="9">
        <v>141</v>
      </c>
      <c r="J49" s="9">
        <v>181</v>
      </c>
      <c r="K49" s="9">
        <v>219</v>
      </c>
      <c r="L49" s="9">
        <v>253</v>
      </c>
      <c r="M49" s="9">
        <v>275</v>
      </c>
      <c r="N49" s="9">
        <v>275</v>
      </c>
      <c r="O49" s="9">
        <v>286</v>
      </c>
      <c r="P49" s="9">
        <v>341</v>
      </c>
      <c r="Q49" s="9">
        <v>383</v>
      </c>
      <c r="R49" s="9">
        <v>414</v>
      </c>
      <c r="S49" s="9">
        <v>442</v>
      </c>
      <c r="T49" s="9">
        <v>480</v>
      </c>
    </row>
    <row r="50" spans="1:23" x14ac:dyDescent="0.25">
      <c r="A50" s="9">
        <f t="shared" si="9"/>
        <v>49</v>
      </c>
      <c r="B50" s="9">
        <f t="array" ref="B50">IF(C50="",0,IF(OR(C50=Country_Comparison!$S$10:$S$29),1,0))</f>
        <v>0</v>
      </c>
      <c r="C50" s="9" t="str">
        <f t="shared" si="17"/>
        <v>Peru</v>
      </c>
      <c r="D50" s="6">
        <f t="shared" si="15"/>
        <v>416</v>
      </c>
      <c r="E50" s="6">
        <f>IF(COUNTIF(I50:XFD50,"&gt;"&amp;0)=0,,HLOOKUP(COUNTIF(I50:XFD50,"&gt;"&amp;0)-1,I$1:XFD50,A50+1,FALSE))</f>
        <v>416</v>
      </c>
      <c r="F50" s="7">
        <f>IF(COUNTIF(I50:XFD50,"&gt;"&amp;0)=0,,HLOOKUP(COUNTIF(I50:XFD50,"&gt;"&amp;0)-MIN($F$1+1,COUNTIF(I50:XFD50,"&gt;"&amp;0)),I$1:XFD50,A50+1,FALSE))</f>
        <v>234</v>
      </c>
      <c r="G50" s="8">
        <f t="shared" si="16"/>
        <v>1.1219551454461996</v>
      </c>
      <c r="H50" s="13" t="s">
        <v>160</v>
      </c>
      <c r="I50" s="9">
        <v>117</v>
      </c>
      <c r="J50" s="9">
        <v>145</v>
      </c>
      <c r="K50" s="9">
        <v>234</v>
      </c>
      <c r="L50" s="9">
        <v>234</v>
      </c>
      <c r="M50" s="9">
        <v>318</v>
      </c>
      <c r="N50" s="9">
        <v>363</v>
      </c>
      <c r="O50" s="9">
        <v>395</v>
      </c>
      <c r="P50" s="9">
        <v>416</v>
      </c>
    </row>
    <row r="51" spans="1:23" x14ac:dyDescent="0.25">
      <c r="A51" s="9">
        <f t="shared" si="9"/>
        <v>50</v>
      </c>
      <c r="B51" s="9">
        <f t="array" ref="B51">IF(C51="",0,IF(OR(C51=Country_Comparison!$S$10:$S$29),1,0))</f>
        <v>0</v>
      </c>
      <c r="C51" s="9" t="str">
        <f t="shared" si="17"/>
        <v>Egypt</v>
      </c>
      <c r="D51" s="6">
        <f t="shared" si="15"/>
        <v>402</v>
      </c>
      <c r="E51" s="6">
        <f>IF(COUNTIF(I51:XFD51,"&gt;"&amp;0)=0,,HLOOKUP(COUNTIF(I51:XFD51,"&gt;"&amp;0)-1,I$1:XFD51,A51+1,FALSE))</f>
        <v>402</v>
      </c>
      <c r="F51" s="7">
        <f>IF(COUNTIF(I51:XFD51,"&gt;"&amp;0)=0,,HLOOKUP(COUNTIF(I51:XFD51,"&gt;"&amp;0)-MIN($F$1+1,COUNTIF(I51:XFD51,"&gt;"&amp;0)),I$1:XFD51,A51+1,FALSE))</f>
        <v>256</v>
      </c>
      <c r="G51" s="8">
        <f t="shared" si="16"/>
        <v>1.0944532558303721</v>
      </c>
      <c r="H51" s="13" t="s">
        <v>65</v>
      </c>
      <c r="I51" s="9">
        <v>109</v>
      </c>
      <c r="J51" s="9">
        <v>110</v>
      </c>
      <c r="K51" s="9">
        <v>150</v>
      </c>
      <c r="L51" s="9">
        <v>196</v>
      </c>
      <c r="M51" s="9">
        <v>196</v>
      </c>
      <c r="N51" s="9">
        <v>256</v>
      </c>
      <c r="O51" s="9">
        <v>285</v>
      </c>
      <c r="P51" s="9">
        <v>294</v>
      </c>
      <c r="Q51" s="9">
        <v>327</v>
      </c>
      <c r="R51" s="9">
        <v>366</v>
      </c>
      <c r="S51" s="9">
        <v>402</v>
      </c>
    </row>
    <row r="52" spans="1:23" x14ac:dyDescent="0.25">
      <c r="A52" s="9">
        <f t="shared" si="9"/>
        <v>51</v>
      </c>
      <c r="B52" s="9">
        <f t="array" ref="B52">IF(C52="",0,IF(OR(C52=Country_Comparison!$S$10:$S$29),1,0))</f>
        <v>0</v>
      </c>
      <c r="C52" s="9" t="str">
        <f t="shared" si="17"/>
        <v>Bahrain</v>
      </c>
      <c r="D52" s="6">
        <f t="shared" si="15"/>
        <v>392</v>
      </c>
      <c r="E52" s="6">
        <f>IF(COUNTIF(I52:XFD52,"&gt;"&amp;0)=0,,HLOOKUP(COUNTIF(I52:XFD52,"&gt;"&amp;0)-1,I$1:XFD52,A52+1,FALSE))</f>
        <v>392</v>
      </c>
      <c r="F52" s="7">
        <f>IF(COUNTIF(I52:XFD52,"&gt;"&amp;0)=0,,HLOOKUP(COUNTIF(I52:XFD52,"&gt;"&amp;0)-MIN($F$1+1,COUNTIF(I52:XFD52,"&gt;"&amp;0)),I$1:XFD52,A52+1,FALSE))</f>
        <v>278</v>
      </c>
      <c r="G52" s="8">
        <f t="shared" si="16"/>
        <v>1.0711449736820573</v>
      </c>
      <c r="H52" s="13" t="s">
        <v>73</v>
      </c>
      <c r="I52" s="9">
        <v>110</v>
      </c>
      <c r="J52" s="9">
        <v>195</v>
      </c>
      <c r="K52" s="9">
        <v>195</v>
      </c>
      <c r="L52" s="9">
        <v>195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  <c r="U52" s="9">
        <v>334</v>
      </c>
      <c r="V52" s="9">
        <v>377</v>
      </c>
      <c r="W52" s="9">
        <v>392</v>
      </c>
    </row>
    <row r="53" spans="1:23" x14ac:dyDescent="0.25">
      <c r="A53" s="9">
        <f t="shared" si="9"/>
        <v>52</v>
      </c>
      <c r="B53" s="9">
        <f t="array" ref="B53">IF(C53="",0,IF(OR(C53=Country_Comparison!$S$10:$S$29),1,0))</f>
        <v>0</v>
      </c>
      <c r="C53" s="9" t="str">
        <f t="shared" si="17"/>
        <v>Argentina</v>
      </c>
      <c r="D53" s="6">
        <f t="shared" si="15"/>
        <v>387</v>
      </c>
      <c r="E53" s="6">
        <f>IF(COUNTIF(I53:XFD53,"&gt;"&amp;0)=0,,HLOOKUP(COUNTIF(I53:XFD53,"&gt;"&amp;0)-1,I$1:XFD53,A53+1,FALSE))</f>
        <v>387</v>
      </c>
      <c r="F53" s="7">
        <f>IF(COUNTIF(I53:XFD53,"&gt;"&amp;0)=0,,HLOOKUP(COUNTIF(I53:XFD53,"&gt;"&amp;0)-MIN($F$1+1,COUNTIF(I53:XFD53,"&gt;"&amp;0)),I$1:XFD53,A53+1,FALSE))</f>
        <v>128</v>
      </c>
      <c r="G53" s="8">
        <f t="shared" si="16"/>
        <v>1.3186369735091779</v>
      </c>
      <c r="H53" s="13" t="s">
        <v>123</v>
      </c>
      <c r="I53" s="9">
        <v>128</v>
      </c>
      <c r="J53" s="9">
        <v>158</v>
      </c>
      <c r="K53" s="9">
        <v>266</v>
      </c>
      <c r="L53" s="9">
        <v>301</v>
      </c>
      <c r="M53" s="9">
        <v>387</v>
      </c>
    </row>
    <row r="54" spans="1:23" x14ac:dyDescent="0.25">
      <c r="A54" s="9">
        <f t="shared" si="9"/>
        <v>53</v>
      </c>
      <c r="B54" s="9">
        <f t="array" ref="B54">IF(C54="",0,IF(OR(C54=Country_Comparison!$S$10:$S$29),1,0))</f>
        <v>0</v>
      </c>
      <c r="C54" s="9" t="str">
        <f t="shared" si="17"/>
        <v>Croatia</v>
      </c>
      <c r="D54" s="6">
        <f t="shared" si="15"/>
        <v>382</v>
      </c>
      <c r="E54" s="6">
        <f>IF(COUNTIF(I54:XFD54,"&gt;"&amp;0)=0,,HLOOKUP(COUNTIF(I54:XFD54,"&gt;"&amp;0)-1,I$1:XFD54,A54+1,FALSE))</f>
        <v>382</v>
      </c>
      <c r="F54" s="7">
        <f>IF(COUNTIF(I54:XFD54,"&gt;"&amp;0)=0,,HLOOKUP(COUNTIF(I54:XFD54,"&gt;"&amp;0)-MIN($F$1+1,COUNTIF(I54:XFD54,"&gt;"&amp;0)),I$1:XFD54,A54+1,FALSE))</f>
        <v>105</v>
      </c>
      <c r="G54" s="8">
        <f t="shared" si="16"/>
        <v>1.2947168876685684</v>
      </c>
      <c r="H54" s="13" t="s">
        <v>76</v>
      </c>
      <c r="I54" s="9">
        <v>105</v>
      </c>
      <c r="J54" s="9">
        <v>128</v>
      </c>
      <c r="K54" s="9">
        <v>206</v>
      </c>
      <c r="L54" s="9">
        <v>254</v>
      </c>
      <c r="M54" s="9">
        <v>315</v>
      </c>
      <c r="N54" s="9">
        <v>382</v>
      </c>
    </row>
    <row r="55" spans="1:23" x14ac:dyDescent="0.25">
      <c r="A55" s="9">
        <f t="shared" si="9"/>
        <v>54</v>
      </c>
      <c r="B55" s="9">
        <f t="array" ref="B55">IF(C55="",0,IF(OR(C55=Country_Comparison!$S$10:$S$29),1,0))</f>
        <v>0</v>
      </c>
      <c r="C55" s="9" t="str">
        <f t="shared" si="17"/>
        <v>Colombia</v>
      </c>
      <c r="D55" s="6">
        <f t="shared" si="15"/>
        <v>378</v>
      </c>
      <c r="E55" s="6">
        <f>IF(COUNTIF(I55:XFD55,"&gt;"&amp;0)=0,,HLOOKUP(COUNTIF(I55:XFD55,"&gt;"&amp;0)-1,I$1:XFD55,A55+1,FALSE))</f>
        <v>378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6"/>
        <v>1.2995061094416296</v>
      </c>
      <c r="H55" s="13" t="s">
        <v>158</v>
      </c>
      <c r="I55" s="9">
        <v>102</v>
      </c>
      <c r="J55" s="9">
        <v>128</v>
      </c>
      <c r="K55" s="9">
        <v>196</v>
      </c>
      <c r="L55" s="9">
        <v>231</v>
      </c>
      <c r="M55" s="9">
        <v>277</v>
      </c>
      <c r="N55" s="9">
        <v>378</v>
      </c>
    </row>
    <row r="56" spans="1:23" x14ac:dyDescent="0.25">
      <c r="A56" s="9">
        <f t="shared" si="9"/>
        <v>55</v>
      </c>
      <c r="B56" s="9">
        <f t="array" ref="B56">IF(C56="",0,IF(OR(C56=Country_Comparison!$S$10:$S$29),1,0))</f>
        <v>0</v>
      </c>
      <c r="C56" s="9" t="str">
        <f t="shared" si="17"/>
        <v>Estonia</v>
      </c>
      <c r="D56" s="6">
        <f t="shared" si="15"/>
        <v>369</v>
      </c>
      <c r="E56" s="6">
        <f>IF(COUNTIF(I56:XFD56,"&gt;"&amp;0)=0,,HLOOKUP(COUNTIF(I56:XFD56,"&gt;"&amp;0)-1,I$1:XFD56,A56+1,FALSE))</f>
        <v>369</v>
      </c>
      <c r="F56" s="7">
        <f>IF(COUNTIF(I56:XFD56,"&gt;"&amp;0)=0,,HLOOKUP(COUNTIF(I56:XFD56,"&gt;"&amp;0)-MIN($F$1+1,COUNTIF(I56:XFD56,"&gt;"&amp;0)),I$1:XFD56,A56+1,FALSE))</f>
        <v>267</v>
      </c>
      <c r="G56" s="8">
        <f t="shared" si="16"/>
        <v>1.0668491633331372</v>
      </c>
      <c r="H56" s="13" t="s">
        <v>88</v>
      </c>
      <c r="I56" s="9">
        <v>115</v>
      </c>
      <c r="J56" s="9">
        <v>171</v>
      </c>
      <c r="K56" s="9">
        <v>205</v>
      </c>
      <c r="L56" s="9">
        <v>225</v>
      </c>
      <c r="M56" s="9">
        <v>258</v>
      </c>
      <c r="N56" s="9">
        <v>267</v>
      </c>
      <c r="O56" s="9">
        <v>283</v>
      </c>
      <c r="P56" s="9">
        <v>306</v>
      </c>
      <c r="Q56" s="9">
        <v>326</v>
      </c>
      <c r="R56" s="9">
        <v>352</v>
      </c>
      <c r="S56" s="9">
        <v>369</v>
      </c>
    </row>
    <row r="57" spans="1:23" x14ac:dyDescent="0.25">
      <c r="A57" s="9">
        <f t="shared" si="9"/>
        <v>56</v>
      </c>
      <c r="B57" s="9">
        <f t="array" ref="B57">IF(C57="",0,IF(OR(C57=Country_Comparison!$S$10:$S$29),1,0))</f>
        <v>0</v>
      </c>
      <c r="C57" s="9" t="str">
        <f t="shared" si="17"/>
        <v>Mexico</v>
      </c>
      <c r="D57" s="6">
        <f t="shared" si="15"/>
        <v>367</v>
      </c>
      <c r="E57" s="6">
        <f>IF(COUNTIF(I57:XFD57,"&gt;"&amp;0)=0,,HLOOKUP(COUNTIF(I57:XFD57,"&gt;"&amp;0)-1,I$1:XFD57,A57+1,FALSE))</f>
        <v>367</v>
      </c>
      <c r="F57" s="7">
        <f>IF(COUNTIF(I57:XFD57,"&gt;"&amp;0)=0,,HLOOKUP(COUNTIF(I57:XFD57,"&gt;"&amp;0)-MIN($F$1+1,COUNTIF(I57:XFD57,"&gt;"&amp;0)),I$1:XFD57,A57+1,FALSE))</f>
        <v>118</v>
      </c>
      <c r="G57" s="8">
        <f t="shared" si="16"/>
        <v>1.2547488646586407</v>
      </c>
      <c r="H57" s="13" t="s">
        <v>94</v>
      </c>
      <c r="I57" s="9">
        <v>118</v>
      </c>
      <c r="J57" s="9">
        <v>164</v>
      </c>
      <c r="K57" s="9">
        <v>203</v>
      </c>
      <c r="L57" s="9">
        <v>251</v>
      </c>
      <c r="M57" s="9">
        <v>316</v>
      </c>
      <c r="N57" s="9">
        <v>367</v>
      </c>
    </row>
    <row r="58" spans="1:23" x14ac:dyDescent="0.25">
      <c r="A58" s="9">
        <f t="shared" si="9"/>
        <v>57</v>
      </c>
      <c r="B58" s="9">
        <f t="array" ref="B58">IF(C58="",0,IF(OR(C58=Country_Comparison!$S$10:$S$29),1,0))</f>
        <v>0</v>
      </c>
      <c r="C58" s="9" t="str">
        <f t="shared" si="17"/>
        <v>Panama</v>
      </c>
      <c r="D58" s="6">
        <f t="shared" si="15"/>
        <v>345</v>
      </c>
      <c r="E58" s="6">
        <f>IF(COUNTIF(I58:XFD58,"&gt;"&amp;0)=0,,HLOOKUP(COUNTIF(I58:XFD58,"&gt;"&amp;0)-1,I$1:XFD58,A58+1,FALSE))</f>
        <v>345</v>
      </c>
      <c r="F58" s="7">
        <f>IF(COUNTIF(I58:XFD58,"&gt;"&amp;0)=0,,HLOOKUP(COUNTIF(I58:XFD58,"&gt;"&amp;0)-MIN($F$1+1,COUNTIF(I58:XFD58,"&gt;"&amp;0)),I$1:XFD58,A58+1,FALSE))</f>
        <v>109</v>
      </c>
      <c r="G58" s="8">
        <f t="shared" si="16"/>
        <v>1.2591530431410292</v>
      </c>
      <c r="H58" s="13" t="s">
        <v>283</v>
      </c>
      <c r="I58" s="9">
        <v>109</v>
      </c>
      <c r="J58" s="9">
        <v>137</v>
      </c>
      <c r="K58" s="9">
        <v>200</v>
      </c>
      <c r="L58" s="9">
        <v>313</v>
      </c>
      <c r="M58" s="9">
        <v>345</v>
      </c>
      <c r="N58" s="9">
        <v>345</v>
      </c>
    </row>
    <row r="59" spans="1:23" x14ac:dyDescent="0.25">
      <c r="A59" s="9">
        <f t="shared" si="9"/>
        <v>58</v>
      </c>
      <c r="B59" s="9">
        <f t="array" ref="B59">IF(C59="",0,IF(OR(C59=Country_Comparison!$S$10:$S$29),1,0))</f>
        <v>0</v>
      </c>
      <c r="C59" s="9" t="str">
        <f t="shared" si="17"/>
        <v>Lebanon</v>
      </c>
      <c r="D59" s="6">
        <f t="shared" si="15"/>
        <v>318</v>
      </c>
      <c r="E59" s="6">
        <f>IF(COUNTIF(I59:XFD59,"&gt;"&amp;0)=0,,HLOOKUP(COUNTIF(I59:XFD59,"&gt;"&amp;0)-1,I$1:XFD59,A59+1,FALSE))</f>
        <v>318</v>
      </c>
      <c r="F59" s="7">
        <f>IF(COUNTIF(I59:XFD59,"&gt;"&amp;0)=0,,HLOOKUP(COUNTIF(I59:XFD59,"&gt;"&amp;0)-MIN($F$1+1,COUNTIF(I59:XFD59,"&gt;"&amp;0)),I$1:XFD59,A59+1,FALSE))</f>
        <v>157</v>
      </c>
      <c r="G59" s="8">
        <f t="shared" si="16"/>
        <v>1.1516101752721852</v>
      </c>
      <c r="H59" s="13" t="s">
        <v>67</v>
      </c>
      <c r="I59" s="9">
        <v>110</v>
      </c>
      <c r="J59" s="9">
        <v>110</v>
      </c>
      <c r="K59" s="9">
        <v>120</v>
      </c>
      <c r="L59" s="9">
        <v>133</v>
      </c>
      <c r="M59" s="9">
        <v>157</v>
      </c>
      <c r="N59" s="9">
        <v>163</v>
      </c>
      <c r="O59" s="9">
        <v>187</v>
      </c>
      <c r="P59" s="9">
        <v>248</v>
      </c>
      <c r="Q59" s="9">
        <v>267</v>
      </c>
      <c r="R59" s="9">
        <v>318</v>
      </c>
    </row>
    <row r="60" spans="1:23" x14ac:dyDescent="0.25">
      <c r="A60" s="9">
        <f t="shared" si="9"/>
        <v>59</v>
      </c>
      <c r="B60" s="9">
        <f t="array" ref="B60">IF(C60="",0,IF(OR(C60=Country_Comparison!$S$10:$S$29),1,0))</f>
        <v>0</v>
      </c>
      <c r="C60" s="9" t="str">
        <f t="shared" si="17"/>
        <v>Iraq</v>
      </c>
      <c r="D60" s="6">
        <f t="shared" si="15"/>
        <v>316</v>
      </c>
      <c r="E60" s="6">
        <f>IF(COUNTIF(I60:XFD60,"&gt;"&amp;0)=0,,HLOOKUP(COUNTIF(I60:XFD60,"&gt;"&amp;0)-1,I$1:XFD60,A60+1,FALSE))</f>
        <v>316</v>
      </c>
      <c r="F60" s="7">
        <f>IF(COUNTIF(I60:XFD60,"&gt;"&amp;0)=0,,HLOOKUP(COUNTIF(I60:XFD60,"&gt;"&amp;0)-MIN($F$1+1,COUNTIF(I60:XFD60,"&gt;"&amp;0)),I$1:XFD60,A60+1,FALSE))</f>
        <v>192</v>
      </c>
      <c r="G60" s="8">
        <f t="shared" si="16"/>
        <v>1.1047834780592649</v>
      </c>
      <c r="H60" s="13" t="s">
        <v>70</v>
      </c>
      <c r="I60" s="9">
        <v>101</v>
      </c>
      <c r="J60" s="9">
        <v>110</v>
      </c>
      <c r="K60" s="9">
        <v>116</v>
      </c>
      <c r="L60" s="9">
        <v>124</v>
      </c>
      <c r="M60" s="9">
        <v>154</v>
      </c>
      <c r="N60" s="9">
        <v>164</v>
      </c>
      <c r="O60" s="9">
        <v>192</v>
      </c>
      <c r="P60" s="9">
        <v>208</v>
      </c>
      <c r="Q60" s="9">
        <v>214</v>
      </c>
      <c r="R60" s="9">
        <v>233</v>
      </c>
      <c r="S60" s="9">
        <v>266</v>
      </c>
      <c r="T60" s="9">
        <v>316</v>
      </c>
    </row>
    <row r="61" spans="1:23" x14ac:dyDescent="0.25">
      <c r="A61" s="9">
        <f t="shared" si="9"/>
        <v>60</v>
      </c>
      <c r="B61" s="9">
        <f t="array" ref="B61">IF(C61="",0,IF(OR(C61=Country_Comparison!$S$10:$S$29),1,0))</f>
        <v>0</v>
      </c>
      <c r="C61" s="9" t="str">
        <f t="shared" si="17"/>
        <v>Dominican Republic</v>
      </c>
      <c r="D61" s="6">
        <f t="shared" si="15"/>
        <v>312</v>
      </c>
      <c r="E61" s="6">
        <f>IF(COUNTIF(I61:XFD61,"&gt;"&amp;0)=0,,HLOOKUP(COUNTIF(I61:XFD61,"&gt;"&amp;0)-1,I$1:XFD61,A61+1,FALSE))</f>
        <v>312</v>
      </c>
      <c r="F61" s="7">
        <f>IF(COUNTIF(I61:XFD61,"&gt;"&amp;0)=0,,HLOOKUP(COUNTIF(I61:XFD61,"&gt;"&amp;0)-MIN($F$1+1,COUNTIF(I61:XFD61,"&gt;"&amp;0)),I$1:XFD61,A61+1,FALSE))</f>
        <v>112</v>
      </c>
      <c r="G61" s="8">
        <f t="shared" si="16"/>
        <v>1.4070586178341908</v>
      </c>
      <c r="H61" s="13" t="s">
        <v>106</v>
      </c>
      <c r="I61" s="9">
        <v>112</v>
      </c>
      <c r="J61" s="9">
        <v>202</v>
      </c>
      <c r="K61" s="9">
        <v>245</v>
      </c>
      <c r="L61" s="9">
        <v>312</v>
      </c>
    </row>
    <row r="62" spans="1:23" x14ac:dyDescent="0.25">
      <c r="A62" s="9">
        <f t="shared" si="9"/>
        <v>61</v>
      </c>
      <c r="B62" s="9">
        <f t="array" ref="B62">IF(C62="",0,IF(OR(C62=Country_Comparison!$S$10:$S$29),1,0))</f>
        <v>0</v>
      </c>
      <c r="C62" s="9" t="str">
        <f t="shared" si="17"/>
        <v>Serbia</v>
      </c>
      <c r="D62" s="6">
        <f t="shared" si="15"/>
        <v>303</v>
      </c>
      <c r="E62" s="6">
        <f>IF(COUNTIF(I62:XFD62,"&gt;"&amp;0)=0,,HLOOKUP(COUNTIF(I62:XFD62,"&gt;"&amp;0)-1,I$1:XFD62,A62+1,FALSE))</f>
        <v>303</v>
      </c>
      <c r="F62" s="7">
        <f>IF(COUNTIF(I62:XFD62,"&gt;"&amp;0)=0,,HLOOKUP(COUNTIF(I62:XFD62,"&gt;"&amp;0)-MIN($F$1+1,COUNTIF(I62:XFD62,"&gt;"&amp;0)),I$1:XFD62,A62+1,FALSE))</f>
        <v>103</v>
      </c>
      <c r="G62" s="8">
        <f t="shared" si="16"/>
        <v>1.2408551306831312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  <c r="M62" s="9">
        <v>249</v>
      </c>
      <c r="N62" s="9">
        <v>303</v>
      </c>
    </row>
    <row r="63" spans="1:23" x14ac:dyDescent="0.25">
      <c r="A63" s="9">
        <f t="shared" si="9"/>
        <v>62</v>
      </c>
      <c r="B63" s="9">
        <f t="array" ref="B63">IF(C63="",0,IF(OR(C63=Country_Comparison!$S$10:$S$29),1,0))</f>
        <v>0</v>
      </c>
      <c r="C63" s="9" t="str">
        <f t="shared" si="17"/>
        <v>Algeria</v>
      </c>
      <c r="D63" s="6">
        <f t="shared" si="15"/>
        <v>264</v>
      </c>
      <c r="E63" s="6">
        <f>IF(COUNTIF(I63:XFD63,"&gt;"&amp;0)=0,,HLOOKUP(COUNTIF(I63:XFD63,"&gt;"&amp;0)-1,I$1:XFD63,A63+1,FALSE))</f>
        <v>264</v>
      </c>
      <c r="F63" s="7">
        <f>IF(COUNTIF(I63:XFD63,"&gt;"&amp;0)=0,,HLOOKUP(COUNTIF(I63:XFD63,"&gt;"&amp;0)-MIN($F$1+1,COUNTIF(I63:XFD63,"&gt;"&amp;0)),I$1:XFD63,A63+1,FALSE))</f>
        <v>139</v>
      </c>
      <c r="G63" s="8">
        <f t="shared" si="16"/>
        <v>1.2384059849769535</v>
      </c>
      <c r="H63" s="13" t="s">
        <v>75</v>
      </c>
      <c r="I63" s="9">
        <v>139</v>
      </c>
      <c r="J63" s="9">
        <v>201</v>
      </c>
      <c r="K63" s="9">
        <v>230</v>
      </c>
      <c r="L63" s="9">
        <v>264</v>
      </c>
    </row>
    <row r="64" spans="1:23" x14ac:dyDescent="0.25">
      <c r="A64" s="9">
        <f t="shared" si="9"/>
        <v>63</v>
      </c>
      <c r="B64" s="9">
        <f t="array" ref="B64">IF(C64="",0,IF(OR(C64=Country_Comparison!$S$10:$S$29),1,0))</f>
        <v>0</v>
      </c>
      <c r="C64" s="9" t="str">
        <f t="shared" si="17"/>
        <v>Armenia</v>
      </c>
      <c r="D64" s="6">
        <f t="shared" si="15"/>
        <v>249</v>
      </c>
      <c r="E64" s="6">
        <f>IF(COUNTIF(I64:XFD64,"&gt;"&amp;0)=0,,HLOOKUP(COUNTIF(I64:XFD64,"&gt;"&amp;0)-1,I$1:XFD64,A64+1,FALSE))</f>
        <v>249</v>
      </c>
      <c r="F64" s="7">
        <f>IF(COUNTIF(I64:XFD64,"&gt;"&amp;0)=0,,HLOOKUP(COUNTIF(I64:XFD64,"&gt;"&amp;0)-MIN($F$1+1,COUNTIF(I64:XFD64,"&gt;"&amp;0)),I$1:XFD64,A64+1,FALSE))</f>
        <v>115</v>
      </c>
      <c r="G64" s="8">
        <f t="shared" si="16"/>
        <v>1.1670791256509652</v>
      </c>
      <c r="H64" s="13" t="s">
        <v>105</v>
      </c>
      <c r="I64" s="9">
        <v>115</v>
      </c>
      <c r="J64" s="9">
        <v>136</v>
      </c>
      <c r="K64" s="9">
        <v>160</v>
      </c>
      <c r="L64" s="9">
        <v>194</v>
      </c>
      <c r="M64" s="9">
        <v>235</v>
      </c>
      <c r="N64" s="9">
        <v>249</v>
      </c>
    </row>
    <row r="65" spans="1:19" x14ac:dyDescent="0.25">
      <c r="A65" s="9">
        <f t="shared" si="9"/>
        <v>64</v>
      </c>
      <c r="B65" s="9">
        <f t="array" ref="B65">IF(C65="",0,IF(OR(C65=Country_Comparison!$S$10:$S$29),1,0))</f>
        <v>0</v>
      </c>
      <c r="C65" s="9" t="str">
        <f t="shared" si="17"/>
        <v>United Arab Emirates</v>
      </c>
      <c r="D65" s="6">
        <f t="shared" si="15"/>
        <v>248</v>
      </c>
      <c r="E65" s="6">
        <f>IF(COUNTIF(I65:XFD65,"&gt;"&amp;0)=0,,HLOOKUP(COUNTIF(I65:XFD65,"&gt;"&amp;0)-1,I$1:XFD65,A65+1,FALSE))</f>
        <v>248</v>
      </c>
      <c r="F65" s="7">
        <f>IF(COUNTIF(I65:XFD65,"&gt;"&amp;0)=0,,HLOOKUP(COUNTIF(I65:XFD65,"&gt;"&amp;0)-MIN($F$1+1,COUNTIF(I65:XFD65,"&gt;"&amp;0)),I$1:XFD65,A65+1,FALSE))</f>
        <v>140</v>
      </c>
      <c r="G65" s="8">
        <f t="shared" si="16"/>
        <v>1.1211526016021442</v>
      </c>
      <c r="H65" s="13" t="s">
        <v>55</v>
      </c>
      <c r="I65" s="9">
        <v>113</v>
      </c>
      <c r="J65" s="9">
        <v>140</v>
      </c>
      <c r="K65" s="9">
        <v>140</v>
      </c>
      <c r="L65" s="9">
        <v>153</v>
      </c>
      <c r="M65" s="9">
        <v>153</v>
      </c>
      <c r="N65" s="9">
        <v>198</v>
      </c>
      <c r="O65" s="9">
        <v>248</v>
      </c>
    </row>
    <row r="66" spans="1:19" x14ac:dyDescent="0.25">
      <c r="A66" s="9">
        <f t="shared" si="9"/>
        <v>65</v>
      </c>
      <c r="B66" s="9">
        <f t="array" ref="B66">IF(C66="",0,IF(OR(C66=Country_Comparison!$S$10:$S$29),1,0))</f>
        <v>0</v>
      </c>
      <c r="C66" s="9" t="str">
        <f t="shared" si="17"/>
        <v>Bulgaria</v>
      </c>
      <c r="D66" s="6">
        <f t="shared" ref="D66:D97" si="18">MAX(I66:CL66)</f>
        <v>218</v>
      </c>
      <c r="E66" s="6">
        <f>IF(COUNTIF(I66:XFD66,"&gt;"&amp;0)=0,,HLOOKUP(COUNTIF(I66:XFD66,"&gt;"&amp;0)-1,I$1:XFD66,A66+1,FALSE))</f>
        <v>218</v>
      </c>
      <c r="F66" s="7">
        <f>IF(COUNTIF(I66:XFD66,"&gt;"&amp;0)=0,,HLOOKUP(COUNTIF(I66:XFD66,"&gt;"&amp;0)-MIN($F$1+1,COUNTIF(I66:XFD66,"&gt;"&amp;0)),I$1:XFD66,A66+1,FALSE))</f>
        <v>127</v>
      </c>
      <c r="G66" s="8">
        <f t="shared" ref="G66:G97" si="19">IF(COUNTIF(I66:XFD66,"&gt;"&amp;0)=0,,(E66/F66)^(1/MIN(COUNTIF(I66:XFD66,"&gt;"&amp;0)-1,$F$1)))</f>
        <v>1.1446249103036004</v>
      </c>
      <c r="H66" s="13" t="s">
        <v>199</v>
      </c>
      <c r="I66" s="9">
        <v>127</v>
      </c>
      <c r="J66" s="9">
        <v>163</v>
      </c>
      <c r="K66" s="9">
        <v>187</v>
      </c>
      <c r="L66" s="9">
        <v>201</v>
      </c>
      <c r="M66" s="9">
        <v>218</v>
      </c>
    </row>
    <row r="67" spans="1:19" x14ac:dyDescent="0.25">
      <c r="A67" s="9">
        <f t="shared" si="9"/>
        <v>66</v>
      </c>
      <c r="B67" s="9">
        <f t="array" ref="B67">IF(C67="",0,IF(OR(C67=Country_Comparison!$S$10:$S$29),1,0))</f>
        <v>0</v>
      </c>
      <c r="C67" s="9" t="str">
        <f t="shared" si="17"/>
        <v>Taiwan*</v>
      </c>
      <c r="D67" s="6">
        <f t="shared" si="18"/>
        <v>215</v>
      </c>
      <c r="E67" s="6">
        <f>IF(COUNTIF(I67:XFD67,"&gt;"&amp;0)=0,,HLOOKUP(COUNTIF(I67:XFD67,"&gt;"&amp;0)-1,I$1:XFD67,A67+1,FALSE))</f>
        <v>215</v>
      </c>
      <c r="F67" s="7">
        <f>IF(COUNTIF(I67:XFD67,"&gt;"&amp;0)=0,,HLOOKUP(COUNTIF(I67:XFD67,"&gt;"&amp;0)-MIN($F$1+1,COUNTIF(I67:XFD67,"&gt;"&amp;0)),I$1:XFD67,A67+1,FALSE))</f>
        <v>108</v>
      </c>
      <c r="G67" s="8">
        <f t="shared" si="19"/>
        <v>1.1476327702726534</v>
      </c>
      <c r="H67" s="13" t="s">
        <v>342</v>
      </c>
      <c r="I67" s="9">
        <v>100</v>
      </c>
      <c r="J67" s="9">
        <v>108</v>
      </c>
      <c r="K67" s="9">
        <v>135</v>
      </c>
      <c r="L67" s="9">
        <v>153</v>
      </c>
      <c r="M67" s="9">
        <v>169</v>
      </c>
      <c r="N67" s="9">
        <v>195</v>
      </c>
      <c r="O67" s="9">
        <v>215</v>
      </c>
    </row>
    <row r="68" spans="1:19" x14ac:dyDescent="0.25">
      <c r="A68" s="9">
        <f t="shared" si="9"/>
        <v>67</v>
      </c>
      <c r="B68" s="9">
        <f t="array" ref="B68">IF(C68="",0,IF(OR(C68=Country_Comparison!$S$10:$S$29),1,0))</f>
        <v>0</v>
      </c>
      <c r="C68" s="9" t="str">
        <f t="shared" si="17"/>
        <v>Lithuania</v>
      </c>
      <c r="D68" s="6">
        <f t="shared" si="18"/>
        <v>209</v>
      </c>
      <c r="E68" s="6">
        <f>IF(COUNTIF(I68:XFD68,"&gt;"&amp;0)=0,,HLOOKUP(COUNTIF(I68:XFD68,"&gt;"&amp;0)-1,I$1:XFD68,A68+1,FALSE))</f>
        <v>209</v>
      </c>
      <c r="F68" s="7">
        <f>IF(COUNTIF(I68:XFD68,"&gt;"&amp;0)=0,,HLOOKUP(COUNTIF(I68:XFD68,"&gt;"&amp;0)-MIN($F$1+1,COUNTIF(I68:XFD68,"&gt;"&amp;0)),I$1:XFD68,A68+1,FALSE))</f>
        <v>143</v>
      </c>
      <c r="G68" s="8">
        <f t="shared" si="19"/>
        <v>1.2089410496539776</v>
      </c>
      <c r="H68" s="13" t="s">
        <v>93</v>
      </c>
      <c r="I68" s="9">
        <v>143</v>
      </c>
      <c r="J68" s="9">
        <v>179</v>
      </c>
      <c r="K68" s="9">
        <v>209</v>
      </c>
    </row>
    <row r="69" spans="1:19" x14ac:dyDescent="0.25">
      <c r="A69" s="9">
        <f t="shared" si="9"/>
        <v>68</v>
      </c>
      <c r="B69" s="9">
        <f t="array" ref="B69">IF(C69="",0,IF(OR(C69=Country_Comparison!$S$10:$S$29),1,0))</f>
        <v>0</v>
      </c>
      <c r="C69" s="9" t="str">
        <f t="shared" ref="C69:C100" si="20">IF(H69="","",H69)</f>
        <v>Slovakia</v>
      </c>
      <c r="D69" s="6">
        <f t="shared" si="18"/>
        <v>204</v>
      </c>
      <c r="E69" s="6">
        <f>IF(COUNTIF(I69:XFD69,"&gt;"&amp;0)=0,,HLOOKUP(COUNTIF(I69:XFD69,"&gt;"&amp;0)-1,I$1:XFD69,A69+1,FALSE))</f>
        <v>204</v>
      </c>
      <c r="F69" s="7">
        <f>IF(COUNTIF(I69:XFD69,"&gt;"&amp;0)=0,,HLOOKUP(COUNTIF(I69:XFD69,"&gt;"&amp;0)-MIN($F$1+1,COUNTIF(I69:XFD69,"&gt;"&amp;0)),I$1:XFD69,A69+1,FALSE))</f>
        <v>123</v>
      </c>
      <c r="G69" s="8">
        <f t="shared" si="19"/>
        <v>1.1064836761310486</v>
      </c>
      <c r="H69" s="13" t="s">
        <v>162</v>
      </c>
      <c r="I69" s="9">
        <v>105</v>
      </c>
      <c r="J69" s="9">
        <v>123</v>
      </c>
      <c r="K69" s="9">
        <v>137</v>
      </c>
      <c r="L69" s="9">
        <v>178</v>
      </c>
      <c r="M69" s="9">
        <v>185</v>
      </c>
      <c r="N69" s="9">
        <v>186</v>
      </c>
      <c r="O69" s="9">
        <v>204</v>
      </c>
    </row>
    <row r="70" spans="1:19" x14ac:dyDescent="0.25">
      <c r="A70" s="9">
        <f t="shared" si="9"/>
        <v>69</v>
      </c>
      <c r="B70" s="9">
        <f t="array" ref="B70">IF(C70="",0,IF(OR(C70=Country_Comparison!$S$10:$S$29),1,0))</f>
        <v>0</v>
      </c>
      <c r="C70" s="9" t="str">
        <f t="shared" si="20"/>
        <v>Latvia</v>
      </c>
      <c r="D70" s="6">
        <f t="shared" si="18"/>
        <v>197</v>
      </c>
      <c r="E70" s="6">
        <f>IF(COUNTIF(I70:XFD70,"&gt;"&amp;0)=0,,HLOOKUP(COUNTIF(I70:XFD70,"&gt;"&amp;0)-1,I$1:XFD70,A70+1,FALSE))</f>
        <v>197</v>
      </c>
      <c r="F70" s="7">
        <f>IF(COUNTIF(I70:XFD70,"&gt;"&amp;0)=0,,HLOOKUP(COUNTIF(I70:XFD70,"&gt;"&amp;0)-MIN($F$1+1,COUNTIF(I70:XFD70,"&gt;"&amp;0)),I$1:XFD70,A70+1,FALSE))</f>
        <v>111</v>
      </c>
      <c r="G70" s="8">
        <f t="shared" si="19"/>
        <v>1.1542126022726955</v>
      </c>
      <c r="H70" s="13" t="s">
        <v>111</v>
      </c>
      <c r="I70" s="9">
        <v>111</v>
      </c>
      <c r="J70" s="9">
        <v>124</v>
      </c>
      <c r="K70" s="9">
        <v>139</v>
      </c>
      <c r="L70" s="9">
        <v>180</v>
      </c>
      <c r="M70" s="9">
        <v>197</v>
      </c>
    </row>
    <row r="71" spans="1:19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20"/>
        <v>Kuwait</v>
      </c>
      <c r="D71" s="6">
        <f t="shared" si="18"/>
        <v>191</v>
      </c>
      <c r="E71" s="6">
        <f>IF(COUNTIF(I71:XFD71,"&gt;"&amp;0)=0,,HLOOKUP(COUNTIF(I71:XFD71,"&gt;"&amp;0)-1,I$1:XFD71,A71+1,FALSE))</f>
        <v>191</v>
      </c>
      <c r="F71" s="7">
        <f>IF(COUNTIF(I71:XFD71,"&gt;"&amp;0)=0,,HLOOKUP(COUNTIF(I71:XFD71,"&gt;"&amp;0)-MIN($F$1+1,COUNTIF(I71:XFD71,"&gt;"&amp;0)),I$1:XFD71,A71+1,FALSE))</f>
        <v>148</v>
      </c>
      <c r="G71" s="8">
        <f t="shared" si="19"/>
        <v>1.0523357641722173</v>
      </c>
      <c r="H71" s="13" t="s">
        <v>74</v>
      </c>
      <c r="I71" s="9">
        <v>104</v>
      </c>
      <c r="J71" s="9">
        <v>112</v>
      </c>
      <c r="K71" s="9">
        <v>123</v>
      </c>
      <c r="L71" s="9">
        <v>130</v>
      </c>
      <c r="M71" s="9">
        <v>142</v>
      </c>
      <c r="N71" s="9">
        <v>148</v>
      </c>
      <c r="O71" s="9">
        <v>159</v>
      </c>
      <c r="P71" s="9">
        <v>176</v>
      </c>
      <c r="Q71" s="9">
        <v>188</v>
      </c>
      <c r="R71" s="9">
        <v>189</v>
      </c>
      <c r="S71" s="9">
        <v>191</v>
      </c>
    </row>
    <row r="72" spans="1:19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20"/>
        <v>San Marino</v>
      </c>
      <c r="D72" s="6">
        <f t="shared" si="18"/>
        <v>187</v>
      </c>
      <c r="E72" s="6">
        <f>IF(COUNTIF(I72:XFD72,"&gt;"&amp;0)=0,,HLOOKUP(COUNTIF(I72:XFD72,"&gt;"&amp;0)-1,I$1:XFD72,A72+1,FALSE))</f>
        <v>187</v>
      </c>
      <c r="F72" s="7">
        <f>IF(COUNTIF(I72:XFD72,"&gt;"&amp;0)=0,,HLOOKUP(COUNTIF(I72:XFD72,"&gt;"&amp;0)-MIN($F$1+1,COUNTIF(I72:XFD72,"&gt;"&amp;0)),I$1:XFD72,A72+1,FALSE))</f>
        <v>119</v>
      </c>
      <c r="G72" s="8">
        <f t="shared" si="19"/>
        <v>1.0946087842231575</v>
      </c>
      <c r="H72" s="13" t="s">
        <v>90</v>
      </c>
      <c r="I72" s="9">
        <v>101</v>
      </c>
      <c r="J72" s="9">
        <v>109</v>
      </c>
      <c r="K72" s="9">
        <v>109</v>
      </c>
      <c r="L72" s="9">
        <v>119</v>
      </c>
      <c r="M72" s="9">
        <v>119</v>
      </c>
      <c r="N72" s="9">
        <v>144</v>
      </c>
      <c r="O72" s="9">
        <v>144</v>
      </c>
      <c r="P72" s="9">
        <v>175</v>
      </c>
      <c r="Q72" s="9">
        <v>187</v>
      </c>
      <c r="R72" s="9">
        <v>187</v>
      </c>
    </row>
    <row r="73" spans="1:19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20"/>
        <v>Hungary</v>
      </c>
      <c r="D73" s="6">
        <f t="shared" si="18"/>
        <v>187</v>
      </c>
      <c r="E73" s="6">
        <f>IF(COUNTIF(I73:XFD73,"&gt;"&amp;0)=0,,HLOOKUP(COUNTIF(I73:XFD73,"&gt;"&amp;0)-1,I$1:XFD73,A73+1,FALSE))</f>
        <v>187</v>
      </c>
      <c r="F73" s="7">
        <f>IF(COUNTIF(I73:XFD73,"&gt;"&amp;0)=0,,HLOOKUP(COUNTIF(I73:XFD73,"&gt;"&amp;0)-MIN($F$1+1,COUNTIF(I73:XFD73,"&gt;"&amp;0)),I$1:XFD73,A73+1,FALSE))</f>
        <v>103</v>
      </c>
      <c r="G73" s="8">
        <f t="shared" si="19"/>
        <v>1.2199296699989655</v>
      </c>
      <c r="H73" s="13" t="s">
        <v>132</v>
      </c>
      <c r="I73" s="9">
        <v>103</v>
      </c>
      <c r="J73" s="9">
        <v>131</v>
      </c>
      <c r="K73" s="9">
        <v>167</v>
      </c>
      <c r="L73" s="9">
        <v>187</v>
      </c>
    </row>
    <row r="74" spans="1:19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20"/>
        <v>Costa Rica</v>
      </c>
      <c r="D74" s="6">
        <f t="shared" si="18"/>
        <v>177</v>
      </c>
      <c r="E74" s="6">
        <f>IF(COUNTIF(I74:XFD74,"&gt;"&amp;0)=0,,HLOOKUP(COUNTIF(I74:XFD74,"&gt;"&amp;0)-1,I$1:XFD74,A74+1,FALSE))</f>
        <v>177</v>
      </c>
      <c r="F74" s="7">
        <f>IF(COUNTIF(I74:XFD74,"&gt;"&amp;0)=0,,HLOOKUP(COUNTIF(I74:XFD74,"&gt;"&amp;0)-MIN($F$1+1,COUNTIF(I74:XFD74,"&gt;"&amp;0)),I$1:XFD74,A74+1,FALSE))</f>
        <v>117</v>
      </c>
      <c r="G74" s="8">
        <f t="shared" si="19"/>
        <v>1.1479662891244253</v>
      </c>
      <c r="H74" s="13" t="s">
        <v>159</v>
      </c>
      <c r="I74" s="9">
        <v>117</v>
      </c>
      <c r="J74" s="9">
        <v>134</v>
      </c>
      <c r="K74" s="9">
        <v>158</v>
      </c>
      <c r="L74" s="9">
        <v>177</v>
      </c>
    </row>
    <row r="75" spans="1:19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20"/>
        <v>Morocco</v>
      </c>
      <c r="D75" s="6">
        <f t="shared" si="18"/>
        <v>170</v>
      </c>
      <c r="E75" s="6">
        <f>IF(COUNTIF(I75:XFD75,"&gt;"&amp;0)=0,,HLOOKUP(COUNTIF(I75:XFD75,"&gt;"&amp;0)-1,I$1:XFD75,A75+1,FALSE))</f>
        <v>170</v>
      </c>
      <c r="F75" s="7">
        <f>IF(COUNTIF(I75:XFD75,"&gt;"&amp;0)=0,,HLOOKUP(COUNTIF(I75:XFD75,"&gt;"&amp;0)-MIN($F$1+1,COUNTIF(I75:XFD75,"&gt;"&amp;0)),I$1:XFD75,A75+1,FALSE))</f>
        <v>115</v>
      </c>
      <c r="G75" s="8">
        <f t="shared" si="19"/>
        <v>1.2158375177486576</v>
      </c>
      <c r="H75" s="13" t="s">
        <v>112</v>
      </c>
      <c r="I75" s="9">
        <v>115</v>
      </c>
      <c r="J75" s="9">
        <v>143</v>
      </c>
      <c r="K75" s="9">
        <v>170</v>
      </c>
    </row>
    <row r="76" spans="1:19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20"/>
        <v>Bosnia and Herzegovina</v>
      </c>
      <c r="D76" s="6">
        <f t="shared" si="18"/>
        <v>166</v>
      </c>
      <c r="E76" s="6">
        <f>IF(COUNTIF(I76:XFD76,"&gt;"&amp;0)=0,,HLOOKUP(COUNTIF(I76:XFD76,"&gt;"&amp;0)-1,I$1:XFD76,A76+1,FALSE))</f>
        <v>166</v>
      </c>
      <c r="F76" s="7">
        <f>IF(COUNTIF(I76:XFD76,"&gt;"&amp;0)=0,,HLOOKUP(COUNTIF(I76:XFD76,"&gt;"&amp;0)-MIN($F$1+1,COUNTIF(I76:XFD76,"&gt;"&amp;0)),I$1:XFD76,A76+1,FALSE))</f>
        <v>126</v>
      </c>
      <c r="G76" s="8">
        <f t="shared" si="19"/>
        <v>1.1478067422089475</v>
      </c>
      <c r="H76" s="13" t="s">
        <v>140</v>
      </c>
      <c r="I76" s="9">
        <v>126</v>
      </c>
      <c r="J76" s="9">
        <v>136</v>
      </c>
      <c r="K76" s="9">
        <v>166</v>
      </c>
    </row>
    <row r="77" spans="1:19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20"/>
        <v>Andorra</v>
      </c>
      <c r="D77" s="6">
        <f t="shared" si="18"/>
        <v>164</v>
      </c>
      <c r="E77" s="6">
        <f>IF(COUNTIF(I77:XFD77,"&gt;"&amp;0)=0,,HLOOKUP(COUNTIF(I77:XFD77,"&gt;"&amp;0)-1,I$1:XFD77,A77+1,FALSE))</f>
        <v>164</v>
      </c>
      <c r="F77" s="7">
        <f>IF(COUNTIF(I77:XFD77,"&gt;"&amp;0)=0,,HLOOKUP(COUNTIF(I77:XFD77,"&gt;"&amp;0)-MIN($F$1+1,COUNTIF(I77:XFD77,"&gt;"&amp;0)),I$1:XFD77,A77+1,FALSE))</f>
        <v>113</v>
      </c>
      <c r="G77" s="8">
        <f t="shared" si="19"/>
        <v>1.2047105186011777</v>
      </c>
      <c r="H77" s="13" t="s">
        <v>109</v>
      </c>
      <c r="I77" s="9">
        <v>113</v>
      </c>
      <c r="J77" s="9">
        <v>133</v>
      </c>
      <c r="K77" s="9">
        <v>164</v>
      </c>
    </row>
    <row r="78" spans="1:19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20"/>
        <v>New Zealand</v>
      </c>
      <c r="D78" s="6">
        <f t="shared" si="18"/>
        <v>155</v>
      </c>
      <c r="E78" s="6">
        <f>IF(COUNTIF(I78:XFD78,"&gt;"&amp;0)=0,,HLOOKUP(COUNTIF(I78:XFD78,"&gt;"&amp;0)-1,I$1:XFD78,A78+1,FALSE))</f>
        <v>155</v>
      </c>
      <c r="F78" s="7">
        <f>IF(COUNTIF(I78:XFD78,"&gt;"&amp;0)=0,,HLOOKUP(COUNTIF(I78:XFD78,"&gt;"&amp;0)-MIN($F$1+1,COUNTIF(I78:XFD78,"&gt;"&amp;0)),I$1:XFD78,A78+1,FALSE))</f>
        <v>102</v>
      </c>
      <c r="G78" s="8">
        <f t="shared" si="19"/>
        <v>1.2327237497254828</v>
      </c>
      <c r="H78" s="13" t="s">
        <v>95</v>
      </c>
      <c r="I78" s="9">
        <v>102</v>
      </c>
      <c r="J78" s="9">
        <v>102</v>
      </c>
      <c r="K78" s="9">
        <v>155</v>
      </c>
    </row>
    <row r="79" spans="1:19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20"/>
        <v>Jordan</v>
      </c>
      <c r="D79" s="6">
        <f t="shared" si="18"/>
        <v>154</v>
      </c>
      <c r="E79" s="6">
        <f>IF(COUNTIF(I79:XFD79,"&gt;"&amp;0)=0,,HLOOKUP(COUNTIF(I79:XFD79,"&gt;"&amp;0)-1,I$1:XFD79,A79+1,FALSE))</f>
        <v>154</v>
      </c>
      <c r="F79" s="7">
        <f>IF(COUNTIF(I79:XFD79,"&gt;"&amp;0)=0,,HLOOKUP(COUNTIF(I79:XFD79,"&gt;"&amp;0)-MIN($F$1+1,COUNTIF(I79:XFD79,"&gt;"&amp;0)),I$1:XFD79,A79+1,FALSE))</f>
        <v>112</v>
      </c>
      <c r="G79" s="8">
        <f t="shared" si="19"/>
        <v>1.1726039399558574</v>
      </c>
      <c r="H79" s="13" t="s">
        <v>125</v>
      </c>
      <c r="I79" s="9">
        <v>112</v>
      </c>
      <c r="J79" s="9">
        <v>127</v>
      </c>
      <c r="K79" s="9">
        <v>154</v>
      </c>
    </row>
    <row r="80" spans="1:19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20"/>
        <v>North Macedonia</v>
      </c>
      <c r="D80" s="6">
        <f t="shared" si="18"/>
        <v>148</v>
      </c>
      <c r="E80" s="6">
        <f>IF(COUNTIF(I80:XFD80,"&gt;"&amp;0)=0,,HLOOKUP(COUNTIF(I80:XFD80,"&gt;"&amp;0)-1,I$1:XFD80,A80+1,FALSE))</f>
        <v>148</v>
      </c>
      <c r="F80" s="7">
        <f>IF(COUNTIF(I80:XFD80,"&gt;"&amp;0)=0,,HLOOKUP(COUNTIF(I80:XFD80,"&gt;"&amp;0)-MIN($F$1+1,COUNTIF(I80:XFD80,"&gt;"&amp;0)),I$1:XFD80,A80+1,FALSE))</f>
        <v>115</v>
      </c>
      <c r="G80" s="8">
        <f t="shared" si="19"/>
        <v>1.1344410613774214</v>
      </c>
      <c r="H80" s="13" t="s">
        <v>84</v>
      </c>
      <c r="I80" s="9">
        <v>115</v>
      </c>
      <c r="J80" s="9">
        <v>136</v>
      </c>
      <c r="K80" s="9">
        <v>148</v>
      </c>
    </row>
    <row r="81" spans="1:11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20"/>
        <v>Vietnam</v>
      </c>
      <c r="D81" s="6">
        <f t="shared" si="18"/>
        <v>134</v>
      </c>
      <c r="E81" s="6">
        <f>IF(COUNTIF(I81:XFD81,"&gt;"&amp;0)=0,,HLOOKUP(COUNTIF(I81:XFD81,"&gt;"&amp;0)-1,I$1:XFD81,A81+1,FALSE))</f>
        <v>134</v>
      </c>
      <c r="F81" s="7">
        <f>IF(COUNTIF(I81:XFD81,"&gt;"&amp;0)=0,,HLOOKUP(COUNTIF(I81:XFD81,"&gt;"&amp;0)-MIN($F$1+1,COUNTIF(I81:XFD81,"&gt;"&amp;0)),I$1:XFD81,A81+1,FALSE))</f>
        <v>113</v>
      </c>
      <c r="G81" s="8">
        <f t="shared" si="19"/>
        <v>1.0889631343459714</v>
      </c>
      <c r="H81" s="13" t="s">
        <v>343</v>
      </c>
      <c r="I81" s="9">
        <v>113</v>
      </c>
      <c r="J81" s="9">
        <v>123</v>
      </c>
      <c r="K81" s="9">
        <v>134</v>
      </c>
    </row>
    <row r="82" spans="1:11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20"/>
        <v>Moldova</v>
      </c>
      <c r="D82" s="6">
        <f t="shared" si="18"/>
        <v>125</v>
      </c>
      <c r="E82" s="6">
        <f>IF(COUNTIF(I82:XFD82,"&gt;"&amp;0)=0,,HLOOKUP(COUNTIF(I82:XFD82,"&gt;"&amp;0)-1,I$1:XFD82,A82+1,FALSE))</f>
        <v>125</v>
      </c>
      <c r="F82" s="7">
        <f>IF(COUNTIF(I82:XFD82,"&gt;"&amp;0)=0,,HLOOKUP(COUNTIF(I82:XFD82,"&gt;"&amp;0)-MIN($F$1+1,COUNTIF(I82:XFD82,"&gt;"&amp;0)),I$1:XFD82,A82+1,FALSE))</f>
        <v>109</v>
      </c>
      <c r="G82" s="8">
        <f t="shared" si="19"/>
        <v>1.1467889908256881</v>
      </c>
      <c r="H82" s="13" t="s">
        <v>345</v>
      </c>
      <c r="I82" s="9">
        <v>109</v>
      </c>
      <c r="J82" s="9">
        <v>125</v>
      </c>
    </row>
    <row r="83" spans="1:11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20"/>
        <v>Cyprus</v>
      </c>
      <c r="D83" s="6">
        <f t="shared" si="18"/>
        <v>124</v>
      </c>
      <c r="E83" s="6">
        <f>IF(COUNTIF(I83:XFD83,"&gt;"&amp;0)=0,,HLOOKUP(COUNTIF(I83:XFD83,"&gt;"&amp;0)-1,I$1:XFD83,A83+1,FALSE))</f>
        <v>124</v>
      </c>
      <c r="F83" s="7">
        <f>IF(COUNTIF(I83:XFD83,"&gt;"&amp;0)=0,,HLOOKUP(COUNTIF(I83:XFD83,"&gt;"&amp;0)-MIN($F$1+1,COUNTIF(I83:XFD83,"&gt;"&amp;0)),I$1:XFD83,A83+1,FALSE))</f>
        <v>116</v>
      </c>
      <c r="G83" s="8">
        <f t="shared" si="19"/>
        <v>1.0689655172413792</v>
      </c>
      <c r="H83" s="13" t="s">
        <v>231</v>
      </c>
      <c r="I83" s="9">
        <v>116</v>
      </c>
      <c r="J83" s="9">
        <v>124</v>
      </c>
    </row>
    <row r="84" spans="1:11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20"/>
        <v>Albania</v>
      </c>
      <c r="D84" s="6">
        <f t="shared" si="18"/>
        <v>123</v>
      </c>
      <c r="E84" s="6">
        <f>IF(COUNTIF(I84:XFD84,"&gt;"&amp;0)=0,,HLOOKUP(COUNTIF(I84:XFD84,"&gt;"&amp;0)-1,I$1:XFD84,A84+1,FALSE))</f>
        <v>123</v>
      </c>
      <c r="F84" s="7">
        <f>IF(COUNTIF(I84:XFD84,"&gt;"&amp;0)=0,,HLOOKUP(COUNTIF(I84:XFD84,"&gt;"&amp;0)-MIN($F$1+1,COUNTIF(I84:XFD84,"&gt;"&amp;0)),I$1:XFD84,A84+1,FALSE))</f>
        <v>104</v>
      </c>
      <c r="G84" s="8">
        <f t="shared" si="19"/>
        <v>1.1826923076923077</v>
      </c>
      <c r="H84" s="13" t="s">
        <v>230</v>
      </c>
      <c r="I84" s="9">
        <v>104</v>
      </c>
      <c r="J84" s="9">
        <v>123</v>
      </c>
    </row>
    <row r="85" spans="1:11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20"/>
        <v>Tunisia</v>
      </c>
      <c r="D85" s="6">
        <f t="shared" si="18"/>
        <v>114</v>
      </c>
      <c r="E85" s="6">
        <f>IF(COUNTIF(I85:XFD85,"&gt;"&amp;0)=0,,HLOOKUP(COUNTIF(I85:XFD85,"&gt;"&amp;0)-1,I$1:XFD85,A85+1,FALSE))</f>
        <v>114</v>
      </c>
      <c r="F85" s="7">
        <f>IF(COUNTIF(I85:XFD85,"&gt;"&amp;0)=0,,HLOOKUP(COUNTIF(I85:XFD85,"&gt;"&amp;0)-MIN($F$1+1,COUNTIF(I85:XFD85,"&gt;"&amp;0)),I$1:XFD85,A85+1,FALSE))</f>
        <v>114</v>
      </c>
      <c r="G85" s="8" t="e">
        <f t="shared" si="19"/>
        <v>#DIV/0!</v>
      </c>
      <c r="H85" s="13" t="s">
        <v>138</v>
      </c>
      <c r="I85" s="9">
        <v>114</v>
      </c>
    </row>
    <row r="86" spans="1:11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20"/>
        <v>Burkina Faso</v>
      </c>
      <c r="D86" s="6">
        <f t="shared" si="18"/>
        <v>114</v>
      </c>
      <c r="E86" s="6">
        <f>IF(COUNTIF(I86:XFD86,"&gt;"&amp;0)=0,,HLOOKUP(COUNTIF(I86:XFD86,"&gt;"&amp;0)-1,I$1:XFD86,A86+1,FALSE))</f>
        <v>114</v>
      </c>
      <c r="F86" s="7">
        <f>IF(COUNTIF(I86:XFD86,"&gt;"&amp;0)=0,,HLOOKUP(COUNTIF(I86:XFD86,"&gt;"&amp;0)-MIN($F$1+1,COUNTIF(I86:XFD86,"&gt;"&amp;0)),I$1:XFD86,A86+1,FALSE))</f>
        <v>114</v>
      </c>
      <c r="G86" s="8" t="e">
        <f t="shared" si="19"/>
        <v>#DIV/0!</v>
      </c>
      <c r="H86" s="13" t="s">
        <v>279</v>
      </c>
      <c r="I86" s="9">
        <v>114</v>
      </c>
    </row>
    <row r="87" spans="1:11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20"/>
        <v>Malta</v>
      </c>
      <c r="D87" s="6">
        <f t="shared" si="18"/>
        <v>110</v>
      </c>
      <c r="E87" s="6">
        <f>IF(COUNTIF(I87:XFD87,"&gt;"&amp;0)=0,,HLOOKUP(COUNTIF(I87:XFD87,"&gt;"&amp;0)-1,I$1:XFD87,A87+1,FALSE))</f>
        <v>110</v>
      </c>
      <c r="F87" s="7">
        <f>IF(COUNTIF(I87:XFD87,"&gt;"&amp;0)=0,,HLOOKUP(COUNTIF(I87:XFD87,"&gt;"&amp;0)-MIN($F$1+1,COUNTIF(I87:XFD87,"&gt;"&amp;0)),I$1:XFD87,A87+1,FALSE))</f>
        <v>107</v>
      </c>
      <c r="G87" s="8">
        <f t="shared" si="19"/>
        <v>1.02803738317757</v>
      </c>
      <c r="H87" s="13" t="s">
        <v>177</v>
      </c>
      <c r="I87" s="9">
        <v>107</v>
      </c>
      <c r="J87" s="9">
        <v>110</v>
      </c>
    </row>
    <row r="88" spans="1:11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20"/>
        <v>Brunei</v>
      </c>
      <c r="D88" s="6">
        <f t="shared" si="18"/>
        <v>104</v>
      </c>
      <c r="E88" s="6">
        <f>IF(COUNTIF(I88:XFD88,"&gt;"&amp;0)=0,,HLOOKUP(COUNTIF(I88:XFD88,"&gt;"&amp;0)-1,I$1:XFD88,A88+1,FALSE))</f>
        <v>104</v>
      </c>
      <c r="F88" s="7">
        <f>IF(COUNTIF(I88:XFD88,"&gt;"&amp;0)=0,,HLOOKUP(COUNTIF(I88:XFD88,"&gt;"&amp;0)-MIN($F$1+1,COUNTIF(I88:XFD88,"&gt;"&amp;0)),I$1:XFD88,A88+1,FALSE))</f>
        <v>104</v>
      </c>
      <c r="G88" s="8" t="e">
        <f t="shared" si="19"/>
        <v>#DIV/0!</v>
      </c>
      <c r="H88" s="13" t="s">
        <v>233</v>
      </c>
      <c r="I88" s="9">
        <v>104</v>
      </c>
    </row>
    <row r="89" spans="1:11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20"/>
        <v>Sri Lanka</v>
      </c>
      <c r="D89" s="6">
        <f t="shared" si="18"/>
        <v>102</v>
      </c>
      <c r="E89" s="6">
        <f>IF(COUNTIF(I89:XFD89,"&gt;"&amp;0)=0,,HLOOKUP(COUNTIF(I89:XFD89,"&gt;"&amp;0)-1,I$1:XFD89,A89+1,FALSE))</f>
        <v>102</v>
      </c>
      <c r="F89" s="7">
        <f>IF(COUNTIF(I89:XFD89,"&gt;"&amp;0)=0,,HLOOKUP(COUNTIF(I89:XFD89,"&gt;"&amp;0)-MIN($F$1+1,COUNTIF(I89:XFD89,"&gt;"&amp;0)),I$1:XFD89,A89+1,FALSE))</f>
        <v>102</v>
      </c>
      <c r="G89" s="8" t="e">
        <f t="shared" si="19"/>
        <v>#DIV/0!</v>
      </c>
      <c r="H89" s="13" t="s">
        <v>52</v>
      </c>
      <c r="I89" s="9">
        <v>102</v>
      </c>
    </row>
    <row r="90" spans="1:11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20"/>
        <v/>
      </c>
      <c r="D90" s="6">
        <f t="shared" si="18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9"/>
        <v>0</v>
      </c>
    </row>
    <row r="91" spans="1:11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20"/>
        <v/>
      </c>
      <c r="D91" s="6">
        <f t="shared" si="18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9"/>
        <v>0</v>
      </c>
    </row>
    <row r="92" spans="1:11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20"/>
        <v/>
      </c>
      <c r="D92" s="6">
        <f t="shared" si="18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9"/>
        <v>0</v>
      </c>
    </row>
    <row r="93" spans="1:11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20"/>
        <v/>
      </c>
      <c r="D93" s="6">
        <f t="shared" si="18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9"/>
        <v>0</v>
      </c>
    </row>
    <row r="94" spans="1:11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20"/>
        <v/>
      </c>
      <c r="D94" s="6">
        <f t="shared" si="18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9"/>
        <v>0</v>
      </c>
    </row>
    <row r="95" spans="1:11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20"/>
        <v/>
      </c>
      <c r="D95" s="6">
        <f t="shared" si="18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9"/>
        <v>0</v>
      </c>
    </row>
    <row r="96" spans="1:11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20"/>
        <v/>
      </c>
      <c r="D96" s="6">
        <f t="shared" si="18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9"/>
        <v>0</v>
      </c>
    </row>
    <row r="97" spans="1:7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20"/>
        <v/>
      </c>
      <c r="D97" s="6">
        <f t="shared" si="18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9"/>
        <v>0</v>
      </c>
    </row>
    <row r="98" spans="1:7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20"/>
        <v/>
      </c>
      <c r="D98" s="6">
        <f t="shared" ref="D98:D129" si="21"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2">IF(COUNTIF(I98:XFD98,"&gt;"&amp;0)=0,,(E98/F98)^(1/MIN(COUNTIF(I98:XFD98,"&gt;"&amp;0)-1,$F$1)))</f>
        <v>0</v>
      </c>
    </row>
    <row r="99" spans="1:7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20"/>
        <v/>
      </c>
      <c r="D99" s="6">
        <f t="shared" si="2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20"/>
        <v/>
      </c>
      <c r="D100" s="6">
        <f t="shared" si="2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ref="C101:C132" si="23">IF(H101="","",H101)</f>
        <v/>
      </c>
      <c r="D101" s="6">
        <f t="shared" si="2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23"/>
        <v/>
      </c>
      <c r="D102" s="6">
        <f t="shared" si="2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23"/>
        <v/>
      </c>
      <c r="D103" s="6">
        <f t="shared" si="2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23"/>
        <v/>
      </c>
      <c r="D104" s="6">
        <f t="shared" si="2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23"/>
        <v/>
      </c>
      <c r="D105" s="6">
        <f t="shared" si="2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23"/>
        <v/>
      </c>
      <c r="D106" s="6">
        <f t="shared" si="2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23"/>
        <v/>
      </c>
      <c r="D107" s="6">
        <f t="shared" si="2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23"/>
        <v/>
      </c>
      <c r="D108" s="6">
        <f t="shared" si="2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23"/>
        <v/>
      </c>
      <c r="D109" s="6">
        <f t="shared" si="2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23"/>
        <v/>
      </c>
      <c r="D110" s="6">
        <f t="shared" si="2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23"/>
        <v/>
      </c>
      <c r="D111" s="6">
        <f t="shared" si="2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23"/>
        <v/>
      </c>
      <c r="D112" s="6">
        <f t="shared" si="2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23"/>
        <v/>
      </c>
      <c r="D113" s="6">
        <f t="shared" si="2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23"/>
        <v/>
      </c>
      <c r="D114" s="6">
        <f t="shared" si="2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23"/>
        <v/>
      </c>
      <c r="D115" s="6">
        <f t="shared" si="2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23"/>
        <v/>
      </c>
      <c r="D116" s="6">
        <f t="shared" si="2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23"/>
        <v/>
      </c>
      <c r="D117" s="6">
        <f t="shared" si="2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23"/>
        <v/>
      </c>
      <c r="D118" s="6">
        <f t="shared" si="2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23"/>
        <v/>
      </c>
      <c r="D119" s="6">
        <f t="shared" si="2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23"/>
        <v/>
      </c>
      <c r="D120" s="6">
        <f t="shared" si="2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23"/>
        <v/>
      </c>
      <c r="D121" s="6">
        <f t="shared" si="2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23"/>
        <v/>
      </c>
      <c r="D122" s="6">
        <f t="shared" si="2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23"/>
        <v/>
      </c>
      <c r="D123" s="6">
        <f t="shared" si="2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23"/>
        <v/>
      </c>
      <c r="D124" s="6">
        <f t="shared" si="2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23"/>
        <v/>
      </c>
      <c r="D125" s="6">
        <f t="shared" si="2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23"/>
        <v/>
      </c>
      <c r="D126" s="6">
        <f t="shared" si="2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23"/>
        <v/>
      </c>
      <c r="D127" s="6">
        <f t="shared" si="2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23"/>
        <v/>
      </c>
      <c r="D128" s="6">
        <f t="shared" si="2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23"/>
        <v/>
      </c>
      <c r="D129" s="6">
        <f t="shared" si="2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23"/>
        <v/>
      </c>
      <c r="D130" s="6">
        <f t="shared" ref="D130:D161" si="24"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5">IF(COUNTIF(I130:XFD130,"&gt;"&amp;0)=0,,(E130/F130)^(1/MIN(COUNTIF(I130:XFD130,"&gt;"&amp;0)-1,$F$1)))</f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23"/>
        <v/>
      </c>
      <c r="D131" s="6">
        <f t="shared" si="24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5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23"/>
        <v/>
      </c>
      <c r="D132" s="6">
        <f t="shared" si="24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5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ref="C133:C164" si="26">IF(H133="","",H133)</f>
        <v/>
      </c>
      <c r="D133" s="6">
        <f t="shared" si="24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5"/>
        <v>0</v>
      </c>
    </row>
    <row r="134" spans="1:7" x14ac:dyDescent="0.25">
      <c r="A134" s="9">
        <f t="shared" si="9"/>
        <v>133</v>
      </c>
      <c r="B134" s="9">
        <f t="array" ref="B134">IF(C134="",0,IF(OR(C134=Country_Comparison!$S$10:$S$29),1,0))</f>
        <v>0</v>
      </c>
      <c r="C134" s="9" t="str">
        <f t="shared" si="26"/>
        <v/>
      </c>
      <c r="D134" s="6">
        <f t="shared" si="24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5"/>
        <v>0</v>
      </c>
    </row>
    <row r="135" spans="1:7" x14ac:dyDescent="0.25">
      <c r="A135" s="9">
        <f t="shared" si="9"/>
        <v>134</v>
      </c>
      <c r="B135" s="9">
        <f t="array" ref="B135">IF(C135="",0,IF(OR(C135=Country_Comparison!$S$10:$S$29),1,0))</f>
        <v>0</v>
      </c>
      <c r="C135" s="9" t="str">
        <f t="shared" si="26"/>
        <v/>
      </c>
      <c r="D135" s="6">
        <f t="shared" si="24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5"/>
        <v>0</v>
      </c>
    </row>
    <row r="136" spans="1:7" x14ac:dyDescent="0.25">
      <c r="A136" s="9">
        <f t="shared" si="9"/>
        <v>135</v>
      </c>
      <c r="B136" s="9">
        <f t="array" ref="B136">IF(C136="",0,IF(OR(C136=Country_Comparison!$S$10:$S$29),1,0))</f>
        <v>0</v>
      </c>
      <c r="C136" s="9" t="str">
        <f t="shared" si="26"/>
        <v/>
      </c>
      <c r="D136" s="6">
        <f t="shared" si="24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5"/>
        <v>0</v>
      </c>
    </row>
    <row r="137" spans="1:7" x14ac:dyDescent="0.25">
      <c r="A137" s="9">
        <f t="shared" si="9"/>
        <v>136</v>
      </c>
      <c r="B137" s="9">
        <f t="array" ref="B137">IF(C137="",0,IF(OR(C137=Country_Comparison!$S$10:$S$29),1,0))</f>
        <v>0</v>
      </c>
      <c r="C137" s="9" t="str">
        <f t="shared" si="26"/>
        <v/>
      </c>
      <c r="D137" s="6">
        <f t="shared" si="24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5"/>
        <v>0</v>
      </c>
    </row>
    <row r="138" spans="1:7" x14ac:dyDescent="0.25">
      <c r="A138" s="9">
        <f t="shared" si="9"/>
        <v>137</v>
      </c>
      <c r="B138" s="9">
        <f t="array" ref="B138">IF(C138="",0,IF(OR(C138=Country_Comparison!$S$10:$S$29),1,0))</f>
        <v>0</v>
      </c>
      <c r="C138" s="9" t="str">
        <f t="shared" si="26"/>
        <v/>
      </c>
      <c r="D138" s="6">
        <f t="shared" si="24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5"/>
        <v>0</v>
      </c>
    </row>
    <row r="139" spans="1:7" x14ac:dyDescent="0.25">
      <c r="A139" s="9">
        <f t="shared" si="9"/>
        <v>138</v>
      </c>
      <c r="B139" s="9">
        <f t="array" ref="B139">IF(C139="",0,IF(OR(C139=Country_Comparison!$S$10:$S$29),1,0))</f>
        <v>0</v>
      </c>
      <c r="C139" s="9" t="str">
        <f t="shared" si="26"/>
        <v/>
      </c>
      <c r="D139" s="6">
        <f t="shared" si="24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5"/>
        <v>0</v>
      </c>
    </row>
    <row r="140" spans="1:7" x14ac:dyDescent="0.25">
      <c r="A140" s="9">
        <f t="shared" si="9"/>
        <v>139</v>
      </c>
      <c r="B140" s="9">
        <f t="array" ref="B140">IF(C140="",0,IF(OR(C140=Country_Comparison!$S$10:$S$29),1,0))</f>
        <v>0</v>
      </c>
      <c r="C140" s="9" t="str">
        <f t="shared" si="26"/>
        <v/>
      </c>
      <c r="D140" s="6">
        <f t="shared" si="24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5"/>
        <v>0</v>
      </c>
    </row>
    <row r="141" spans="1:7" x14ac:dyDescent="0.25">
      <c r="A141" s="9">
        <f t="shared" si="9"/>
        <v>140</v>
      </c>
      <c r="B141" s="9">
        <f t="array" ref="B141">IF(C141="",0,IF(OR(C141=Country_Comparison!$S$10:$S$29),1,0))</f>
        <v>0</v>
      </c>
      <c r="C141" s="9" t="str">
        <f t="shared" si="26"/>
        <v/>
      </c>
      <c r="D141" s="6">
        <f t="shared" si="24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5"/>
        <v>0</v>
      </c>
    </row>
    <row r="142" spans="1:7" x14ac:dyDescent="0.25">
      <c r="A142" s="9">
        <f t="shared" si="9"/>
        <v>141</v>
      </c>
      <c r="B142" s="9">
        <f t="array" ref="B142">IF(C142="",0,IF(OR(C142=Country_Comparison!$S$10:$S$29),1,0))</f>
        <v>0</v>
      </c>
      <c r="C142" s="9" t="str">
        <f t="shared" si="26"/>
        <v/>
      </c>
      <c r="D142" s="6">
        <f t="shared" si="24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5"/>
        <v>0</v>
      </c>
    </row>
    <row r="143" spans="1:7" x14ac:dyDescent="0.25">
      <c r="A143" s="9">
        <f t="shared" si="9"/>
        <v>142</v>
      </c>
      <c r="B143" s="9">
        <f t="array" ref="B143">IF(C143="",0,IF(OR(C143=Country_Comparison!$S$10:$S$29),1,0))</f>
        <v>0</v>
      </c>
      <c r="C143" s="9" t="str">
        <f t="shared" si="26"/>
        <v/>
      </c>
      <c r="D143" s="6">
        <f t="shared" si="24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5"/>
        <v>0</v>
      </c>
    </row>
    <row r="144" spans="1:7" x14ac:dyDescent="0.25">
      <c r="A144" s="9">
        <f t="shared" si="9"/>
        <v>143</v>
      </c>
      <c r="B144" s="9">
        <f t="array" ref="B144">IF(C144="",0,IF(OR(C144=Country_Comparison!$S$10:$S$29),1,0))</f>
        <v>0</v>
      </c>
      <c r="C144" s="9" t="str">
        <f t="shared" si="26"/>
        <v/>
      </c>
      <c r="D144" s="6">
        <f t="shared" si="24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5"/>
        <v>0</v>
      </c>
    </row>
    <row r="145" spans="1:7" x14ac:dyDescent="0.25">
      <c r="A145" s="9">
        <f t="shared" si="9"/>
        <v>144</v>
      </c>
      <c r="B145" s="9">
        <f t="array" ref="B145">IF(C145="",0,IF(OR(C145=Country_Comparison!$S$10:$S$29),1,0))</f>
        <v>0</v>
      </c>
      <c r="C145" s="9" t="str">
        <f t="shared" si="26"/>
        <v/>
      </c>
      <c r="D145" s="6">
        <f t="shared" si="24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5"/>
        <v>0</v>
      </c>
    </row>
    <row r="146" spans="1:7" x14ac:dyDescent="0.25">
      <c r="A146" s="9">
        <f t="shared" si="9"/>
        <v>145</v>
      </c>
      <c r="B146" s="9">
        <f t="array" ref="B146">IF(C146="",0,IF(OR(C146=Country_Comparison!$S$10:$S$29),1,0))</f>
        <v>0</v>
      </c>
      <c r="C146" s="9" t="str">
        <f t="shared" si="26"/>
        <v/>
      </c>
      <c r="D146" s="6">
        <f t="shared" si="24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5"/>
        <v>0</v>
      </c>
    </row>
    <row r="147" spans="1:7" x14ac:dyDescent="0.25">
      <c r="A147" s="9">
        <f t="shared" si="9"/>
        <v>146</v>
      </c>
      <c r="B147" s="9">
        <f t="array" ref="B147">IF(C147="",0,IF(OR(C147=Country_Comparison!$S$10:$S$29),1,0))</f>
        <v>0</v>
      </c>
      <c r="C147" s="9" t="str">
        <f t="shared" si="26"/>
        <v/>
      </c>
      <c r="D147" s="6">
        <f t="shared" si="24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5"/>
        <v>0</v>
      </c>
    </row>
    <row r="148" spans="1:7" x14ac:dyDescent="0.25">
      <c r="A148" s="9">
        <f t="shared" si="9"/>
        <v>147</v>
      </c>
      <c r="B148" s="9">
        <f t="array" ref="B148">IF(C148="",0,IF(OR(C148=Country_Comparison!$S$10:$S$29),1,0))</f>
        <v>0</v>
      </c>
      <c r="C148" s="9" t="str">
        <f t="shared" si="26"/>
        <v/>
      </c>
      <c r="D148" s="6">
        <f t="shared" si="24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5"/>
        <v>0</v>
      </c>
    </row>
    <row r="149" spans="1:7" x14ac:dyDescent="0.25">
      <c r="A149" s="9">
        <f t="shared" si="9"/>
        <v>148</v>
      </c>
      <c r="B149" s="9">
        <f t="array" ref="B149">IF(C149="",0,IF(OR(C149=Country_Comparison!$S$10:$S$29),1,0))</f>
        <v>0</v>
      </c>
      <c r="C149" s="9" t="str">
        <f t="shared" si="26"/>
        <v/>
      </c>
      <c r="D149" s="6">
        <f t="shared" si="24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5"/>
        <v>0</v>
      </c>
    </row>
    <row r="150" spans="1:7" x14ac:dyDescent="0.25">
      <c r="A150" s="9">
        <f t="shared" si="9"/>
        <v>149</v>
      </c>
      <c r="B150" s="9">
        <f t="array" ref="B150">IF(C150="",0,IF(OR(C150=Country_Comparison!$S$10:$S$29),1,0))</f>
        <v>0</v>
      </c>
      <c r="C150" s="9" t="str">
        <f t="shared" si="26"/>
        <v/>
      </c>
      <c r="D150" s="6">
        <f t="shared" si="24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5"/>
        <v>0</v>
      </c>
    </row>
    <row r="151" spans="1:7" x14ac:dyDescent="0.25">
      <c r="A151" s="9">
        <f t="shared" si="9"/>
        <v>150</v>
      </c>
      <c r="B151" s="9">
        <f t="array" ref="B151">IF(C151="",0,IF(OR(C151=Country_Comparison!$S$10:$S$29),1,0))</f>
        <v>0</v>
      </c>
      <c r="C151" s="9" t="str">
        <f t="shared" si="26"/>
        <v/>
      </c>
      <c r="D151" s="6">
        <f t="shared" si="24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5"/>
        <v>0</v>
      </c>
    </row>
    <row r="152" spans="1:7" x14ac:dyDescent="0.25">
      <c r="A152" s="9">
        <f t="shared" si="9"/>
        <v>151</v>
      </c>
      <c r="B152" s="9">
        <f t="array" ref="B152">IF(C152="",0,IF(OR(C152=Country_Comparison!$S$10:$S$29),1,0))</f>
        <v>0</v>
      </c>
      <c r="C152" s="9" t="str">
        <f t="shared" si="26"/>
        <v/>
      </c>
      <c r="D152" s="6">
        <f t="shared" si="24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5"/>
        <v>0</v>
      </c>
    </row>
    <row r="153" spans="1:7" x14ac:dyDescent="0.25">
      <c r="A153" s="9">
        <f t="shared" si="9"/>
        <v>152</v>
      </c>
      <c r="B153" s="9">
        <f t="array" ref="B153">IF(C153="",0,IF(OR(C153=Country_Comparison!$S$10:$S$29),1,0))</f>
        <v>0</v>
      </c>
      <c r="C153" s="9" t="str">
        <f t="shared" si="26"/>
        <v/>
      </c>
      <c r="D153" s="6">
        <f t="shared" si="24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5"/>
        <v>0</v>
      </c>
    </row>
    <row r="154" spans="1:7" x14ac:dyDescent="0.25">
      <c r="A154" s="9">
        <f t="shared" si="9"/>
        <v>153</v>
      </c>
      <c r="B154" s="9">
        <f t="array" ref="B154">IF(C154="",0,IF(OR(C154=Country_Comparison!$S$10:$S$29),1,0))</f>
        <v>0</v>
      </c>
      <c r="C154" s="9" t="str">
        <f t="shared" si="26"/>
        <v/>
      </c>
      <c r="D154" s="6">
        <f t="shared" si="24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5"/>
        <v>0</v>
      </c>
    </row>
    <row r="155" spans="1:7" x14ac:dyDescent="0.25">
      <c r="A155" s="9">
        <f t="shared" si="9"/>
        <v>154</v>
      </c>
      <c r="B155" s="9">
        <f t="array" ref="B155">IF(C155="",0,IF(OR(C155=Country_Comparison!$S$10:$S$29),1,0))</f>
        <v>0</v>
      </c>
      <c r="C155" s="9" t="str">
        <f t="shared" si="26"/>
        <v/>
      </c>
      <c r="D155" s="6">
        <f t="shared" si="24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5"/>
        <v>0</v>
      </c>
    </row>
    <row r="156" spans="1:7" x14ac:dyDescent="0.25">
      <c r="A156" s="9">
        <f t="shared" si="9"/>
        <v>155</v>
      </c>
      <c r="B156" s="9">
        <f t="array" ref="B156">IF(C156="",0,IF(OR(C156=Country_Comparison!$S$10:$S$29),1,0))</f>
        <v>0</v>
      </c>
      <c r="C156" s="9" t="str">
        <f t="shared" si="26"/>
        <v/>
      </c>
      <c r="D156" s="6">
        <f t="shared" si="24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5"/>
        <v>0</v>
      </c>
    </row>
    <row r="157" spans="1:7" x14ac:dyDescent="0.25">
      <c r="A157" s="9">
        <f t="shared" si="9"/>
        <v>156</v>
      </c>
      <c r="B157" s="9">
        <f t="array" ref="B157">IF(C157="",0,IF(OR(C157=Country_Comparison!$S$10:$S$29),1,0))</f>
        <v>0</v>
      </c>
      <c r="C157" s="9" t="str">
        <f t="shared" si="26"/>
        <v/>
      </c>
      <c r="D157" s="6">
        <f t="shared" si="24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5"/>
        <v>0</v>
      </c>
    </row>
    <row r="158" spans="1:7" x14ac:dyDescent="0.25">
      <c r="A158" s="9">
        <f t="shared" si="9"/>
        <v>157</v>
      </c>
      <c r="B158" s="9">
        <f t="array" ref="B158">IF(C158="",0,IF(OR(C158=Country_Comparison!$S$10:$S$29),1,0))</f>
        <v>0</v>
      </c>
      <c r="C158" s="9" t="str">
        <f t="shared" si="26"/>
        <v/>
      </c>
      <c r="D158" s="6">
        <f t="shared" si="24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5"/>
        <v>0</v>
      </c>
    </row>
    <row r="159" spans="1:7" x14ac:dyDescent="0.25">
      <c r="A159" s="9">
        <f t="shared" si="9"/>
        <v>158</v>
      </c>
      <c r="B159" s="9">
        <f t="array" ref="B159">IF(C159="",0,IF(OR(C159=Country_Comparison!$S$10:$S$29),1,0))</f>
        <v>0</v>
      </c>
      <c r="C159" s="9" t="str">
        <f t="shared" si="26"/>
        <v/>
      </c>
      <c r="D159" s="6">
        <f t="shared" si="24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5"/>
        <v>0</v>
      </c>
    </row>
    <row r="160" spans="1:7" x14ac:dyDescent="0.25">
      <c r="A160" s="9">
        <f t="shared" si="9"/>
        <v>159</v>
      </c>
      <c r="B160" s="9">
        <f t="array" ref="B160">IF(C160="",0,IF(OR(C160=Country_Comparison!$S$10:$S$29),1,0))</f>
        <v>0</v>
      </c>
      <c r="C160" s="9" t="str">
        <f t="shared" si="26"/>
        <v/>
      </c>
      <c r="D160" s="6">
        <f t="shared" si="24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5"/>
        <v>0</v>
      </c>
    </row>
    <row r="161" spans="1:7" x14ac:dyDescent="0.25">
      <c r="A161" s="9">
        <f t="shared" si="9"/>
        <v>160</v>
      </c>
      <c r="B161" s="9">
        <f t="array" ref="B161">IF(C161="",0,IF(OR(C161=Country_Comparison!$S$10:$S$29),1,0))</f>
        <v>0</v>
      </c>
      <c r="C161" s="9" t="str">
        <f t="shared" si="26"/>
        <v/>
      </c>
      <c r="D161" s="6">
        <f t="shared" si="24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5"/>
        <v>0</v>
      </c>
    </row>
    <row r="162" spans="1:7" x14ac:dyDescent="0.25">
      <c r="A162" s="9">
        <f t="shared" si="9"/>
        <v>161</v>
      </c>
      <c r="B162" s="9">
        <f t="array" ref="B162">IF(C162="",0,IF(OR(C162=Country_Comparison!$S$10:$S$29),1,0))</f>
        <v>0</v>
      </c>
      <c r="C162" s="9" t="str">
        <f t="shared" si="26"/>
        <v/>
      </c>
      <c r="D162" s="6">
        <f t="shared" ref="D162:D193" si="27"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8">IF(COUNTIF(I162:XFD162,"&gt;"&amp;0)=0,,(E162/F162)^(1/MIN(COUNTIF(I162:XFD162,"&gt;"&amp;0)-1,$F$1)))</f>
        <v>0</v>
      </c>
    </row>
    <row r="163" spans="1:7" x14ac:dyDescent="0.25">
      <c r="A163" s="9">
        <f t="shared" si="9"/>
        <v>162</v>
      </c>
      <c r="B163" s="9">
        <f t="array" ref="B163">IF(C163="",0,IF(OR(C163=Country_Comparison!$S$10:$S$29),1,0))</f>
        <v>0</v>
      </c>
      <c r="C163" s="9" t="str">
        <f t="shared" si="26"/>
        <v/>
      </c>
      <c r="D163" s="6">
        <f t="shared" si="27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8"/>
        <v>0</v>
      </c>
    </row>
    <row r="164" spans="1:7" x14ac:dyDescent="0.25">
      <c r="A164" s="9">
        <f t="shared" si="9"/>
        <v>163</v>
      </c>
      <c r="B164" s="9">
        <f t="array" ref="B164">IF(C164="",0,IF(OR(C164=Country_Comparison!$S$10:$S$29),1,0))</f>
        <v>0</v>
      </c>
      <c r="C164" s="9" t="str">
        <f t="shared" si="26"/>
        <v/>
      </c>
      <c r="D164" s="6">
        <f t="shared" si="27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8"/>
        <v>0</v>
      </c>
    </row>
    <row r="165" spans="1:7" x14ac:dyDescent="0.25">
      <c r="A165" s="9">
        <f t="shared" si="9"/>
        <v>164</v>
      </c>
      <c r="B165" s="9">
        <f t="array" ref="B165">IF(C165="",0,IF(OR(C165=Country_Comparison!$S$10:$S$29),1,0))</f>
        <v>0</v>
      </c>
      <c r="C165" s="9" t="str">
        <f t="shared" ref="C165:C200" si="29">IF(H165="","",H165)</f>
        <v/>
      </c>
      <c r="D165" s="6">
        <f t="shared" si="27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8"/>
        <v>0</v>
      </c>
    </row>
    <row r="166" spans="1:7" x14ac:dyDescent="0.25">
      <c r="A166" s="9">
        <f t="shared" si="9"/>
        <v>165</v>
      </c>
      <c r="B166" s="9">
        <f t="array" ref="B166">IF(C166="",0,IF(OR(C166=Country_Comparison!$S$10:$S$29),1,0))</f>
        <v>0</v>
      </c>
      <c r="C166" s="9" t="str">
        <f t="shared" si="29"/>
        <v/>
      </c>
      <c r="D166" s="6">
        <f t="shared" si="27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8"/>
        <v>0</v>
      </c>
    </row>
    <row r="167" spans="1:7" x14ac:dyDescent="0.25">
      <c r="A167" s="9">
        <f t="shared" si="9"/>
        <v>166</v>
      </c>
      <c r="B167" s="9">
        <f t="array" ref="B167">IF(C167="",0,IF(OR(C167=Country_Comparison!$S$10:$S$29),1,0))</f>
        <v>0</v>
      </c>
      <c r="C167" s="9" t="str">
        <f t="shared" si="29"/>
        <v/>
      </c>
      <c r="D167" s="6">
        <f t="shared" si="27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8"/>
        <v>0</v>
      </c>
    </row>
    <row r="168" spans="1:7" x14ac:dyDescent="0.25">
      <c r="A168" s="9">
        <f t="shared" si="9"/>
        <v>167</v>
      </c>
      <c r="B168" s="9">
        <f t="array" ref="B168">IF(C168="",0,IF(OR(C168=Country_Comparison!$S$10:$S$29),1,0))</f>
        <v>0</v>
      </c>
      <c r="C168" s="9" t="str">
        <f t="shared" si="29"/>
        <v/>
      </c>
      <c r="D168" s="6">
        <f t="shared" si="27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8"/>
        <v>0</v>
      </c>
    </row>
    <row r="169" spans="1:7" x14ac:dyDescent="0.25">
      <c r="A169" s="9">
        <f t="shared" si="9"/>
        <v>168</v>
      </c>
      <c r="B169" s="9">
        <f t="array" ref="B169">IF(C169="",0,IF(OR(C169=Country_Comparison!$S$10:$S$29),1,0))</f>
        <v>0</v>
      </c>
      <c r="C169" s="9" t="str">
        <f t="shared" si="29"/>
        <v/>
      </c>
      <c r="D169" s="6">
        <f t="shared" si="27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8"/>
        <v>0</v>
      </c>
    </row>
    <row r="170" spans="1:7" x14ac:dyDescent="0.25">
      <c r="A170" s="9">
        <f t="shared" si="9"/>
        <v>169</v>
      </c>
      <c r="B170" s="9">
        <f t="array" ref="B170">IF(C170="",0,IF(OR(C170=Country_Comparison!$S$10:$S$29),1,0))</f>
        <v>0</v>
      </c>
      <c r="C170" s="9" t="str">
        <f t="shared" si="29"/>
        <v/>
      </c>
      <c r="D170" s="6">
        <f t="shared" si="27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8"/>
        <v>0</v>
      </c>
    </row>
    <row r="171" spans="1:7" x14ac:dyDescent="0.25">
      <c r="A171" s="9">
        <f t="shared" si="9"/>
        <v>170</v>
      </c>
      <c r="B171" s="9">
        <f t="array" ref="B171">IF(C171="",0,IF(OR(C171=Country_Comparison!$S$10:$S$29),1,0))</f>
        <v>0</v>
      </c>
      <c r="C171" s="9" t="str">
        <f t="shared" si="29"/>
        <v/>
      </c>
      <c r="D171" s="6">
        <f t="shared" si="27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8"/>
        <v>0</v>
      </c>
    </row>
    <row r="172" spans="1:7" x14ac:dyDescent="0.25">
      <c r="A172" s="9">
        <f t="shared" si="9"/>
        <v>171</v>
      </c>
      <c r="B172" s="9">
        <f t="array" ref="B172">IF(C172="",0,IF(OR(C172=Country_Comparison!$S$10:$S$29),1,0))</f>
        <v>0</v>
      </c>
      <c r="C172" s="9" t="str">
        <f t="shared" si="29"/>
        <v/>
      </c>
      <c r="D172" s="6">
        <f t="shared" si="27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8"/>
        <v>0</v>
      </c>
    </row>
    <row r="173" spans="1:7" x14ac:dyDescent="0.25">
      <c r="A173" s="9">
        <f t="shared" si="9"/>
        <v>172</v>
      </c>
      <c r="B173" s="9">
        <f t="array" ref="B173">IF(C173="",0,IF(OR(C173=Country_Comparison!$S$10:$S$29),1,0))</f>
        <v>0</v>
      </c>
      <c r="C173" s="9" t="str">
        <f t="shared" si="29"/>
        <v/>
      </c>
      <c r="D173" s="6">
        <f t="shared" si="27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8"/>
        <v>0</v>
      </c>
    </row>
    <row r="174" spans="1:7" x14ac:dyDescent="0.25">
      <c r="A174" s="9">
        <f t="shared" si="9"/>
        <v>173</v>
      </c>
      <c r="B174" s="9">
        <f t="array" ref="B174">IF(C174="",0,IF(OR(C174=Country_Comparison!$S$10:$S$29),1,0))</f>
        <v>0</v>
      </c>
      <c r="C174" s="9" t="str">
        <f t="shared" si="29"/>
        <v/>
      </c>
      <c r="D174" s="6">
        <f t="shared" si="27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8"/>
        <v>0</v>
      </c>
    </row>
    <row r="175" spans="1:7" x14ac:dyDescent="0.25">
      <c r="A175" s="9">
        <f t="shared" si="9"/>
        <v>174</v>
      </c>
      <c r="B175" s="9">
        <f t="array" ref="B175">IF(C175="",0,IF(OR(C175=Country_Comparison!$S$10:$S$29),1,0))</f>
        <v>0</v>
      </c>
      <c r="C175" s="9" t="str">
        <f t="shared" si="29"/>
        <v/>
      </c>
      <c r="D175" s="6">
        <f t="shared" si="27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8"/>
        <v>0</v>
      </c>
    </row>
    <row r="176" spans="1:7" x14ac:dyDescent="0.25">
      <c r="A176" s="9">
        <f t="shared" si="9"/>
        <v>175</v>
      </c>
      <c r="B176" s="9">
        <f t="array" ref="B176">IF(C176="",0,IF(OR(C176=Country_Comparison!$S$10:$S$29),1,0))</f>
        <v>0</v>
      </c>
      <c r="C176" s="9" t="str">
        <f t="shared" si="29"/>
        <v/>
      </c>
      <c r="D176" s="6">
        <f t="shared" si="27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8"/>
        <v>0</v>
      </c>
    </row>
    <row r="177" spans="1:7" x14ac:dyDescent="0.25">
      <c r="A177" s="9">
        <f t="shared" si="9"/>
        <v>176</v>
      </c>
      <c r="B177" s="9">
        <f t="array" ref="B177">IF(C177="",0,IF(OR(C177=Country_Comparison!$S$10:$S$29),1,0))</f>
        <v>0</v>
      </c>
      <c r="C177" s="9" t="str">
        <f t="shared" si="29"/>
        <v/>
      </c>
      <c r="D177" s="6">
        <f t="shared" si="27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8"/>
        <v>0</v>
      </c>
    </row>
    <row r="178" spans="1:7" x14ac:dyDescent="0.25">
      <c r="A178" s="9">
        <f t="shared" si="9"/>
        <v>177</v>
      </c>
      <c r="B178" s="9">
        <f t="array" ref="B178">IF(C178="",0,IF(OR(C178=Country_Comparison!$S$10:$S$29),1,0))</f>
        <v>0</v>
      </c>
      <c r="C178" s="9" t="str">
        <f t="shared" si="29"/>
        <v/>
      </c>
      <c r="D178" s="6">
        <f t="shared" si="27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8"/>
        <v>0</v>
      </c>
    </row>
    <row r="179" spans="1:7" x14ac:dyDescent="0.25">
      <c r="A179" s="9">
        <f t="shared" si="9"/>
        <v>178</v>
      </c>
      <c r="B179" s="9">
        <f t="array" ref="B179">IF(C179="",0,IF(OR(C179=Country_Comparison!$S$10:$S$29),1,0))</f>
        <v>0</v>
      </c>
      <c r="C179" s="9" t="str">
        <f t="shared" si="29"/>
        <v/>
      </c>
      <c r="D179" s="6">
        <f t="shared" si="27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8"/>
        <v>0</v>
      </c>
    </row>
    <row r="180" spans="1:7" x14ac:dyDescent="0.25">
      <c r="A180" s="9">
        <f t="shared" si="9"/>
        <v>179</v>
      </c>
      <c r="B180" s="9">
        <f t="array" ref="B180">IF(C180="",0,IF(OR(C180=Country_Comparison!$S$10:$S$29),1,0))</f>
        <v>0</v>
      </c>
      <c r="C180" s="9" t="str">
        <f t="shared" si="29"/>
        <v/>
      </c>
      <c r="D180" s="6">
        <f t="shared" si="27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8"/>
        <v>0</v>
      </c>
    </row>
    <row r="181" spans="1:7" x14ac:dyDescent="0.25">
      <c r="A181" s="9">
        <f t="shared" si="9"/>
        <v>180</v>
      </c>
      <c r="B181" s="9">
        <f t="array" ref="B181">IF(C181="",0,IF(OR(C181=Country_Comparison!$S$10:$S$29),1,0))</f>
        <v>0</v>
      </c>
      <c r="C181" s="9" t="str">
        <f t="shared" si="29"/>
        <v/>
      </c>
      <c r="D181" s="6">
        <f t="shared" si="27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8"/>
        <v>0</v>
      </c>
    </row>
    <row r="182" spans="1:7" x14ac:dyDescent="0.25">
      <c r="A182" s="9">
        <f t="shared" si="9"/>
        <v>181</v>
      </c>
      <c r="B182" s="9">
        <f t="array" ref="B182">IF(C182="",0,IF(OR(C182=Country_Comparison!$S$10:$S$29),1,0))</f>
        <v>0</v>
      </c>
      <c r="C182" s="9" t="str">
        <f t="shared" si="29"/>
        <v/>
      </c>
      <c r="D182" s="6">
        <f t="shared" si="27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8"/>
        <v>0</v>
      </c>
    </row>
    <row r="183" spans="1:7" x14ac:dyDescent="0.25">
      <c r="A183" s="9">
        <f t="shared" si="9"/>
        <v>182</v>
      </c>
      <c r="B183" s="9">
        <f t="array" ref="B183">IF(C183="",0,IF(OR(C183=Country_Comparison!$S$10:$S$29),1,0))</f>
        <v>0</v>
      </c>
      <c r="C183" s="9" t="str">
        <f t="shared" si="29"/>
        <v/>
      </c>
      <c r="D183" s="6">
        <f t="shared" si="27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8"/>
        <v>0</v>
      </c>
    </row>
    <row r="184" spans="1:7" x14ac:dyDescent="0.25">
      <c r="A184" s="9">
        <f t="shared" si="9"/>
        <v>183</v>
      </c>
      <c r="B184" s="9">
        <f t="array" ref="B184">IF(C184="",0,IF(OR(C184=Country_Comparison!$S$10:$S$29),1,0))</f>
        <v>0</v>
      </c>
      <c r="C184" s="9" t="str">
        <f t="shared" si="29"/>
        <v/>
      </c>
      <c r="D184" s="6">
        <f t="shared" si="27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8"/>
        <v>0</v>
      </c>
    </row>
    <row r="185" spans="1:7" x14ac:dyDescent="0.25">
      <c r="A185" s="9">
        <f t="shared" si="9"/>
        <v>184</v>
      </c>
      <c r="B185" s="9">
        <f t="array" ref="B185">IF(C185="",0,IF(OR(C185=Country_Comparison!$S$10:$S$29),1,0))</f>
        <v>0</v>
      </c>
      <c r="C185" s="9" t="str">
        <f t="shared" si="29"/>
        <v/>
      </c>
      <c r="D185" s="6">
        <f t="shared" si="27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8"/>
        <v>0</v>
      </c>
    </row>
    <row r="186" spans="1:7" x14ac:dyDescent="0.25">
      <c r="A186" s="9">
        <f t="shared" si="9"/>
        <v>185</v>
      </c>
      <c r="B186" s="9">
        <f t="array" ref="B186">IF(C186="",0,IF(OR(C186=Country_Comparison!$S$10:$S$29),1,0))</f>
        <v>0</v>
      </c>
      <c r="C186" s="9" t="str">
        <f t="shared" si="29"/>
        <v/>
      </c>
      <c r="D186" s="6">
        <f t="shared" si="27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8"/>
        <v>0</v>
      </c>
    </row>
    <row r="187" spans="1:7" x14ac:dyDescent="0.25">
      <c r="A187" s="9">
        <f t="shared" si="9"/>
        <v>186</v>
      </c>
      <c r="B187" s="9">
        <f t="array" ref="B187">IF(C187="",0,IF(OR(C187=Country_Comparison!$S$10:$S$29),1,0))</f>
        <v>0</v>
      </c>
      <c r="C187" s="9" t="str">
        <f t="shared" si="29"/>
        <v/>
      </c>
      <c r="D187" s="6">
        <f t="shared" si="27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8"/>
        <v>0</v>
      </c>
    </row>
    <row r="188" spans="1:7" x14ac:dyDescent="0.25">
      <c r="A188" s="9">
        <f t="shared" si="9"/>
        <v>187</v>
      </c>
      <c r="B188" s="9">
        <f t="array" ref="B188">IF(C188="",0,IF(OR(C188=Country_Comparison!$S$10:$S$29),1,0))</f>
        <v>0</v>
      </c>
      <c r="C188" s="9" t="str">
        <f t="shared" si="29"/>
        <v/>
      </c>
      <c r="D188" s="6">
        <f t="shared" si="27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8"/>
        <v>0</v>
      </c>
    </row>
    <row r="189" spans="1:7" x14ac:dyDescent="0.25">
      <c r="A189" s="9">
        <f t="shared" si="9"/>
        <v>188</v>
      </c>
      <c r="B189" s="9">
        <f t="array" ref="B189">IF(C189="",0,IF(OR(C189=Country_Comparison!$S$10:$S$29),1,0))</f>
        <v>0</v>
      </c>
      <c r="C189" s="9" t="str">
        <f t="shared" si="29"/>
        <v/>
      </c>
      <c r="D189" s="6">
        <f t="shared" si="27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8"/>
        <v>0</v>
      </c>
    </row>
    <row r="190" spans="1:7" x14ac:dyDescent="0.25">
      <c r="A190" s="9">
        <f t="shared" si="9"/>
        <v>189</v>
      </c>
      <c r="B190" s="9">
        <f t="array" ref="B190">IF(C190="",0,IF(OR(C190=Country_Comparison!$S$10:$S$29),1,0))</f>
        <v>0</v>
      </c>
      <c r="C190" s="9" t="str">
        <f t="shared" si="29"/>
        <v/>
      </c>
      <c r="D190" s="6">
        <f t="shared" si="27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8"/>
        <v>0</v>
      </c>
    </row>
    <row r="191" spans="1:7" x14ac:dyDescent="0.25">
      <c r="A191" s="9">
        <f t="shared" si="9"/>
        <v>190</v>
      </c>
      <c r="B191" s="9">
        <f t="array" ref="B191">IF(C191="",0,IF(OR(C191=Country_Comparison!$S$10:$S$29),1,0))</f>
        <v>0</v>
      </c>
      <c r="C191" s="9" t="str">
        <f t="shared" si="29"/>
        <v/>
      </c>
      <c r="D191" s="6">
        <f t="shared" si="27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8"/>
        <v>0</v>
      </c>
    </row>
    <row r="192" spans="1:7" x14ac:dyDescent="0.25">
      <c r="A192" s="9">
        <f t="shared" si="9"/>
        <v>191</v>
      </c>
      <c r="B192" s="9">
        <f t="array" ref="B192">IF(C192="",0,IF(OR(C192=Country_Comparison!$S$10:$S$29),1,0))</f>
        <v>0</v>
      </c>
      <c r="C192" s="9" t="str">
        <f t="shared" si="29"/>
        <v/>
      </c>
      <c r="D192" s="6">
        <f t="shared" si="27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8"/>
        <v>0</v>
      </c>
    </row>
    <row r="193" spans="1:7" x14ac:dyDescent="0.25">
      <c r="A193" s="9">
        <f t="shared" si="9"/>
        <v>192</v>
      </c>
      <c r="B193" s="9">
        <f t="array" ref="B193">IF(C193="",0,IF(OR(C193=Country_Comparison!$S$10:$S$29),1,0))</f>
        <v>0</v>
      </c>
      <c r="C193" s="9" t="str">
        <f t="shared" si="29"/>
        <v/>
      </c>
      <c r="D193" s="6">
        <f t="shared" si="27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8"/>
        <v>0</v>
      </c>
    </row>
    <row r="194" spans="1:7" x14ac:dyDescent="0.25">
      <c r="A194" s="9">
        <f t="shared" si="9"/>
        <v>193</v>
      </c>
      <c r="B194" s="9">
        <f t="array" ref="B194">IF(C194="",0,IF(OR(C194=Country_Comparison!$S$10:$S$29),1,0))</f>
        <v>0</v>
      </c>
      <c r="C194" s="9" t="str">
        <f t="shared" si="29"/>
        <v/>
      </c>
      <c r="D194" s="6">
        <f t="shared" ref="D194:D200" si="30"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1">IF(COUNTIF(I194:XFD194,"&gt;"&amp;0)=0,,(E194/F194)^(1/MIN(COUNTIF(I194:XFD194,"&gt;"&amp;0)-1,$F$1)))</f>
        <v>0</v>
      </c>
    </row>
    <row r="195" spans="1:7" x14ac:dyDescent="0.25">
      <c r="A195" s="9">
        <f t="shared" si="9"/>
        <v>194</v>
      </c>
      <c r="B195" s="9">
        <f t="array" ref="B195">IF(C195="",0,IF(OR(C195=Country_Comparison!$S$10:$S$29),1,0))</f>
        <v>0</v>
      </c>
      <c r="C195" s="9" t="str">
        <f t="shared" si="29"/>
        <v/>
      </c>
      <c r="D195" s="6">
        <f t="shared" si="3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1"/>
        <v>0</v>
      </c>
    </row>
    <row r="196" spans="1:7" x14ac:dyDescent="0.25">
      <c r="A196" s="9">
        <f t="shared" si="9"/>
        <v>195</v>
      </c>
      <c r="B196" s="9">
        <f t="array" ref="B196">IF(C196="",0,IF(OR(C196=Country_Comparison!$S$10:$S$29),1,0))</f>
        <v>0</v>
      </c>
      <c r="C196" s="9" t="str">
        <f t="shared" si="29"/>
        <v/>
      </c>
      <c r="D196" s="6">
        <f t="shared" si="3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1"/>
        <v>0</v>
      </c>
    </row>
    <row r="197" spans="1:7" x14ac:dyDescent="0.25">
      <c r="A197" s="9">
        <f t="shared" si="9"/>
        <v>196</v>
      </c>
      <c r="B197" s="9">
        <f t="array" ref="B197">IF(C197="",0,IF(OR(C197=Country_Comparison!$S$10:$S$29),1,0))</f>
        <v>0</v>
      </c>
      <c r="C197" s="9" t="str">
        <f t="shared" si="29"/>
        <v/>
      </c>
      <c r="D197" s="6">
        <f t="shared" si="3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1"/>
        <v>0</v>
      </c>
    </row>
    <row r="198" spans="1:7" x14ac:dyDescent="0.25">
      <c r="A198" s="9">
        <f t="shared" si="9"/>
        <v>197</v>
      </c>
      <c r="B198" s="9">
        <f t="array" ref="B198">IF(C198="",0,IF(OR(C198=Country_Comparison!$S$10:$S$29),1,0))</f>
        <v>0</v>
      </c>
      <c r="C198" s="9" t="str">
        <f t="shared" si="29"/>
        <v/>
      </c>
      <c r="D198" s="6">
        <f t="shared" si="30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1"/>
        <v>0</v>
      </c>
    </row>
    <row r="199" spans="1:7" x14ac:dyDescent="0.25">
      <c r="A199" s="9">
        <f t="shared" si="9"/>
        <v>198</v>
      </c>
      <c r="B199" s="9">
        <f t="array" ref="B199">IF(C199="",0,IF(OR(C199=Country_Comparison!$S$10:$S$29),1,0))</f>
        <v>0</v>
      </c>
      <c r="C199" s="9" t="str">
        <f t="shared" si="29"/>
        <v/>
      </c>
      <c r="D199" s="6">
        <f t="shared" si="30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1"/>
        <v>0</v>
      </c>
    </row>
    <row r="200" spans="1:7" x14ac:dyDescent="0.25">
      <c r="A200" s="9">
        <f t="shared" si="9"/>
        <v>199</v>
      </c>
      <c r="B200" s="9">
        <f t="array" ref="B200">IF(C200="",0,IF(OR(C200=Country_Comparison!$S$10:$S$29),1,0))</f>
        <v>0</v>
      </c>
      <c r="C200" s="9" t="str">
        <f t="shared" si="29"/>
        <v/>
      </c>
      <c r="D200" s="6">
        <f t="shared" si="30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1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>
    <tabColor rgb="FFFFC000"/>
  </sheetPr>
  <dimension ref="A1:KU200"/>
  <sheetViews>
    <sheetView topLeftCell="AQ1" workbookViewId="0">
      <selection activeCell="I5" sqref="I5:BS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78310</v>
      </c>
      <c r="E5" s="6">
        <f>IF(COUNTIF(I5:XFD5,"&gt;"&amp;0)=0,,HLOOKUP(COUNTIF(I5:XFD5,"&gt;"&amp;0)-1,I$1:XFD5,A5+1,FALSE))</f>
        <v>78310</v>
      </c>
      <c r="F5" s="7">
        <f>IF(COUNTIF(I5:XFD5,"&gt;"&amp;0)=0,,HLOOKUP(COUNTIF(I5:XFD5,"&gt;"&amp;0)-MIN($F$1+1,COUNTIF(I5:XFD5,"&gt;"&amp;0)),I$1:XFD5,A5+1,FALSE))</f>
        <v>7372</v>
      </c>
      <c r="G5" s="8">
        <f t="shared" si="9"/>
        <v>1.6041551854386926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10">
        <v>37424</v>
      </c>
      <c r="AC5" s="10">
        <v>38638</v>
      </c>
      <c r="AD5" s="11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5799</v>
      </c>
      <c r="BR5" s="9">
        <v>5410</v>
      </c>
      <c r="BS5" s="9">
        <v>78310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62356</v>
      </c>
      <c r="E6" s="6">
        <f>IF(COUNTIF(I6:XFD6,"&gt;"&amp;0)=0,,HLOOKUP(COUNTIF(I6:XFD6,"&gt;"&amp;0)-1,I$1:XFD6,A6+1,FALSE))</f>
        <v>62356</v>
      </c>
      <c r="F6" s="7">
        <f>IF(COUNTIF(I6:XFD6,"&gt;"&amp;0)=0,,HLOOKUP(COUNTIF(I6:XFD6,"&gt;"&amp;0)-MIN($F$1+1,COUNTIF(I6:XFD6,"&gt;"&amp;0)),I$1:XFD6,A6+1,FALSE))</f>
        <v>33190</v>
      </c>
      <c r="G6" s="8">
        <f t="shared" ref="G6:G69" si="15">IF(COUNTIF(I6:XFD6,"&gt;"&amp;0)=0,,(E6/F6)^(1/MIN(COUNTIF(I6:XFD6,"&gt;"&amp;0)-1,$F$1)))</f>
        <v>1.1344208479088815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13052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  <c r="AL6" s="9">
        <v>50826</v>
      </c>
      <c r="AM6" s="9">
        <v>62356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22877</v>
      </c>
      <c r="E7" s="6">
        <f>IF(COUNTIF(I7:XFD7,"&gt;"&amp;0)=0,,HLOOKUP(COUNTIF(I7:XFD7,"&gt;"&amp;0)-1,I$1:XFD7,A7+1,FALSE))</f>
        <v>22877</v>
      </c>
      <c r="F7" s="7">
        <f>IF(COUNTIF(I7:XFD7,"&gt;"&amp;0)=0,,HLOOKUP(COUNTIF(I7:XFD7,"&gt;"&amp;0)-MIN($F$1+1,COUNTIF(I7:XFD7,"&gt;"&amp;0)),I$1:XFD7,A7+1,FALSE))</f>
        <v>11413</v>
      </c>
      <c r="G7" s="8">
        <f t="shared" si="15"/>
        <v>1.1492112028807644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  <c r="AI7" s="9">
        <v>13306</v>
      </c>
      <c r="AJ7" s="9">
        <v>22877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8917</v>
      </c>
      <c r="E8" s="6">
        <f>IF(COUNTIF(I8:XFD8,"&gt;"&amp;0)=0,,HLOOKUP(COUNTIF(I8:XFD8,"&gt;"&amp;0)-1,I$1:XFD8,A8+1,FALSE))</f>
        <v>8917</v>
      </c>
      <c r="F8" s="7">
        <f>IF(COUNTIF(I8:XFD8,"&gt;"&amp;0)=0,,HLOOKUP(COUNTIF(I8:XFD8,"&gt;"&amp;0)-MIN($F$1+1,COUNTIF(I8:XFD8,"&gt;"&amp;0)),I$1:XFD8,A8+1,FALSE))</f>
        <v>6934</v>
      </c>
      <c r="G8" s="8">
        <f t="shared" si="15"/>
        <v>1.0515913034137396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5941</v>
      </c>
      <c r="AO8" s="9">
        <v>5941</v>
      </c>
      <c r="AP8" s="9">
        <v>8917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37077</v>
      </c>
      <c r="E9" s="6">
        <f>IF(COUNTIF(I9:XFD9,"&gt;"&amp;0)=0,,HLOOKUP(COUNTIF(I9:XFD9,"&gt;"&amp;0)-1,I$1:XFD9,A9+1,FALSE))</f>
        <v>37077</v>
      </c>
      <c r="F9" s="7">
        <f>IF(COUNTIF(I9:XFD9,"&gt;"&amp;0)=0,,HLOOKUP(COUNTIF(I9:XFD9,"&gt;"&amp;0)-MIN($F$1+1,COUNTIF(I9:XFD9,"&gt;"&amp;0)),I$1:XFD9,A9+1,FALSE))</f>
        <v>16026</v>
      </c>
      <c r="G9" s="8">
        <f t="shared" si="15"/>
        <v>1.1826490566601839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2877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  <c r="AD9" s="9">
        <v>30250</v>
      </c>
      <c r="AE9" s="9">
        <v>37077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32829</v>
      </c>
      <c r="E10" s="6">
        <f>IF(COUNTIF(I10:XFD10,"&gt;"&amp;0)=0,,HLOOKUP(COUNTIF(I10:XFD10,"&gt;"&amp;0)-1,I$1:XFD10,A10+1,FALSE))</f>
        <v>32829</v>
      </c>
      <c r="F10" s="7">
        <f>IF(COUNTIF(I10:XFD10,"&gt;"&amp;0)=0,,HLOOKUP(COUNTIF(I10:XFD10,"&gt;"&amp;0)-MIN($F$1+1,COUNTIF(I10:XFD10,"&gt;"&amp;0)),I$1:XFD10,A10+1,FALSE))</f>
        <v>15163</v>
      </c>
      <c r="G10" s="8">
        <f t="shared" si="15"/>
        <v>1.1670635459918595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  <c r="AE10" s="9">
        <v>28667</v>
      </c>
      <c r="AF10" s="9">
        <v>32829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21520</v>
      </c>
      <c r="E11" s="6">
        <f>IF(COUNTIF(I11:XFD11,"&gt;"&amp;0)=0,,HLOOKUP(COUNTIF(I11:XFD11,"&gt;"&amp;0)-1,I$1:XFD11,A11+1,FALSE))</f>
        <v>21520</v>
      </c>
      <c r="F11" s="7">
        <f>IF(COUNTIF(I11:XFD11,"&gt;"&amp;0)=0,,HLOOKUP(COUNTIF(I11:XFD11,"&gt;"&amp;0)-MIN($F$1+1,COUNTIF(I11:XFD11,"&gt;"&amp;0)),I$1:XFD11,A11+1,FALSE))</f>
        <v>10586</v>
      </c>
      <c r="G11" s="8">
        <f t="shared" si="15"/>
        <v>1.1524499554830943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936</v>
      </c>
      <c r="Q11" s="9">
        <v>1105</v>
      </c>
      <c r="R11" s="9">
        <v>1188</v>
      </c>
      <c r="S11" s="9">
        <v>1749</v>
      </c>
      <c r="T11" s="9">
        <v>2233</v>
      </c>
      <c r="U11" s="9">
        <v>2233</v>
      </c>
      <c r="V11" s="9">
        <v>3590</v>
      </c>
      <c r="W11" s="9">
        <v>4393</v>
      </c>
      <c r="X11" s="9">
        <v>4429</v>
      </c>
      <c r="Y11" s="9">
        <v>6522</v>
      </c>
      <c r="Z11" s="9">
        <v>7528</v>
      </c>
      <c r="AA11" s="9">
        <v>8848</v>
      </c>
      <c r="AB11" s="9">
        <v>10586</v>
      </c>
      <c r="AC11" s="9">
        <v>12295</v>
      </c>
      <c r="AD11" s="9">
        <v>13888</v>
      </c>
      <c r="AE11" s="9">
        <v>13361</v>
      </c>
      <c r="AF11" s="9">
        <v>17061</v>
      </c>
      <c r="AG11" s="9">
        <v>21520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53034</v>
      </c>
      <c r="E12" s="6">
        <f>IF(COUNTIF(I12:XFD12,"&gt;"&amp;0)=0,,HLOOKUP(COUNTIF(I12:XFD12,"&gt;"&amp;0)-1,I$1:XFD12,A12+1,FALSE))</f>
        <v>53034</v>
      </c>
      <c r="F12" s="7">
        <f>IF(COUNTIF(I12:XFD12,"&gt;"&amp;0)=0,,HLOOKUP(COUNTIF(I12:XFD12,"&gt;"&amp;0)-MIN($F$1+1,COUNTIF(I12:XFD12,"&gt;"&amp;0)),I$1:XFD12,A12+1,FALSE))</f>
        <v>13477</v>
      </c>
      <c r="G12" s="8">
        <f t="shared" si="15"/>
        <v>1.3152013051843348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32859</v>
      </c>
      <c r="AC12" s="9">
        <v>43112</v>
      </c>
      <c r="AD12" s="9">
        <v>53034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9755</v>
      </c>
      <c r="E13" s="6">
        <f>IF(COUNTIF(I13:XFD13,"&gt;"&amp;0)=0,,HLOOKUP(COUNTIF(I13:XFD13,"&gt;"&amp;0)-1,I$1:XFD13,A13+1,FALSE))</f>
        <v>9755</v>
      </c>
      <c r="F13" s="7">
        <f>IF(COUNTIF(I13:XFD13,"&gt;"&amp;0)=0,,HLOOKUP(COUNTIF(I13:XFD13,"&gt;"&amp;0)-MIN($F$1+1,COUNTIF(I13:XFD13,"&gt;"&amp;0)),I$1:XFD13,A13+1,FALSE))</f>
        <v>4019</v>
      </c>
      <c r="G13" s="8">
        <f t="shared" si="15"/>
        <v>1.1940481869332504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7245</v>
      </c>
      <c r="AA13" s="9">
        <v>8544</v>
      </c>
      <c r="AB13" s="9">
        <v>9755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2851</v>
      </c>
      <c r="E14" s="6">
        <f>IF(COUNTIF(I14:XFD14,"&gt;"&amp;0)=0,,HLOOKUP(COUNTIF(I14:XFD14,"&gt;"&amp;0)-1,I$1:XFD14,A14+1,FALSE))</f>
        <v>2851</v>
      </c>
      <c r="F14" s="7">
        <f>IF(COUNTIF(I14:XFD14,"&gt;"&amp;0)=0,,HLOOKUP(COUNTIF(I14:XFD14,"&gt;"&amp;0)-MIN($F$1+1,COUNTIF(I14:XFD14,"&gt;"&amp;0)),I$1:XFD14,A14+1,FALSE))</f>
        <v>1738</v>
      </c>
      <c r="G14" s="8">
        <f t="shared" si="15"/>
        <v>1.1040518988937118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2377</v>
      </c>
      <c r="Z14" s="9">
        <v>2610</v>
      </c>
      <c r="AA14" s="9">
        <v>2851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2250</v>
      </c>
      <c r="E15" s="6">
        <f>IF(COUNTIF(I15:XFD15,"&gt;"&amp;0)=0,,HLOOKUP(COUNTIF(I15:XFD15,"&gt;"&amp;0)-1,I$1:XFD15,A15+1,FALSE))</f>
        <v>2250</v>
      </c>
      <c r="F15" s="7">
        <f>IF(COUNTIF(I15:XFD15,"&gt;"&amp;0)=0,,HLOOKUP(COUNTIF(I15:XFD15,"&gt;"&amp;0)-MIN($F$1+1,COUNTIF(I15:XFD15,"&gt;"&amp;0)),I$1:XFD15,A15+1,FALSE))</f>
        <v>1412</v>
      </c>
      <c r="G15" s="8">
        <f t="shared" si="15"/>
        <v>1.0976643623406772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  <c r="Z15" s="9">
        <v>2005</v>
      </c>
      <c r="AA15" s="9">
        <v>2250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1686</v>
      </c>
      <c r="E16" s="6">
        <f>IF(COUNTIF(I16:XFD16,"&gt;"&amp;0)=0,,HLOOKUP(COUNTIF(I16:XFD16,"&gt;"&amp;0)-1,I$1:XFD16,A16+1,FALSE))</f>
        <v>1686</v>
      </c>
      <c r="F16" s="7">
        <f>IF(COUNTIF(I16:XFD16,"&gt;"&amp;0)=0,,HLOOKUP(COUNTIF(I16:XFD16,"&gt;"&amp;0)-MIN($F$1+1,COUNTIF(I16:XFD16,"&gt;"&amp;0)),I$1:XFD16,A16+1,FALSE))</f>
        <v>1218</v>
      </c>
      <c r="G16" s="8">
        <f t="shared" si="15"/>
        <v>1.0671907600934498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  <c r="V16" s="9">
        <v>1547</v>
      </c>
      <c r="W16" s="9">
        <v>1686</v>
      </c>
    </row>
    <row r="17" spans="1:41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5303</v>
      </c>
      <c r="E17" s="6">
        <f>IF(COUNTIF(I17:XFD17,"&gt;"&amp;0)=0,,HLOOKUP(COUNTIF(I17:XFD17,"&gt;"&amp;0)-1,I$1:XFD17,A17+1,FALSE))</f>
        <v>5303</v>
      </c>
      <c r="F17" s="7">
        <f>IF(COUNTIF(I17:XFD17,"&gt;"&amp;0)=0,,HLOOKUP(COUNTIF(I17:XFD17,"&gt;"&amp;0)-MIN($F$1+1,COUNTIF(I17:XFD17,"&gt;"&amp;0)),I$1:XFD17,A17+1,FALSE))</f>
        <v>2388</v>
      </c>
      <c r="G17" s="8">
        <f t="shared" si="15"/>
        <v>1.1729985112922046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4035</v>
      </c>
      <c r="Z17" s="9">
        <v>4548</v>
      </c>
      <c r="AA17" s="9">
        <v>5303</v>
      </c>
    </row>
    <row r="18" spans="1:41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7741</v>
      </c>
      <c r="E18" s="6">
        <f>IF(COUNTIF(I18:XFD18,"&gt;"&amp;0)=0,,HLOOKUP(COUNTIF(I18:XFD18,"&gt;"&amp;0)-1,I$1:XFD18,A18+1,FALSE))</f>
        <v>7741</v>
      </c>
      <c r="F18" s="7">
        <f>IF(COUNTIF(I18:XFD18,"&gt;"&amp;0)=0,,HLOOKUP(COUNTIF(I18:XFD18,"&gt;"&amp;0)-MIN($F$1+1,COUNTIF(I18:XFD18,"&gt;"&amp;0)),I$1:XFD18,A18+1,FALSE))</f>
        <v>2511</v>
      </c>
      <c r="G18" s="8">
        <f t="shared" si="15"/>
        <v>1.2525355785600734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561</v>
      </c>
      <c r="Q18" s="9">
        <v>772</v>
      </c>
      <c r="R18" s="9">
        <v>1104</v>
      </c>
      <c r="S18" s="9">
        <v>1301</v>
      </c>
      <c r="T18" s="9">
        <v>1474</v>
      </c>
      <c r="U18" s="9">
        <v>1836</v>
      </c>
      <c r="V18" s="9">
        <v>2471</v>
      </c>
      <c r="W18" s="9">
        <v>2511</v>
      </c>
      <c r="X18" s="9">
        <v>3769</v>
      </c>
      <c r="Y18" s="9">
        <v>4766</v>
      </c>
      <c r="Z18" s="9">
        <v>5396</v>
      </c>
      <c r="AA18" s="9">
        <v>6323</v>
      </c>
      <c r="AB18" s="9">
        <v>7741</v>
      </c>
    </row>
    <row r="19" spans="1:41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1150</v>
      </c>
      <c r="E19" s="6">
        <f>IF(COUNTIF(I19:XFD19,"&gt;"&amp;0)=0,,HLOOKUP(COUNTIF(I19:XFD19,"&gt;"&amp;0)-1,I$1:XFD19,A19+1,FALSE))</f>
        <v>1150</v>
      </c>
      <c r="F19" s="7">
        <f>IF(COUNTIF(I19:XFD19,"&gt;"&amp;0)=0,,HLOOKUP(COUNTIF(I19:XFD19,"&gt;"&amp;0)-MIN($F$1+1,COUNTIF(I19:XFD19,"&gt;"&amp;0)),I$1:XFD19,A19+1,FALSE))</f>
        <v>745</v>
      </c>
      <c r="G19" s="8">
        <f t="shared" si="15"/>
        <v>1.0907075352829352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668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825</v>
      </c>
      <c r="AN19" s="9">
        <v>851</v>
      </c>
      <c r="AO19" s="9">
        <v>1150</v>
      </c>
    </row>
    <row r="20" spans="1:41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Belgium</v>
      </c>
      <c r="D20" s="6">
        <f t="shared" si="14"/>
        <v>4147</v>
      </c>
      <c r="E20" s="6">
        <f>IF(COUNTIF(I20:XFD20,"&gt;"&amp;0)=0,,HLOOKUP(COUNTIF(I20:XFD20,"&gt;"&amp;0)-1,I$1:XFD20,A20+1,FALSE))</f>
        <v>4147</v>
      </c>
      <c r="F20" s="7">
        <f>IF(COUNTIF(I20:XFD20,"&gt;"&amp;0)=0,,HLOOKUP(COUNTIF(I20:XFD20,"&gt;"&amp;0)-MIN($F$1+1,COUNTIF(I20:XFD20,"&gt;"&amp;0)),I$1:XFD20,A20+1,FALSE))</f>
        <v>1743</v>
      </c>
      <c r="G20" s="8">
        <f t="shared" si="15"/>
        <v>1.1892888018348933</v>
      </c>
      <c r="H20" s="13" t="s">
        <v>63</v>
      </c>
      <c r="I20" s="9">
        <v>108</v>
      </c>
      <c r="J20" s="9">
        <v>168</v>
      </c>
      <c r="K20" s="9">
        <v>199</v>
      </c>
      <c r="L20" s="9">
        <v>238</v>
      </c>
      <c r="M20" s="9">
        <v>266</v>
      </c>
      <c r="N20" s="9">
        <v>310</v>
      </c>
      <c r="O20" s="9">
        <v>310</v>
      </c>
      <c r="P20" s="9">
        <v>555</v>
      </c>
      <c r="Q20" s="9">
        <v>684</v>
      </c>
      <c r="R20" s="9">
        <v>881</v>
      </c>
      <c r="S20" s="9">
        <v>1052</v>
      </c>
      <c r="T20" s="9">
        <v>1232</v>
      </c>
      <c r="U20" s="9">
        <v>1441</v>
      </c>
      <c r="V20" s="9">
        <v>1743</v>
      </c>
      <c r="W20" s="9">
        <v>2219</v>
      </c>
      <c r="X20" s="9">
        <v>2485</v>
      </c>
      <c r="Y20" s="9">
        <v>3063</v>
      </c>
      <c r="Z20" s="9">
        <v>3392</v>
      </c>
      <c r="AA20" s="9">
        <v>4147</v>
      </c>
    </row>
    <row r="21" spans="1:41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Austria</v>
      </c>
      <c r="D21" s="6">
        <f t="shared" si="14"/>
        <v>5255</v>
      </c>
      <c r="E21" s="6">
        <f>IF(COUNTIF(I21:XFD21,"&gt;"&amp;0)=0,,HLOOKUP(COUNTIF(I21:XFD21,"&gt;"&amp;0)-1,I$1:XFD21,A21+1,FALSE))</f>
        <v>5255</v>
      </c>
      <c r="F21" s="7">
        <f>IF(COUNTIF(I21:XFD21,"&gt;"&amp;0)=0,,HLOOKUP(COUNTIF(I21:XFD21,"&gt;"&amp;0)-MIN($F$1+1,COUNTIF(I21:XFD21,"&gt;"&amp;0)),I$1:XFD21,A21+1,FALSE))</f>
        <v>1998</v>
      </c>
      <c r="G21" s="8">
        <f t="shared" si="15"/>
        <v>1.2133761305872626</v>
      </c>
      <c r="H21" s="13" t="s">
        <v>78</v>
      </c>
      <c r="I21" s="9">
        <v>104</v>
      </c>
      <c r="J21" s="9">
        <v>129</v>
      </c>
      <c r="K21" s="9">
        <v>178</v>
      </c>
      <c r="L21" s="9">
        <v>242</v>
      </c>
      <c r="M21" s="9">
        <v>297</v>
      </c>
      <c r="N21" s="9">
        <v>497</v>
      </c>
      <c r="O21" s="9">
        <v>648</v>
      </c>
      <c r="P21" s="9">
        <v>853</v>
      </c>
      <c r="Q21" s="9">
        <v>1009</v>
      </c>
      <c r="R21" s="9">
        <v>1328</v>
      </c>
      <c r="S21" s="9">
        <v>1633</v>
      </c>
      <c r="T21" s="9">
        <v>1998</v>
      </c>
      <c r="U21" s="9">
        <v>2373</v>
      </c>
      <c r="V21" s="9">
        <v>2797</v>
      </c>
      <c r="W21" s="9">
        <v>3557</v>
      </c>
      <c r="X21" s="9">
        <v>4444</v>
      </c>
      <c r="Y21" s="9">
        <v>5255</v>
      </c>
    </row>
    <row r="22" spans="1:41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Qatar</v>
      </c>
      <c r="D22" s="6">
        <f t="shared" si="14"/>
        <v>526</v>
      </c>
      <c r="E22" s="6">
        <f>IF(COUNTIF(I22:XFD22,"&gt;"&amp;0)=0,,HLOOKUP(COUNTIF(I22:XFD22,"&gt;"&amp;0)-1,I$1:XFD22,A22+1,FALSE))</f>
        <v>526</v>
      </c>
      <c r="F22" s="7">
        <f>IF(COUNTIF(I22:XFD22,"&gt;"&amp;0)=0,,HLOOKUP(COUNTIF(I22:XFD22,"&gt;"&amp;0)-MIN($F$1+1,COUNTIF(I22:XFD22,"&gt;"&amp;0)),I$1:XFD22,A22+1,FALSE))</f>
        <v>456</v>
      </c>
      <c r="G22" s="8">
        <f t="shared" si="15"/>
        <v>1.0289734766245795</v>
      </c>
      <c r="H22" s="13" t="s">
        <v>101</v>
      </c>
      <c r="I22" s="9">
        <v>262</v>
      </c>
      <c r="J22" s="9">
        <v>262</v>
      </c>
      <c r="K22" s="9">
        <v>320</v>
      </c>
      <c r="L22" s="9">
        <v>333</v>
      </c>
      <c r="M22" s="9">
        <v>397</v>
      </c>
      <c r="N22" s="9">
        <v>435</v>
      </c>
      <c r="O22" s="9">
        <v>435</v>
      </c>
      <c r="P22" s="9">
        <v>448</v>
      </c>
      <c r="Q22" s="9">
        <v>456</v>
      </c>
      <c r="R22" s="9">
        <v>460</v>
      </c>
      <c r="S22" s="9">
        <v>454</v>
      </c>
      <c r="T22" s="9">
        <v>461</v>
      </c>
      <c r="U22" s="9">
        <v>468</v>
      </c>
      <c r="V22" s="9">
        <v>526</v>
      </c>
    </row>
    <row r="23" spans="1:41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Australia</v>
      </c>
      <c r="D23" s="6">
        <f t="shared" si="14"/>
        <v>2036</v>
      </c>
      <c r="E23" s="6">
        <f>IF(COUNTIF(I23:XFD23,"&gt;"&amp;0)=0,,HLOOKUP(COUNTIF(I23:XFD23,"&gt;"&amp;0)-1,I$1:XFD23,A23+1,FALSE))</f>
        <v>2036</v>
      </c>
      <c r="F23" s="7">
        <f>IF(COUNTIF(I23:XFD23,"&gt;"&amp;0)=0,,HLOOKUP(COUNTIF(I23:XFD23,"&gt;"&amp;0)-MIN($F$1+1,COUNTIF(I23:XFD23,"&gt;"&amp;0)),I$1:XFD23,A23+1,FALSE))</f>
        <v>649</v>
      </c>
      <c r="G23" s="8">
        <f t="shared" si="15"/>
        <v>1.2569170439870103</v>
      </c>
      <c r="H23" s="13" t="s">
        <v>48</v>
      </c>
      <c r="I23" s="9">
        <v>83</v>
      </c>
      <c r="J23" s="9">
        <v>104</v>
      </c>
      <c r="K23" s="9">
        <v>104</v>
      </c>
      <c r="L23" s="9">
        <v>174</v>
      </c>
      <c r="M23" s="9">
        <v>224</v>
      </c>
      <c r="N23" s="9">
        <v>271</v>
      </c>
      <c r="O23" s="9">
        <v>351</v>
      </c>
      <c r="P23" s="9">
        <v>424</v>
      </c>
      <c r="Q23" s="9">
        <v>539</v>
      </c>
      <c r="R23" s="9">
        <v>649</v>
      </c>
      <c r="S23" s="9">
        <v>758</v>
      </c>
      <c r="T23" s="9">
        <v>1038</v>
      </c>
      <c r="U23" s="9">
        <v>1454</v>
      </c>
      <c r="V23" s="9">
        <v>1587</v>
      </c>
      <c r="W23" s="9">
        <v>2036</v>
      </c>
    </row>
    <row r="24" spans="1:41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Singapore</v>
      </c>
      <c r="D24" s="6">
        <f t="shared" si="14"/>
        <v>556</v>
      </c>
      <c r="E24" s="6">
        <f>IF(COUNTIF(I24:XFD24,"&gt;"&amp;0)=0,,HLOOKUP(COUNTIF(I24:XFD24,"&gt;"&amp;0)-1,I$1:XFD24,A24+1,FALSE))</f>
        <v>556</v>
      </c>
      <c r="F24" s="7">
        <f>IF(COUNTIF(I24:XFD24,"&gt;"&amp;0)=0,,HLOOKUP(COUNTIF(I24:XFD24,"&gt;"&amp;0)-MIN($F$1+1,COUNTIF(I24:XFD24,"&gt;"&amp;0)),I$1:XFD24,A24+1,FALSE))</f>
        <v>231</v>
      </c>
      <c r="G24" s="8">
        <f t="shared" si="15"/>
        <v>1.192044758178586</v>
      </c>
      <c r="H24" s="13" t="s">
        <v>40</v>
      </c>
      <c r="I24" s="9">
        <v>30</v>
      </c>
      <c r="J24" s="9">
        <v>34</v>
      </c>
      <c r="K24" s="9">
        <v>30</v>
      </c>
      <c r="L24" s="9">
        <v>32</v>
      </c>
      <c r="M24" s="9">
        <v>32</v>
      </c>
      <c r="N24" s="9">
        <v>39</v>
      </c>
      <c r="O24" s="9">
        <v>52</v>
      </c>
      <c r="P24" s="9">
        <v>60</v>
      </c>
      <c r="Q24" s="9">
        <v>72</v>
      </c>
      <c r="R24" s="9">
        <v>72</v>
      </c>
      <c r="S24" s="9">
        <v>82</v>
      </c>
      <c r="T24" s="9">
        <v>82</v>
      </c>
      <c r="U24" s="9">
        <v>82</v>
      </c>
      <c r="V24" s="9">
        <v>103</v>
      </c>
      <c r="W24" s="9">
        <v>107</v>
      </c>
      <c r="X24" s="9">
        <v>121</v>
      </c>
      <c r="Y24" s="9">
        <v>134</v>
      </c>
      <c r="Z24" s="9">
        <v>152</v>
      </c>
      <c r="AA24" s="9">
        <v>199</v>
      </c>
      <c r="AB24" s="9">
        <v>231</v>
      </c>
      <c r="AC24" s="9">
        <v>261</v>
      </c>
      <c r="AD24" s="9">
        <v>290</v>
      </c>
      <c r="AE24" s="9">
        <v>309</v>
      </c>
      <c r="AF24" s="9">
        <v>363</v>
      </c>
      <c r="AG24" s="9">
        <v>556</v>
      </c>
    </row>
    <row r="25" spans="1:41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Malaysia</v>
      </c>
      <c r="D25" s="6">
        <f t="shared" si="14"/>
        <v>1608</v>
      </c>
      <c r="E25" s="6">
        <f>IF(COUNTIF(I25:XFD25,"&gt;"&amp;0)=0,,HLOOKUP(COUNTIF(I25:XFD25,"&gt;"&amp;0)-1,I$1:XFD25,A25+1,FALSE))</f>
        <v>1608</v>
      </c>
      <c r="F25" s="7">
        <f>IF(COUNTIF(I25:XFD25,"&gt;"&amp;0)=0,,HLOOKUP(COUNTIF(I25:XFD25,"&gt;"&amp;0)-MIN($F$1+1,COUNTIF(I25:XFD25,"&gt;"&amp;0)),I$1:XFD25,A25+1,FALSE))</f>
        <v>823</v>
      </c>
      <c r="G25" s="8">
        <f t="shared" si="15"/>
        <v>1.1433448551073939</v>
      </c>
      <c r="H25" s="13" t="s">
        <v>43</v>
      </c>
      <c r="I25" s="9">
        <v>93</v>
      </c>
      <c r="J25" s="9">
        <v>105</v>
      </c>
      <c r="K25" s="9">
        <v>123</v>
      </c>
      <c r="L25" s="9">
        <v>123</v>
      </c>
      <c r="M25" s="9">
        <v>171</v>
      </c>
      <c r="N25" s="9">
        <v>203</v>
      </c>
      <c r="O25" s="9">
        <v>386</v>
      </c>
      <c r="P25" s="9">
        <v>524</v>
      </c>
      <c r="Q25" s="9">
        <v>622</v>
      </c>
      <c r="R25" s="9">
        <v>728</v>
      </c>
      <c r="S25" s="9">
        <v>823</v>
      </c>
      <c r="T25" s="9">
        <v>940</v>
      </c>
      <c r="U25" s="9">
        <v>1065</v>
      </c>
      <c r="V25" s="9">
        <v>1157</v>
      </c>
      <c r="W25" s="9">
        <v>1365</v>
      </c>
      <c r="X25" s="9">
        <v>1608</v>
      </c>
    </row>
    <row r="26" spans="1:41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Canada</v>
      </c>
      <c r="D26" s="6">
        <f t="shared" si="14"/>
        <v>2764</v>
      </c>
      <c r="E26" s="6">
        <f>IF(COUNTIF(I26:XFD26,"&gt;"&amp;0)=0,,HLOOKUP(COUNTIF(I26:XFD26,"&gt;"&amp;0)-1,I$1:XFD26,A26+1,FALSE))</f>
        <v>2764</v>
      </c>
      <c r="F26" s="7">
        <f>IF(COUNTIF(I26:XFD26,"&gt;"&amp;0)=0,,HLOOKUP(COUNTIF(I26:XFD26,"&gt;"&amp;0)-MIN($F$1+1,COUNTIF(I26:XFD26,"&gt;"&amp;0)),I$1:XFD26,A26+1,FALSE))</f>
        <v>782</v>
      </c>
      <c r="G26" s="8">
        <f t="shared" si="15"/>
        <v>1.2872599490962997</v>
      </c>
      <c r="H26" s="13" t="s">
        <v>45</v>
      </c>
      <c r="I26" s="9">
        <v>99</v>
      </c>
      <c r="J26" s="9">
        <v>108</v>
      </c>
      <c r="K26" s="9">
        <v>184</v>
      </c>
      <c r="L26" s="9">
        <v>189</v>
      </c>
      <c r="M26" s="9">
        <v>243</v>
      </c>
      <c r="N26" s="9">
        <v>402</v>
      </c>
      <c r="O26" s="9">
        <v>464</v>
      </c>
      <c r="P26" s="9">
        <v>640</v>
      </c>
      <c r="Q26" s="9">
        <v>782</v>
      </c>
      <c r="R26" s="9">
        <v>922</v>
      </c>
      <c r="S26" s="9">
        <v>1248</v>
      </c>
      <c r="T26" s="9">
        <v>1438</v>
      </c>
      <c r="U26" s="9">
        <v>2053</v>
      </c>
      <c r="V26" s="9">
        <v>2764</v>
      </c>
    </row>
    <row r="27" spans="1:41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Greece</v>
      </c>
      <c r="D27" s="6">
        <f t="shared" si="14"/>
        <v>723</v>
      </c>
      <c r="E27" s="6">
        <f>IF(COUNTIF(I27:XFD27,"&gt;"&amp;0)=0,,HLOOKUP(COUNTIF(I27:XFD27,"&gt;"&amp;0)-1,I$1:XFD27,A27+1,FALSE))</f>
        <v>723</v>
      </c>
      <c r="F27" s="7">
        <f>IF(COUNTIF(I27:XFD27,"&gt;"&amp;0)=0,,HLOOKUP(COUNTIF(I27:XFD27,"&gt;"&amp;0)-MIN($F$1+1,COUNTIF(I27:XFD27,"&gt;"&amp;0)),I$1:XFD27,A27+1,FALSE))</f>
        <v>404</v>
      </c>
      <c r="G27" s="8">
        <f t="shared" si="15"/>
        <v>1.1234438895377128</v>
      </c>
      <c r="H27" s="13" t="s">
        <v>83</v>
      </c>
      <c r="I27" s="9">
        <v>189</v>
      </c>
      <c r="J27" s="9">
        <v>217</v>
      </c>
      <c r="K27" s="9">
        <v>319</v>
      </c>
      <c r="L27" s="9">
        <v>319</v>
      </c>
      <c r="M27" s="9">
        <v>374</v>
      </c>
      <c r="N27" s="9">
        <v>405</v>
      </c>
      <c r="O27" s="9">
        <v>404</v>
      </c>
      <c r="P27" s="9">
        <v>470</v>
      </c>
      <c r="Q27" s="9">
        <v>498</v>
      </c>
      <c r="R27" s="9">
        <v>590</v>
      </c>
      <c r="S27" s="9">
        <v>659</v>
      </c>
      <c r="T27" s="9">
        <v>723</v>
      </c>
    </row>
    <row r="28" spans="1:41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Bahrain</v>
      </c>
      <c r="D28" s="6">
        <f t="shared" si="14"/>
        <v>389</v>
      </c>
      <c r="E28" s="6">
        <f>IF(COUNTIF(I28:XFD28,"&gt;"&amp;0)=0,,HLOOKUP(COUNTIF(I28:XFD28,"&gt;"&amp;0)-1,I$1:XFD28,A28+1,FALSE))</f>
        <v>389</v>
      </c>
      <c r="F28" s="7">
        <f>IF(COUNTIF(I28:XFD28,"&gt;"&amp;0)=0,,HLOOKUP(COUNTIF(I28:XFD28,"&gt;"&amp;0)-MIN($F$1+1,COUNTIF(I28:XFD28,"&gt;"&amp;0)),I$1:XFD28,A28+1,FALSE))</f>
        <v>177</v>
      </c>
      <c r="G28" s="8">
        <f t="shared" si="15"/>
        <v>1.1705642789063393</v>
      </c>
      <c r="H28" s="13" t="s">
        <v>73</v>
      </c>
      <c r="I28" s="9">
        <v>88</v>
      </c>
      <c r="J28" s="9">
        <v>160</v>
      </c>
      <c r="K28" s="9">
        <v>160</v>
      </c>
      <c r="L28" s="9">
        <v>151</v>
      </c>
      <c r="M28" s="9">
        <v>166</v>
      </c>
      <c r="N28" s="9">
        <v>154</v>
      </c>
      <c r="O28" s="9">
        <v>136</v>
      </c>
      <c r="P28" s="9">
        <v>146</v>
      </c>
      <c r="Q28" s="9">
        <v>167</v>
      </c>
      <c r="R28" s="9">
        <v>177</v>
      </c>
      <c r="S28" s="9">
        <v>184</v>
      </c>
      <c r="T28" s="9">
        <v>179</v>
      </c>
      <c r="U28" s="9">
        <v>183</v>
      </c>
      <c r="V28" s="9">
        <v>226</v>
      </c>
      <c r="W28" s="9">
        <v>389</v>
      </c>
    </row>
    <row r="29" spans="1:41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Israel</v>
      </c>
      <c r="D29" s="6">
        <f t="shared" si="14"/>
        <v>1927</v>
      </c>
      <c r="E29" s="6">
        <f>IF(COUNTIF(I29:XFD29,"&gt;"&amp;0)=0,,HLOOKUP(COUNTIF(I29:XFD29,"&gt;"&amp;0)-1,I$1:XFD29,A29+1,FALSE))</f>
        <v>1927</v>
      </c>
      <c r="F29" s="7">
        <f>IF(COUNTIF(I29:XFD29,"&gt;"&amp;0)=0,,HLOOKUP(COUNTIF(I29:XFD29,"&gt;"&amp;0)-MIN($F$1+1,COUNTIF(I29:XFD29,"&gt;"&amp;0)),I$1:XFD29,A29+1,FALSE))</f>
        <v>666</v>
      </c>
      <c r="G29" s="8">
        <f t="shared" si="15"/>
        <v>1.2367487984350261</v>
      </c>
      <c r="H29" s="13" t="s">
        <v>79</v>
      </c>
      <c r="I29" s="9">
        <v>105</v>
      </c>
      <c r="J29" s="9">
        <v>127</v>
      </c>
      <c r="K29" s="9">
        <v>157</v>
      </c>
      <c r="L29" s="9">
        <v>189</v>
      </c>
      <c r="M29" s="9">
        <v>247</v>
      </c>
      <c r="N29" s="9">
        <v>251</v>
      </c>
      <c r="O29" s="9">
        <v>326</v>
      </c>
      <c r="P29" s="9">
        <v>422</v>
      </c>
      <c r="Q29" s="9">
        <v>666</v>
      </c>
      <c r="R29" s="9">
        <v>691</v>
      </c>
      <c r="S29" s="9">
        <v>846</v>
      </c>
      <c r="T29" s="9">
        <v>1033</v>
      </c>
      <c r="U29" s="9">
        <v>1404</v>
      </c>
      <c r="V29" s="9">
        <v>1927</v>
      </c>
    </row>
    <row r="30" spans="1:41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Finland</v>
      </c>
      <c r="D30" s="6">
        <f t="shared" si="14"/>
        <v>791</v>
      </c>
      <c r="E30" s="6">
        <f>IF(COUNTIF(I30:XFD30,"&gt;"&amp;0)=0,,HLOOKUP(COUNTIF(I30:XFD30,"&gt;"&amp;0)-1,I$1:XFD30,A30+1,FALSE))</f>
        <v>791</v>
      </c>
      <c r="F30" s="7">
        <f>IF(COUNTIF(I30:XFD30,"&gt;"&amp;0)=0,,HLOOKUP(COUNTIF(I30:XFD30,"&gt;"&amp;0)-MIN($F$1+1,COUNTIF(I30:XFD30,"&gt;"&amp;0)),I$1:XFD30,A30+1,FALSE))</f>
        <v>390</v>
      </c>
      <c r="G30" s="8">
        <f t="shared" si="15"/>
        <v>1.1519201501077583</v>
      </c>
      <c r="H30" s="13" t="s">
        <v>54</v>
      </c>
      <c r="I30" s="9">
        <v>154</v>
      </c>
      <c r="J30" s="9">
        <v>224</v>
      </c>
      <c r="K30" s="9">
        <v>234</v>
      </c>
      <c r="L30" s="9">
        <v>267</v>
      </c>
      <c r="M30" s="9">
        <v>311</v>
      </c>
      <c r="N30" s="9">
        <v>326</v>
      </c>
      <c r="O30" s="9">
        <v>390</v>
      </c>
      <c r="P30" s="9">
        <v>440</v>
      </c>
      <c r="Q30" s="9">
        <v>512</v>
      </c>
      <c r="R30" s="9">
        <v>615</v>
      </c>
      <c r="S30" s="9">
        <v>689</v>
      </c>
      <c r="T30" s="9">
        <v>791</v>
      </c>
    </row>
    <row r="31" spans="1:41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Brazil</v>
      </c>
      <c r="D31" s="6">
        <f t="shared" si="14"/>
        <v>2201</v>
      </c>
      <c r="E31" s="6">
        <f>IF(COUNTIF(I31:XFD31,"&gt;"&amp;0)=0,,HLOOKUP(COUNTIF(I31:XFD31,"&gt;"&amp;0)-1,I$1:XFD31,A31+1,FALSE))</f>
        <v>2201</v>
      </c>
      <c r="F31" s="7">
        <f>IF(COUNTIF(I31:XFD31,"&gt;"&amp;0)=0,,HLOOKUP(COUNTIF(I31:XFD31,"&gt;"&amp;0)-MIN($F$1+1,COUNTIF(I31:XFD31,"&gt;"&amp;0)),I$1:XFD31,A31+1,FALSE))</f>
        <v>613</v>
      </c>
      <c r="G31" s="8">
        <f t="shared" si="15"/>
        <v>1.2913141607931469</v>
      </c>
      <c r="H31" s="13" t="s">
        <v>81</v>
      </c>
      <c r="I31" s="9">
        <v>151</v>
      </c>
      <c r="J31" s="9">
        <v>151</v>
      </c>
      <c r="K31" s="9">
        <v>162</v>
      </c>
      <c r="L31" s="9">
        <v>199</v>
      </c>
      <c r="M31" s="9">
        <v>318</v>
      </c>
      <c r="N31" s="9">
        <v>367</v>
      </c>
      <c r="O31" s="9">
        <v>613</v>
      </c>
      <c r="P31" s="9">
        <v>780</v>
      </c>
      <c r="Q31" s="9">
        <v>1004</v>
      </c>
      <c r="R31" s="9">
        <v>1519</v>
      </c>
      <c r="S31" s="9">
        <v>1888</v>
      </c>
      <c r="T31" s="9">
        <v>2201</v>
      </c>
    </row>
    <row r="32" spans="1:41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Czechia</v>
      </c>
      <c r="D32" s="6">
        <f t="shared" si="14"/>
        <v>1391</v>
      </c>
      <c r="E32" s="6">
        <f>IF(COUNTIF(I32:XFD32,"&gt;"&amp;0)=0,,HLOOKUP(COUNTIF(I32:XFD32,"&gt;"&amp;0)-1,I$1:XFD32,A32+1,FALSE))</f>
        <v>1391</v>
      </c>
      <c r="F32" s="7">
        <f>IF(COUNTIF(I32:XFD32,"&gt;"&amp;0)=0,,HLOOKUP(COUNTIF(I32:XFD32,"&gt;"&amp;0)-MIN($F$1+1,COUNTIF(I32:XFD32,"&gt;"&amp;0)),I$1:XFD32,A32+1,FALSE))</f>
        <v>691</v>
      </c>
      <c r="G32" s="8">
        <f t="shared" si="15"/>
        <v>1.1501906067387062</v>
      </c>
      <c r="H32" s="13" t="s">
        <v>341</v>
      </c>
      <c r="I32" s="9">
        <v>141</v>
      </c>
      <c r="J32" s="9">
        <v>189</v>
      </c>
      <c r="K32" s="9">
        <v>253</v>
      </c>
      <c r="L32" s="9">
        <v>295</v>
      </c>
      <c r="M32" s="9">
        <v>393</v>
      </c>
      <c r="N32" s="9">
        <v>461</v>
      </c>
      <c r="O32" s="9">
        <v>691</v>
      </c>
      <c r="P32" s="9">
        <v>829</v>
      </c>
      <c r="Q32" s="9">
        <v>989</v>
      </c>
      <c r="R32" s="9">
        <v>1113</v>
      </c>
      <c r="S32" s="9">
        <v>1229</v>
      </c>
      <c r="T32" s="9">
        <v>1391</v>
      </c>
    </row>
    <row r="33" spans="1:21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Slovenia</v>
      </c>
      <c r="D33" s="6">
        <f t="shared" si="14"/>
        <v>476</v>
      </c>
      <c r="E33" s="6">
        <f>IF(COUNTIF(I33:XFD33,"&gt;"&amp;0)=0,,HLOOKUP(COUNTIF(I33:XFD33,"&gt;"&amp;0)-1,I$1:XFD33,A33+1,FALSE))</f>
        <v>476</v>
      </c>
      <c r="F33" s="7">
        <f>IF(COUNTIF(I33:XFD33,"&gt;"&amp;0)=0,,HLOOKUP(COUNTIF(I33:XFD33,"&gt;"&amp;0)-MIN($F$1+1,COUNTIF(I33:XFD33,"&gt;"&amp;0)),I$1:XFD33,A33+1,FALSE))</f>
        <v>285</v>
      </c>
      <c r="G33" s="8">
        <f t="shared" si="15"/>
        <v>1.1080322947565844</v>
      </c>
      <c r="H33" s="13" t="s">
        <v>141</v>
      </c>
      <c r="I33" s="9">
        <v>141</v>
      </c>
      <c r="J33" s="9">
        <v>180</v>
      </c>
      <c r="K33" s="9">
        <v>218</v>
      </c>
      <c r="L33" s="9">
        <v>252</v>
      </c>
      <c r="M33" s="9">
        <v>274</v>
      </c>
      <c r="N33" s="9">
        <v>274</v>
      </c>
      <c r="O33" s="9">
        <v>285</v>
      </c>
      <c r="P33" s="9">
        <v>340</v>
      </c>
      <c r="Q33" s="9">
        <v>382</v>
      </c>
      <c r="R33" s="9">
        <v>412</v>
      </c>
      <c r="S33" s="9">
        <v>439</v>
      </c>
      <c r="T33" s="9">
        <v>476</v>
      </c>
    </row>
    <row r="34" spans="1:21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Iceland</v>
      </c>
      <c r="D34" s="6">
        <f t="shared" si="14"/>
        <v>646</v>
      </c>
      <c r="E34" s="6">
        <f>IF(COUNTIF(I34:XFD34,"&gt;"&amp;0)=0,,HLOOKUP(COUNTIF(I34:XFD34,"&gt;"&amp;0)-1,I$1:XFD34,A34+1,FALSE))</f>
        <v>646</v>
      </c>
      <c r="F34" s="7">
        <f>IF(COUNTIF(I34:XFD34,"&gt;"&amp;0)=0,,HLOOKUP(COUNTIF(I34:XFD34,"&gt;"&amp;0)-MIN($F$1+1,COUNTIF(I34:XFD34,"&gt;"&amp;0)),I$1:XFD34,A34+1,FALSE))</f>
        <v>324</v>
      </c>
      <c r="G34" s="8">
        <f t="shared" si="15"/>
        <v>1.1479884049149374</v>
      </c>
      <c r="H34" s="13" t="s">
        <v>92</v>
      </c>
      <c r="I34" s="9">
        <v>102</v>
      </c>
      <c r="J34" s="9">
        <v>133</v>
      </c>
      <c r="K34" s="9">
        <v>155</v>
      </c>
      <c r="L34" s="9">
        <v>158</v>
      </c>
      <c r="M34" s="9">
        <v>180</v>
      </c>
      <c r="N34" s="9">
        <v>219</v>
      </c>
      <c r="O34" s="9">
        <v>244</v>
      </c>
      <c r="P34" s="9">
        <v>324</v>
      </c>
      <c r="Q34" s="9">
        <v>404</v>
      </c>
      <c r="R34" s="9">
        <v>450</v>
      </c>
      <c r="S34" s="9">
        <v>531</v>
      </c>
      <c r="T34" s="9">
        <v>551</v>
      </c>
      <c r="U34" s="9">
        <v>646</v>
      </c>
    </row>
    <row r="35" spans="1:21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Portugal</v>
      </c>
      <c r="D35" s="6">
        <f t="shared" si="14"/>
        <v>2329</v>
      </c>
      <c r="E35" s="6">
        <f>IF(COUNTIF(I35:XFD35,"&gt;"&amp;0)=0,,HLOOKUP(COUNTIF(I35:XFD35,"&gt;"&amp;0)-1,I$1:XFD35,A35+1,FALSE))</f>
        <v>2329</v>
      </c>
      <c r="F35" s="7">
        <f>IF(COUNTIF(I35:XFD35,"&gt;"&amp;0)=0,,HLOOKUP(COUNTIF(I35:XFD35,"&gt;"&amp;0)-MIN($F$1+1,COUNTIF(I35:XFD35,"&gt;"&amp;0)),I$1:XFD35,A35+1,FALSE))</f>
        <v>779</v>
      </c>
      <c r="G35" s="8">
        <f t="shared" si="15"/>
        <v>1.2448768941198991</v>
      </c>
      <c r="H35" s="13" t="s">
        <v>108</v>
      </c>
      <c r="I35" s="9">
        <v>111</v>
      </c>
      <c r="J35" s="9">
        <v>167</v>
      </c>
      <c r="K35" s="9">
        <v>243</v>
      </c>
      <c r="L35" s="9">
        <v>328</v>
      </c>
      <c r="M35" s="9">
        <v>444</v>
      </c>
      <c r="N35" s="9">
        <v>443</v>
      </c>
      <c r="O35" s="9">
        <v>779</v>
      </c>
      <c r="P35" s="9">
        <v>1009</v>
      </c>
      <c r="Q35" s="9">
        <v>1263</v>
      </c>
      <c r="R35" s="9">
        <v>1581</v>
      </c>
      <c r="S35" s="9">
        <v>2032</v>
      </c>
      <c r="T35" s="9">
        <v>2329</v>
      </c>
    </row>
    <row r="36" spans="1:21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Iraq</v>
      </c>
      <c r="D36" s="6">
        <f t="shared" si="14"/>
        <v>289</v>
      </c>
      <c r="E36" s="6">
        <f>IF(COUNTIF(I36:XFD36,"&gt;"&amp;0)=0,,HLOOKUP(COUNTIF(I36:XFD36,"&gt;"&amp;0)-1,I$1:XFD36,A36+1,FALSE))</f>
        <v>289</v>
      </c>
      <c r="F36" s="7">
        <f>IF(COUNTIF(I36:XFD36,"&gt;"&amp;0)=0,,HLOOKUP(COUNTIF(I36:XFD36,"&gt;"&amp;0)-MIN($F$1+1,COUNTIF(I36:XFD36,"&gt;"&amp;0)),I$1:XFD36,A36+1,FALSE))</f>
        <v>136</v>
      </c>
      <c r="G36" s="8">
        <f t="shared" si="15"/>
        <v>1.1627110152194982</v>
      </c>
      <c r="H36" s="13" t="s">
        <v>70</v>
      </c>
      <c r="I36" s="9">
        <v>68</v>
      </c>
      <c r="J36" s="9">
        <v>74</v>
      </c>
      <c r="K36" s="9">
        <v>80</v>
      </c>
      <c r="L36" s="9">
        <v>88</v>
      </c>
      <c r="M36" s="9">
        <v>111</v>
      </c>
      <c r="N36" s="9">
        <v>109</v>
      </c>
      <c r="O36" s="9">
        <v>136</v>
      </c>
      <c r="P36" s="9">
        <v>142</v>
      </c>
      <c r="Q36" s="9">
        <v>146</v>
      </c>
      <c r="R36" s="9">
        <v>156</v>
      </c>
      <c r="S36" s="9">
        <v>186</v>
      </c>
      <c r="T36" s="9">
        <v>289</v>
      </c>
    </row>
    <row r="37" spans="1:21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Ireland</v>
      </c>
      <c r="D37" s="6">
        <f t="shared" si="14"/>
        <v>1322</v>
      </c>
      <c r="E37" s="6">
        <f>IF(COUNTIF(I37:XFD37,"&gt;"&amp;0)=0,,HLOOKUP(COUNTIF(I37:XFD37,"&gt;"&amp;0)-1,I$1:XFD37,A37+1,FALSE))</f>
        <v>1322</v>
      </c>
      <c r="F37" s="7">
        <f>IF(COUNTIF(I37:XFD37,"&gt;"&amp;0)=0,,HLOOKUP(COUNTIF(I37:XFD37,"&gt;"&amp;0)-MIN($F$1+1,COUNTIF(I37:XFD37,"&gt;"&amp;0)),I$1:XFD37,A37+1,FALSE))</f>
        <v>549</v>
      </c>
      <c r="G37" s="8">
        <f t="shared" si="15"/>
        <v>1.1921525227448326</v>
      </c>
      <c r="H37" s="13" t="s">
        <v>98</v>
      </c>
      <c r="I37" s="9">
        <v>127</v>
      </c>
      <c r="J37" s="9">
        <v>127</v>
      </c>
      <c r="K37" s="9">
        <v>167</v>
      </c>
      <c r="L37" s="9">
        <v>216</v>
      </c>
      <c r="M37" s="9">
        <v>285</v>
      </c>
      <c r="N37" s="9">
        <v>549</v>
      </c>
      <c r="O37" s="9">
        <v>675</v>
      </c>
      <c r="P37" s="9">
        <v>777</v>
      </c>
      <c r="Q37" s="9">
        <v>897</v>
      </c>
      <c r="R37" s="9">
        <v>1114</v>
      </c>
      <c r="S37" s="9">
        <v>1322</v>
      </c>
    </row>
    <row r="38" spans="1:21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Romania</v>
      </c>
      <c r="D38" s="6">
        <f t="shared" si="14"/>
        <v>783</v>
      </c>
      <c r="E38" s="6">
        <f>IF(COUNTIF(I38:XFD38,"&gt;"&amp;0)=0,,HLOOKUP(COUNTIF(I38:XFD38,"&gt;"&amp;0)-1,I$1:XFD38,A38+1,FALSE))</f>
        <v>783</v>
      </c>
      <c r="F38" s="7">
        <f>IF(COUNTIF(I38:XFD38,"&gt;"&amp;0)=0,,HLOOKUP(COUNTIF(I38:XFD38,"&gt;"&amp;0)-MIN($F$1+1,COUNTIF(I38:XFD38,"&gt;"&amp;0)),I$1:XFD38,A38+1,FALSE))</f>
        <v>252</v>
      </c>
      <c r="G38" s="8">
        <f t="shared" si="15"/>
        <v>1.2545045599546294</v>
      </c>
      <c r="H38" s="13" t="s">
        <v>86</v>
      </c>
      <c r="I38" s="9">
        <v>114</v>
      </c>
      <c r="J38" s="9">
        <v>122</v>
      </c>
      <c r="K38" s="9">
        <v>149</v>
      </c>
      <c r="L38" s="9">
        <v>168</v>
      </c>
      <c r="M38" s="9">
        <v>241</v>
      </c>
      <c r="N38" s="9">
        <v>252</v>
      </c>
      <c r="O38" s="9">
        <v>283</v>
      </c>
      <c r="P38" s="9">
        <v>315</v>
      </c>
      <c r="Q38" s="9">
        <v>366</v>
      </c>
      <c r="R38" s="9">
        <v>505</v>
      </c>
      <c r="S38" s="9">
        <v>783</v>
      </c>
    </row>
    <row r="39" spans="1:21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Saudi Arabia</v>
      </c>
      <c r="D39" s="6">
        <f t="shared" si="14"/>
        <v>766</v>
      </c>
      <c r="E39" s="6">
        <f>IF(COUNTIF(I39:XFD39,"&gt;"&amp;0)=0,,HLOOKUP(COUNTIF(I39:XFD39,"&gt;"&amp;0)-1,I$1:XFD39,A39+1,FALSE))</f>
        <v>766</v>
      </c>
      <c r="F39" s="7">
        <f>IF(COUNTIF(I39:XFD39,"&gt;"&amp;0)=0,,HLOOKUP(COUNTIF(I39:XFD39,"&gt;"&amp;0)-MIN($F$1+1,COUNTIF(I39:XFD39,"&gt;"&amp;0)),I$1:XFD39,A39+1,FALSE))</f>
        <v>268</v>
      </c>
      <c r="G39" s="8">
        <f t="shared" si="15"/>
        <v>1.2337262210308422</v>
      </c>
      <c r="H39" s="15" t="s">
        <v>113</v>
      </c>
      <c r="I39" s="9">
        <v>102</v>
      </c>
      <c r="J39" s="9">
        <v>102</v>
      </c>
      <c r="K39" s="9">
        <v>116</v>
      </c>
      <c r="L39" s="9">
        <v>165</v>
      </c>
      <c r="M39" s="9">
        <v>165</v>
      </c>
      <c r="N39" s="9">
        <v>268</v>
      </c>
      <c r="O39" s="9">
        <v>336</v>
      </c>
      <c r="P39" s="9">
        <v>376</v>
      </c>
      <c r="Q39" s="9">
        <v>495</v>
      </c>
      <c r="R39" s="9">
        <v>546</v>
      </c>
      <c r="S39" s="9">
        <v>766</v>
      </c>
    </row>
    <row r="40" spans="1:21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United Arab Emirates</v>
      </c>
      <c r="D40" s="6">
        <f t="shared" si="14"/>
        <v>246</v>
      </c>
      <c r="E40" s="6">
        <f>IF(COUNTIF(I40:XFD40,"&gt;"&amp;0)=0,,HLOOKUP(COUNTIF(I40:XFD40,"&gt;"&amp;0)-1,I$1:XFD40,A40+1,FALSE))</f>
        <v>246</v>
      </c>
      <c r="F40" s="7">
        <f>IF(COUNTIF(I40:XFD40,"&gt;"&amp;0)=0,,HLOOKUP(COUNTIF(I40:XFD40,"&gt;"&amp;0)-MIN($F$1+1,COUNTIF(I40:XFD40,"&gt;"&amp;0)),I$1:XFD40,A40+1,FALSE))</f>
        <v>109</v>
      </c>
      <c r="G40" s="8">
        <f t="shared" si="15"/>
        <v>1.1767974586273031</v>
      </c>
      <c r="H40" s="13" t="s">
        <v>55</v>
      </c>
      <c r="I40" s="9">
        <v>87</v>
      </c>
      <c r="J40" s="9">
        <v>109</v>
      </c>
      <c r="K40" s="9">
        <v>107</v>
      </c>
      <c r="L40" s="9">
        <v>113</v>
      </c>
      <c r="M40" s="9">
        <v>113</v>
      </c>
      <c r="N40" s="9">
        <v>158</v>
      </c>
      <c r="O40" s="9">
        <v>246</v>
      </c>
    </row>
    <row r="41" spans="1:21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India</v>
      </c>
      <c r="D41" s="6">
        <f t="shared" si="14"/>
        <v>526</v>
      </c>
      <c r="E41" s="6">
        <f>IF(COUNTIF(I41:XFD41,"&gt;"&amp;0)=0,,HLOOKUP(COUNTIF(I41:XFD41,"&gt;"&amp;0)-1,I$1:XFD41,A41+1,FALSE))</f>
        <v>526</v>
      </c>
      <c r="F41" s="7">
        <f>IF(COUNTIF(I41:XFD41,"&gt;"&amp;0)=0,,HLOOKUP(COUNTIF(I41:XFD41,"&gt;"&amp;0)-MIN($F$1+1,COUNTIF(I41:XFD41,"&gt;"&amp;0)),I$1:XFD41,A41+1,FALSE))</f>
        <v>175</v>
      </c>
      <c r="G41" s="8">
        <f t="shared" si="15"/>
        <v>1.2462051426229668</v>
      </c>
      <c r="H41" s="13" t="s">
        <v>57</v>
      </c>
      <c r="I41" s="9">
        <v>96</v>
      </c>
      <c r="J41" s="9">
        <v>98</v>
      </c>
      <c r="K41" s="9">
        <v>104</v>
      </c>
      <c r="L41" s="9">
        <v>125</v>
      </c>
      <c r="M41" s="9">
        <v>139</v>
      </c>
      <c r="N41" s="9">
        <v>175</v>
      </c>
      <c r="O41" s="9">
        <v>219</v>
      </c>
      <c r="P41" s="9">
        <v>303</v>
      </c>
      <c r="Q41" s="9">
        <v>362</v>
      </c>
      <c r="R41" s="9">
        <v>462</v>
      </c>
      <c r="S41" s="9">
        <v>526</v>
      </c>
    </row>
    <row r="42" spans="1:21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Egypt</v>
      </c>
      <c r="D42" s="6">
        <f t="shared" si="14"/>
        <v>382</v>
      </c>
      <c r="E42" s="6">
        <f>IF(COUNTIF(I42:XFD42,"&gt;"&amp;0)=0,,HLOOKUP(COUNTIF(I42:XFD42,"&gt;"&amp;0)-1,I$1:XFD42,A42+1,FALSE))</f>
        <v>382</v>
      </c>
      <c r="F42" s="7">
        <f>IF(COUNTIF(I42:XFD42,"&gt;"&amp;0)=0,,HLOOKUP(COUNTIF(I42:XFD42,"&gt;"&amp;0)-MIN($F$1+1,COUNTIF(I42:XFD42,"&gt;"&amp;0)),I$1:XFD42,A42+1,FALSE))</f>
        <v>218</v>
      </c>
      <c r="G42" s="8">
        <f t="shared" si="15"/>
        <v>1.1187199267893693</v>
      </c>
      <c r="H42" s="13" t="s">
        <v>65</v>
      </c>
      <c r="I42" s="9">
        <v>80</v>
      </c>
      <c r="J42" s="9">
        <v>87</v>
      </c>
      <c r="K42" s="9">
        <v>121</v>
      </c>
      <c r="L42" s="9">
        <v>160</v>
      </c>
      <c r="M42" s="9">
        <v>158</v>
      </c>
      <c r="N42" s="9">
        <v>218</v>
      </c>
      <c r="O42" s="9">
        <v>238</v>
      </c>
      <c r="P42" s="9">
        <v>243</v>
      </c>
      <c r="Q42" s="9">
        <v>257</v>
      </c>
      <c r="R42" s="9">
        <v>291</v>
      </c>
      <c r="S42" s="9">
        <v>382</v>
      </c>
    </row>
    <row r="43" spans="1:21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Kuwait</v>
      </c>
      <c r="D43" s="6">
        <f t="shared" si="14"/>
        <v>191</v>
      </c>
      <c r="E43" s="6">
        <f>IF(COUNTIF(I43:XFD43,"&gt;"&amp;0)=0,,HLOOKUP(COUNTIF(I43:XFD43,"&gt;"&amp;0)-1,I$1:XFD43,A43+1,FALSE))</f>
        <v>191</v>
      </c>
      <c r="F43" s="7">
        <f>IF(COUNTIF(I43:XFD43,"&gt;"&amp;0)=0,,HLOOKUP(COUNTIF(I43:XFD43,"&gt;"&amp;0)-MIN($F$1+1,COUNTIF(I43:XFD43,"&gt;"&amp;0)),I$1:XFD43,A43+1,FALSE))</f>
        <v>130</v>
      </c>
      <c r="G43" s="8">
        <f t="shared" si="15"/>
        <v>1.0799856948273883</v>
      </c>
      <c r="H43" s="13" t="s">
        <v>74</v>
      </c>
      <c r="I43" s="9">
        <v>99</v>
      </c>
      <c r="J43" s="9">
        <v>107</v>
      </c>
      <c r="K43" s="9">
        <v>114</v>
      </c>
      <c r="L43" s="9">
        <v>121</v>
      </c>
      <c r="M43" s="9">
        <v>127</v>
      </c>
      <c r="N43" s="9">
        <v>130</v>
      </c>
      <c r="O43" s="9">
        <v>141</v>
      </c>
      <c r="P43" s="9">
        <v>149</v>
      </c>
      <c r="Q43" s="9">
        <v>161</v>
      </c>
      <c r="R43" s="9">
        <v>162</v>
      </c>
      <c r="S43" s="9">
        <v>191</v>
      </c>
    </row>
    <row r="44" spans="1:21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San Marino</v>
      </c>
      <c r="D44" s="6">
        <f t="shared" si="14"/>
        <v>166</v>
      </c>
      <c r="E44" s="6">
        <f>IF(COUNTIF(I44:XFD44,"&gt;"&amp;0)=0,,HLOOKUP(COUNTIF(I44:XFD44,"&gt;"&amp;0)-1,I$1:XFD44,A44+1,FALSE))</f>
        <v>166</v>
      </c>
      <c r="F44" s="7">
        <f>IF(COUNTIF(I44:XFD44,"&gt;"&amp;0)=0,,HLOOKUP(COUNTIF(I44:XFD44,"&gt;"&amp;0)-MIN($F$1+1,COUNTIF(I44:XFD44,"&gt;"&amp;0)),I$1:XFD44,A44+1,FALSE))</f>
        <v>104</v>
      </c>
      <c r="G44" s="8">
        <f t="shared" si="15"/>
        <v>1.0980318806245741</v>
      </c>
      <c r="H44" s="13" t="s">
        <v>90</v>
      </c>
      <c r="I44" s="9">
        <v>92</v>
      </c>
      <c r="J44" s="9">
        <v>98</v>
      </c>
      <c r="K44" s="9">
        <v>98</v>
      </c>
      <c r="L44" s="9">
        <v>104</v>
      </c>
      <c r="M44" s="9">
        <v>104</v>
      </c>
      <c r="N44" s="9">
        <v>126</v>
      </c>
      <c r="O44" s="9">
        <v>120</v>
      </c>
      <c r="P44" s="9">
        <v>151</v>
      </c>
      <c r="Q44" s="9">
        <v>163</v>
      </c>
      <c r="R44" s="9">
        <v>166</v>
      </c>
    </row>
    <row r="45" spans="1:21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Estonia</v>
      </c>
      <c r="D45" s="6">
        <f t="shared" si="14"/>
        <v>369</v>
      </c>
      <c r="E45" s="6">
        <f>IF(COUNTIF(I45:XFD45,"&gt;"&amp;0)=0,,HLOOKUP(COUNTIF(I45:XFD45,"&gt;"&amp;0)-1,I$1:XFD45,A45+1,FALSE))</f>
        <v>369</v>
      </c>
      <c r="F45" s="7">
        <f>IF(COUNTIF(I45:XFD45,"&gt;"&amp;0)=0,,HLOOKUP(COUNTIF(I45:XFD45,"&gt;"&amp;0)-MIN($F$1+1,COUNTIF(I45:XFD45,"&gt;"&amp;0)),I$1:XFD45,A45+1,FALSE))</f>
        <v>266</v>
      </c>
      <c r="G45" s="8">
        <f t="shared" si="15"/>
        <v>1.0676501020459703</v>
      </c>
      <c r="H45" s="13" t="s">
        <v>88</v>
      </c>
      <c r="I45" s="9">
        <v>115</v>
      </c>
      <c r="J45" s="9">
        <v>170</v>
      </c>
      <c r="K45" s="9">
        <v>204</v>
      </c>
      <c r="L45" s="9">
        <v>224</v>
      </c>
      <c r="M45" s="9">
        <v>257</v>
      </c>
      <c r="N45" s="9">
        <v>266</v>
      </c>
      <c r="O45" s="9">
        <v>282</v>
      </c>
      <c r="P45" s="9">
        <v>305</v>
      </c>
      <c r="Q45" s="9">
        <v>324</v>
      </c>
      <c r="R45" s="9">
        <v>350</v>
      </c>
      <c r="S45" s="9">
        <v>369</v>
      </c>
    </row>
    <row r="46" spans="1:21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Lebanon</v>
      </c>
      <c r="D46" s="6">
        <f t="shared" si="14"/>
        <v>314</v>
      </c>
      <c r="E46" s="6">
        <f>IF(COUNTIF(I46:XFD46,"&gt;"&amp;0)=0,,HLOOKUP(COUNTIF(I46:XFD46,"&gt;"&amp;0)-1,I$1:XFD46,A46+1,FALSE))</f>
        <v>314</v>
      </c>
      <c r="F46" s="7">
        <f>IF(COUNTIF(I46:XFD46,"&gt;"&amp;0)=0,,HLOOKUP(COUNTIF(I46:XFD46,"&gt;"&amp;0)-MIN($F$1+1,COUNTIF(I46:XFD46,"&gt;"&amp;0)),I$1:XFD46,A46+1,FALSE))</f>
        <v>149</v>
      </c>
      <c r="G46" s="8">
        <f t="shared" si="15"/>
        <v>1.1607766837143696</v>
      </c>
      <c r="H46" s="13" t="s">
        <v>67</v>
      </c>
      <c r="I46" s="9">
        <v>106</v>
      </c>
      <c r="J46" s="9">
        <v>106</v>
      </c>
      <c r="K46" s="9">
        <v>114</v>
      </c>
      <c r="L46" s="9">
        <v>127</v>
      </c>
      <c r="M46" s="9">
        <v>149</v>
      </c>
      <c r="N46" s="9">
        <v>155</v>
      </c>
      <c r="O46" s="9">
        <v>179</v>
      </c>
      <c r="P46" s="9">
        <v>236</v>
      </c>
      <c r="Q46" s="9">
        <v>255</v>
      </c>
      <c r="R46" s="9">
        <v>314</v>
      </c>
    </row>
    <row r="47" spans="1:21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Thailand</v>
      </c>
      <c r="D47" s="6">
        <f t="shared" si="14"/>
        <v>823</v>
      </c>
      <c r="E47" s="6">
        <f>IF(COUNTIF(I47:XFD47,"&gt;"&amp;0)=0,,HLOOKUP(COUNTIF(I47:XFD47,"&gt;"&amp;0)-1,I$1:XFD47,A47+1,FALSE))</f>
        <v>823</v>
      </c>
      <c r="F47" s="7">
        <f>IF(COUNTIF(I47:XFD47,"&gt;"&amp;0)=0,,HLOOKUP(COUNTIF(I47:XFD47,"&gt;"&amp;0)-MIN($F$1+1,COUNTIF(I47:XFD47,"&gt;"&amp;0)),I$1:XFD47,A47+1,FALSE))</f>
        <v>229</v>
      </c>
      <c r="G47" s="8">
        <f t="shared" si="15"/>
        <v>1.2915548974988731</v>
      </c>
      <c r="H47" s="13" t="s">
        <v>35</v>
      </c>
      <c r="I47" s="9">
        <v>78</v>
      </c>
      <c r="J47" s="9">
        <v>111</v>
      </c>
      <c r="K47" s="9">
        <v>135</v>
      </c>
      <c r="L47" s="9">
        <v>169</v>
      </c>
      <c r="M47" s="9">
        <v>229</v>
      </c>
      <c r="N47" s="9">
        <v>279</v>
      </c>
      <c r="O47" s="9">
        <v>368</v>
      </c>
      <c r="P47" s="9">
        <v>554</v>
      </c>
      <c r="Q47" s="9">
        <v>676</v>
      </c>
      <c r="R47" s="9">
        <v>823</v>
      </c>
    </row>
    <row r="48" spans="1:21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Indonesia</v>
      </c>
      <c r="D48" s="6">
        <f t="shared" si="14"/>
        <v>631</v>
      </c>
      <c r="E48" s="6">
        <f>IF(COUNTIF(I48:XFD48,"&gt;"&amp;0)=0,,HLOOKUP(COUNTIF(I48:XFD48,"&gt;"&amp;0)-1,I$1:XFD48,A48+1,FALSE))</f>
        <v>631</v>
      </c>
      <c r="F48" s="7">
        <f>IF(COUNTIF(I48:XFD48,"&gt;"&amp;0)=0,,HLOOKUP(COUNTIF(I48:XFD48,"&gt;"&amp;0)-MIN($F$1+1,COUNTIF(I48:XFD48,"&gt;"&amp;0)),I$1:XFD48,A48+1,FALSE))</f>
        <v>275</v>
      </c>
      <c r="G48" s="8">
        <f t="shared" si="15"/>
        <v>1.1806993742811183</v>
      </c>
      <c r="H48" s="13" t="s">
        <v>107</v>
      </c>
      <c r="I48" s="9">
        <v>104</v>
      </c>
      <c r="J48" s="9">
        <v>121</v>
      </c>
      <c r="K48" s="9">
        <v>159</v>
      </c>
      <c r="L48" s="9">
        <v>197</v>
      </c>
      <c r="M48" s="9">
        <v>275</v>
      </c>
      <c r="N48" s="9">
        <v>322</v>
      </c>
      <c r="O48" s="9">
        <v>397</v>
      </c>
      <c r="P48" s="9">
        <v>437</v>
      </c>
      <c r="Q48" s="9">
        <v>501</v>
      </c>
      <c r="R48" s="9">
        <v>631</v>
      </c>
    </row>
    <row r="49" spans="1:19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Poland</v>
      </c>
      <c r="D49" s="6">
        <f t="shared" si="14"/>
        <v>891</v>
      </c>
      <c r="E49" s="6">
        <f>IF(COUNTIF(I49:XFD49,"&gt;"&amp;0)=0,,HLOOKUP(COUNTIF(I49:XFD49,"&gt;"&amp;0)-1,I$1:XFD49,A49+1,FALSE))</f>
        <v>891</v>
      </c>
      <c r="F49" s="7">
        <f>IF(COUNTIF(I49:XFD49,"&gt;"&amp;0)=0,,HLOOKUP(COUNTIF(I49:XFD49,"&gt;"&amp;0)-MIN($F$1+1,COUNTIF(I49:XFD49,"&gt;"&amp;0)),I$1:XFD49,A49+1,FALSE))</f>
        <v>349</v>
      </c>
      <c r="G49" s="8">
        <f t="shared" si="15"/>
        <v>1.2061753684641308</v>
      </c>
      <c r="H49" s="13" t="s">
        <v>137</v>
      </c>
      <c r="I49" s="9">
        <v>100</v>
      </c>
      <c r="J49" s="9">
        <v>116</v>
      </c>
      <c r="K49" s="9">
        <v>160</v>
      </c>
      <c r="L49" s="9">
        <v>220</v>
      </c>
      <c r="M49" s="9">
        <v>233</v>
      </c>
      <c r="N49" s="9">
        <v>349</v>
      </c>
      <c r="O49" s="9">
        <v>419</v>
      </c>
      <c r="P49" s="9">
        <v>530</v>
      </c>
      <c r="Q49" s="9">
        <v>626</v>
      </c>
      <c r="R49" s="9">
        <v>740</v>
      </c>
      <c r="S49" s="9">
        <v>891</v>
      </c>
    </row>
    <row r="50" spans="1:19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Philippines</v>
      </c>
      <c r="D50" s="6">
        <f t="shared" si="14"/>
        <v>517</v>
      </c>
      <c r="E50" s="6">
        <f>IF(COUNTIF(I50:XFD50,"&gt;"&amp;0)=0,,HLOOKUP(COUNTIF(I50:XFD50,"&gt;"&amp;0)-1,I$1:XFD50,A50+1,FALSE))</f>
        <v>517</v>
      </c>
      <c r="F50" s="7">
        <f>IF(COUNTIF(I50:XFD50,"&gt;"&amp;0)=0,,HLOOKUP(COUNTIF(I50:XFD50,"&gt;"&amp;0)-MIN($F$1+1,COUNTIF(I50:XFD50,"&gt;"&amp;0)),I$1:XFD50,A50+1,FALSE))</f>
        <v>192</v>
      </c>
      <c r="G50" s="8">
        <f t="shared" si="15"/>
        <v>1.2190958781166943</v>
      </c>
      <c r="H50" s="13" t="s">
        <v>56</v>
      </c>
      <c r="I50" s="9">
        <v>101</v>
      </c>
      <c r="J50" s="9">
        <v>127</v>
      </c>
      <c r="K50" s="9">
        <v>128</v>
      </c>
      <c r="L50" s="9">
        <v>170</v>
      </c>
      <c r="M50" s="9">
        <v>178</v>
      </c>
      <c r="N50" s="9">
        <v>192</v>
      </c>
      <c r="O50" s="9">
        <v>204</v>
      </c>
      <c r="P50" s="9">
        <v>275</v>
      </c>
      <c r="Q50" s="9">
        <v>338</v>
      </c>
      <c r="R50" s="9">
        <v>412</v>
      </c>
      <c r="S50" s="9">
        <v>517</v>
      </c>
    </row>
    <row r="51" spans="1:19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Taiwan*</v>
      </c>
      <c r="D51" s="6">
        <f t="shared" si="14"/>
        <v>213</v>
      </c>
      <c r="E51" s="6">
        <f>IF(COUNTIF(I51:XFD51,"&gt;"&amp;0)=0,,HLOOKUP(COUNTIF(I51:XFD51,"&gt;"&amp;0)-1,I$1:XFD51,A51+1,FALSE))</f>
        <v>213</v>
      </c>
      <c r="F51" s="7">
        <f>IF(COUNTIF(I51:XFD51,"&gt;"&amp;0)=0,,HLOOKUP(COUNTIF(I51:XFD51,"&gt;"&amp;0)-MIN($F$1+1,COUNTIF(I51:XFD51,"&gt;"&amp;0)),I$1:XFD51,A51+1,FALSE))</f>
        <v>81</v>
      </c>
      <c r="G51" s="8">
        <f t="shared" si="15"/>
        <v>1.213329947199979</v>
      </c>
      <c r="H51" s="13" t="s">
        <v>342</v>
      </c>
      <c r="I51" s="9">
        <v>77</v>
      </c>
      <c r="J51" s="9">
        <v>81</v>
      </c>
      <c r="K51" s="9">
        <v>107</v>
      </c>
      <c r="L51" s="9">
        <v>123</v>
      </c>
      <c r="M51" s="9">
        <v>139</v>
      </c>
      <c r="N51" s="9">
        <v>165</v>
      </c>
      <c r="O51" s="9">
        <v>213</v>
      </c>
    </row>
    <row r="52" spans="1:19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Vietnam</v>
      </c>
      <c r="D52" s="6">
        <f t="shared" si="14"/>
        <v>134</v>
      </c>
      <c r="E52" s="6">
        <f>IF(COUNTIF(I52:XFD52,"&gt;"&amp;0)=0,,HLOOKUP(COUNTIF(I52:XFD52,"&gt;"&amp;0)-1,I$1:XFD52,A52+1,FALSE))</f>
        <v>134</v>
      </c>
      <c r="F52" s="7">
        <f>IF(COUNTIF(I52:XFD52,"&gt;"&amp;0)=0,,HLOOKUP(COUNTIF(I52:XFD52,"&gt;"&amp;0)-MIN($F$1+1,COUNTIF(I52:XFD52,"&gt;"&amp;0)),I$1:XFD52,A52+1,FALSE))</f>
        <v>96</v>
      </c>
      <c r="G52" s="8">
        <f t="shared" si="15"/>
        <v>1.181453906563152</v>
      </c>
      <c r="H52" s="13" t="s">
        <v>343</v>
      </c>
      <c r="I52" s="9">
        <v>96</v>
      </c>
      <c r="J52" s="9">
        <v>106</v>
      </c>
      <c r="K52" s="9">
        <v>134</v>
      </c>
    </row>
    <row r="53" spans="1:19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494</v>
      </c>
      <c r="E53" s="6">
        <f>IF(COUNTIF(I53:XFD53,"&gt;"&amp;0)=0,,HLOOKUP(COUNTIF(I53:XFD53,"&gt;"&amp;0)-1,I$1:XFD53,A53+1,FALSE))</f>
        <v>494</v>
      </c>
      <c r="F53" s="7">
        <f>IF(COUNTIF(I53:XFD53,"&gt;"&amp;0)=0,,HLOOKUP(COUNTIF(I53:XFD53,"&gt;"&amp;0)-MIN($F$1+1,COUNTIF(I53:XFD53,"&gt;"&amp;0)),I$1:XFD53,A53+1,FALSE))</f>
        <v>189</v>
      </c>
      <c r="G53" s="8">
        <f t="shared" si="15"/>
        <v>1.211861612988747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  <c r="N53" s="9">
        <v>350</v>
      </c>
      <c r="O53" s="9">
        <v>421</v>
      </c>
      <c r="P53" s="9">
        <v>494</v>
      </c>
    </row>
    <row r="54" spans="1:19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920</v>
      </c>
      <c r="E54" s="6">
        <f>IF(COUNTIF(I54:XFD54,"&gt;"&amp;0)=0,,HLOOKUP(COUNTIF(I54:XFD54,"&gt;"&amp;0)-1,I$1:XFD54,A54+1,FALSE))</f>
        <v>920</v>
      </c>
      <c r="F54" s="7">
        <f>IF(COUNTIF(I54:XFD54,"&gt;"&amp;0)=0,,HLOOKUP(COUNTIF(I54:XFD54,"&gt;"&amp;0)-MIN($F$1+1,COUNTIF(I54:XFD54,"&gt;"&amp;0)),I$1:XFD54,A54+1,FALSE))</f>
        <v>238</v>
      </c>
      <c r="G54" s="8">
        <f t="shared" si="15"/>
        <v>1.3105155367156718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  <c r="O54" s="9">
        <v>623</v>
      </c>
      <c r="P54" s="9">
        <v>736</v>
      </c>
      <c r="Q54" s="9">
        <v>920</v>
      </c>
    </row>
    <row r="55" spans="1:19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Brunei</v>
      </c>
      <c r="D55" s="6">
        <f t="shared" si="14"/>
        <v>104</v>
      </c>
      <c r="E55" s="6">
        <f>IF(COUNTIF(I55:XFD55,"&gt;"&amp;0)=0,,HLOOKUP(COUNTIF(I55:XFD55,"&gt;"&amp;0)-1,I$1:XFD55,A55+1,FALSE))</f>
        <v>104</v>
      </c>
      <c r="F55" s="7">
        <f>IF(COUNTIF(I55:XFD55,"&gt;"&amp;0)=0,,HLOOKUP(COUNTIF(I55:XFD55,"&gt;"&amp;0)-MIN($F$1+1,COUNTIF(I55:XFD55,"&gt;"&amp;0)),I$1:XFD55,A55+1,FALSE))</f>
        <v>104</v>
      </c>
      <c r="G55" s="8" t="e">
        <f t="shared" si="15"/>
        <v>#DIV/0!</v>
      </c>
      <c r="H55" s="13" t="s">
        <v>233</v>
      </c>
      <c r="I55" s="9">
        <v>104</v>
      </c>
    </row>
    <row r="56" spans="1:19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300</v>
      </c>
      <c r="E56" s="6">
        <f>IF(COUNTIF(I56:XFD56,"&gt;"&amp;0)=0,,HLOOKUP(COUNTIF(I56:XFD56,"&gt;"&amp;0)-1,I$1:XFD56,A56+1,FALSE))</f>
        <v>300</v>
      </c>
      <c r="F56" s="7">
        <f>IF(COUNTIF(I56:XFD56,"&gt;"&amp;0)=0,,HLOOKUP(COUNTIF(I56:XFD56,"&gt;"&amp;0)-MIN($F$1+1,COUNTIF(I56:XFD56,"&gt;"&amp;0)),I$1:XFD56,A56+1,FALSE))</f>
        <v>102</v>
      </c>
      <c r="G56" s="8">
        <f t="shared" si="15"/>
        <v>1.2408069477477675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  <c r="M56" s="9">
        <v>245</v>
      </c>
      <c r="N56" s="9">
        <v>300</v>
      </c>
    </row>
    <row r="57" spans="1:19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1091</v>
      </c>
      <c r="E57" s="6">
        <f>IF(COUNTIF(I57:XFD57,"&gt;"&amp;0)=0,,HLOOKUP(COUNTIF(I57:XFD57,"&gt;"&amp;0)-1,I$1:XFD57,A57+1,FALSE))</f>
        <v>1091</v>
      </c>
      <c r="F57" s="7">
        <f>IF(COUNTIF(I57:XFD57,"&gt;"&amp;0)=0,,HLOOKUP(COUNTIF(I57:XFD57,"&gt;"&amp;0)-MIN($F$1+1,COUNTIF(I57:XFD57,"&gt;"&amp;0)),I$1:XFD57,A57+1,FALSE))</f>
        <v>331</v>
      </c>
      <c r="G57" s="8">
        <f t="shared" si="15"/>
        <v>1.2694025060531837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  <c r="O57" s="9">
        <v>861</v>
      </c>
      <c r="P57" s="9">
        <v>1091</v>
      </c>
    </row>
    <row r="58" spans="1:19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Albania</v>
      </c>
      <c r="D58" s="6">
        <f t="shared" si="14"/>
        <v>118</v>
      </c>
      <c r="E58" s="6">
        <f>IF(COUNTIF(I58:XFD58,"&gt;"&amp;0)=0,,HLOOKUP(COUNTIF(I58:XFD58,"&gt;"&amp;0)-1,I$1:XFD58,A58+1,FALSE))</f>
        <v>118</v>
      </c>
      <c r="F58" s="7">
        <f>IF(COUNTIF(I58:XFD58,"&gt;"&amp;0)=0,,HLOOKUP(COUNTIF(I58:XFD58,"&gt;"&amp;0)-MIN($F$1+1,COUNTIF(I58:XFD58,"&gt;"&amp;0)),I$1:XFD58,A58+1,FALSE))</f>
        <v>98</v>
      </c>
      <c r="G58" s="8">
        <f t="shared" si="15"/>
        <v>1.2040816326530612</v>
      </c>
      <c r="H58" s="13" t="s">
        <v>230</v>
      </c>
      <c r="I58" s="9">
        <v>98</v>
      </c>
      <c r="J58" s="9">
        <v>118</v>
      </c>
    </row>
    <row r="59" spans="1:19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Croatia</v>
      </c>
      <c r="D59" s="6">
        <f t="shared" si="14"/>
        <v>381</v>
      </c>
      <c r="E59" s="6">
        <f>IF(COUNTIF(I59:XFD59,"&gt;"&amp;0)=0,,HLOOKUP(COUNTIF(I59:XFD59,"&gt;"&amp;0)-1,I$1:XFD59,A59+1,FALSE))</f>
        <v>381</v>
      </c>
      <c r="F59" s="7">
        <f>IF(COUNTIF(I59:XFD59,"&gt;"&amp;0)=0,,HLOOKUP(COUNTIF(I59:XFD59,"&gt;"&amp;0)-MIN($F$1+1,COUNTIF(I59:XFD59,"&gt;"&amp;0)),I$1:XFD59,A59+1,FALSE))</f>
        <v>99</v>
      </c>
      <c r="G59" s="8">
        <f t="shared" si="15"/>
        <v>1.3093566438303996</v>
      </c>
      <c r="H59" s="13" t="s">
        <v>76</v>
      </c>
      <c r="I59" s="9">
        <v>99</v>
      </c>
      <c r="J59" s="9">
        <v>122</v>
      </c>
      <c r="K59" s="9">
        <v>200</v>
      </c>
      <c r="L59" s="9">
        <v>248</v>
      </c>
      <c r="M59" s="9">
        <v>309</v>
      </c>
      <c r="N59" s="9">
        <v>381</v>
      </c>
    </row>
    <row r="60" spans="1:19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Slovakia</v>
      </c>
      <c r="D60" s="6">
        <f t="shared" si="14"/>
        <v>204</v>
      </c>
      <c r="E60" s="6">
        <f>IF(COUNTIF(I60:XFD60,"&gt;"&amp;0)=0,,HLOOKUP(COUNTIF(I60:XFD60,"&gt;"&amp;0)-1,I$1:XFD60,A60+1,FALSE))</f>
        <v>204</v>
      </c>
      <c r="F60" s="7">
        <f>IF(COUNTIF(I60:XFD60,"&gt;"&amp;0)=0,,HLOOKUP(COUNTIF(I60:XFD60,"&gt;"&amp;0)-MIN($F$1+1,COUNTIF(I60:XFD60,"&gt;"&amp;0)),I$1:XFD60,A60+1,FALSE))</f>
        <v>122</v>
      </c>
      <c r="G60" s="8">
        <f t="shared" si="15"/>
        <v>1.1082916656405195</v>
      </c>
      <c r="H60" s="13" t="s">
        <v>162</v>
      </c>
      <c r="I60" s="9">
        <v>104</v>
      </c>
      <c r="J60" s="9">
        <v>122</v>
      </c>
      <c r="K60" s="9">
        <v>136</v>
      </c>
      <c r="L60" s="9">
        <v>177</v>
      </c>
      <c r="M60" s="9">
        <v>178</v>
      </c>
      <c r="N60" s="9">
        <v>179</v>
      </c>
      <c r="O60" s="9">
        <v>204</v>
      </c>
    </row>
    <row r="61" spans="1:19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Argentina</v>
      </c>
      <c r="D61" s="6">
        <f t="shared" si="14"/>
        <v>381</v>
      </c>
      <c r="E61" s="6">
        <f>IF(COUNTIF(I61:XFD61,"&gt;"&amp;0)=0,,HLOOKUP(COUNTIF(I61:XFD61,"&gt;"&amp;0)-1,I$1:XFD61,A61+1,FALSE))</f>
        <v>381</v>
      </c>
      <c r="F61" s="7">
        <f>IF(COUNTIF(I61:XFD61,"&gt;"&amp;0)=0,,HLOOKUP(COUNTIF(I61:XFD61,"&gt;"&amp;0)-MIN($F$1+1,COUNTIF(I61:XFD61,"&gt;"&amp;0)),I$1:XFD61,A61+1,FALSE))</f>
        <v>122</v>
      </c>
      <c r="G61" s="8">
        <f t="shared" si="15"/>
        <v>1.3293559576716942</v>
      </c>
      <c r="H61" s="13" t="s">
        <v>123</v>
      </c>
      <c r="I61" s="9">
        <v>122</v>
      </c>
      <c r="J61" s="9">
        <v>151</v>
      </c>
      <c r="K61" s="9">
        <v>259</v>
      </c>
      <c r="L61" s="9">
        <v>294</v>
      </c>
      <c r="M61" s="9">
        <v>381</v>
      </c>
    </row>
    <row r="62" spans="1:19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Pakistan</v>
      </c>
      <c r="D62" s="6">
        <f t="shared" si="14"/>
        <v>965</v>
      </c>
      <c r="E62" s="6">
        <f>IF(COUNTIF(I62:XFD62,"&gt;"&amp;0)=0,,HLOOKUP(COUNTIF(I62:XFD62,"&gt;"&amp;0)-1,I$1:XFD62,A62+1,FALSE))</f>
        <v>965</v>
      </c>
      <c r="F62" s="7">
        <f>IF(COUNTIF(I62:XFD62,"&gt;"&amp;0)=0,,HLOOKUP(COUNTIF(I62:XFD62,"&gt;"&amp;0)-MIN($F$1+1,COUNTIF(I62:XFD62,"&gt;"&amp;0)),I$1:XFD62,A62+1,FALSE))</f>
        <v>439</v>
      </c>
      <c r="G62" s="8">
        <f t="shared" si="15"/>
        <v>1.1706108863704889</v>
      </c>
      <c r="H62" s="13" t="s">
        <v>80</v>
      </c>
      <c r="I62" s="9">
        <v>134</v>
      </c>
      <c r="J62" s="9">
        <v>234</v>
      </c>
      <c r="K62" s="9">
        <v>297</v>
      </c>
      <c r="L62" s="9">
        <v>439</v>
      </c>
      <c r="M62" s="9">
        <v>485</v>
      </c>
      <c r="N62" s="9">
        <v>714</v>
      </c>
      <c r="O62" s="9">
        <v>766</v>
      </c>
      <c r="P62" s="9">
        <v>864</v>
      </c>
      <c r="Q62" s="9">
        <v>965</v>
      </c>
    </row>
    <row r="63" spans="1:19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Peru</v>
      </c>
      <c r="D63" s="6">
        <f t="shared" si="14"/>
        <v>409</v>
      </c>
      <c r="E63" s="6">
        <f>IF(COUNTIF(I63:XFD63,"&gt;"&amp;0)=0,,HLOOKUP(COUNTIF(I63:XFD63,"&gt;"&amp;0)-1,I$1:XFD63,A63+1,FALSE))</f>
        <v>409</v>
      </c>
      <c r="F63" s="7">
        <f>IF(COUNTIF(I63:XFD63,"&gt;"&amp;0)=0,,HLOOKUP(COUNTIF(I63:XFD63,"&gt;"&amp;0)-MIN($F$1+1,COUNTIF(I63:XFD63,"&gt;"&amp;0)),I$1:XFD63,A63+1,FALSE))</f>
        <v>233</v>
      </c>
      <c r="G63" s="8">
        <f t="shared" si="15"/>
        <v>1.1191118061795922</v>
      </c>
      <c r="H63" s="13" t="s">
        <v>160</v>
      </c>
      <c r="I63" s="9">
        <v>116</v>
      </c>
      <c r="J63" s="9">
        <v>144</v>
      </c>
      <c r="K63" s="9">
        <v>233</v>
      </c>
      <c r="L63" s="9">
        <v>230</v>
      </c>
      <c r="M63" s="9">
        <v>312</v>
      </c>
      <c r="N63" s="9">
        <v>357</v>
      </c>
      <c r="O63" s="9">
        <v>389</v>
      </c>
      <c r="P63" s="9">
        <v>409</v>
      </c>
    </row>
    <row r="64" spans="1:19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Panama</v>
      </c>
      <c r="D64" s="6">
        <f t="shared" si="14"/>
        <v>339</v>
      </c>
      <c r="E64" s="6">
        <f>IF(COUNTIF(I64:XFD64,"&gt;"&amp;0)=0,,HLOOKUP(COUNTIF(I64:XFD64,"&gt;"&amp;0)-1,I$1:XFD64,A64+1,FALSE))</f>
        <v>339</v>
      </c>
      <c r="F64" s="7">
        <f>IF(COUNTIF(I64:XFD64,"&gt;"&amp;0)=0,,HLOOKUP(COUNTIF(I64:XFD64,"&gt;"&amp;0)-MIN($F$1+1,COUNTIF(I64:XFD64,"&gt;"&amp;0)),I$1:XFD64,A64+1,FALSE))</f>
        <v>108</v>
      </c>
      <c r="G64" s="8">
        <f t="shared" si="15"/>
        <v>1.2570576303000836</v>
      </c>
      <c r="H64" s="13" t="s">
        <v>283</v>
      </c>
      <c r="I64" s="9">
        <v>108</v>
      </c>
      <c r="J64" s="9">
        <v>136</v>
      </c>
      <c r="K64" s="9">
        <v>199</v>
      </c>
      <c r="L64" s="9">
        <v>310</v>
      </c>
      <c r="M64" s="9">
        <v>339</v>
      </c>
      <c r="N64" s="9">
        <v>339</v>
      </c>
    </row>
    <row r="65" spans="1:15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Algeria</v>
      </c>
      <c r="D65" s="6">
        <f t="shared" si="14"/>
        <v>245</v>
      </c>
      <c r="E65" s="6">
        <f>IF(COUNTIF(I65:XFD65,"&gt;"&amp;0)=0,,HLOOKUP(COUNTIF(I65:XFD65,"&gt;"&amp;0)-1,I$1:XFD65,A65+1,FALSE))</f>
        <v>245</v>
      </c>
      <c r="F65" s="7">
        <f>IF(COUNTIF(I65:XFD65,"&gt;"&amp;0)=0,,HLOOKUP(COUNTIF(I65:XFD65,"&gt;"&amp;0)-MIN($F$1+1,COUNTIF(I65:XFD65,"&gt;"&amp;0)),I$1:XFD65,A65+1,FALSE))</f>
        <v>92</v>
      </c>
      <c r="G65" s="8">
        <f t="shared" si="15"/>
        <v>1.3860942194133024</v>
      </c>
      <c r="H65" s="13" t="s">
        <v>75</v>
      </c>
      <c r="I65" s="9">
        <v>92</v>
      </c>
      <c r="J65" s="9">
        <v>119</v>
      </c>
      <c r="K65" s="9">
        <v>148</v>
      </c>
      <c r="L65" s="9">
        <v>245</v>
      </c>
    </row>
    <row r="66" spans="1:15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South Africa</v>
      </c>
      <c r="D66" s="6">
        <f t="shared" si="14"/>
        <v>554</v>
      </c>
      <c r="E66" s="6">
        <f>IF(COUNTIF(I66:XFD66,"&gt;"&amp;0)=0,,HLOOKUP(COUNTIF(I66:XFD66,"&gt;"&amp;0)-1,I$1:XFD66,A66+1,FALSE))</f>
        <v>554</v>
      </c>
      <c r="F66" s="7">
        <f>IF(COUNTIF(I66:XFD66,"&gt;"&amp;0)=0,,HLOOKUP(COUNTIF(I66:XFD66,"&gt;"&amp;0)-MIN($F$1+1,COUNTIF(I66:XFD66,"&gt;"&amp;0)),I$1:XFD66,A66+1,FALSE))</f>
        <v>150</v>
      </c>
      <c r="G66" s="8">
        <f t="shared" si="15"/>
        <v>1.2986248261422353</v>
      </c>
      <c r="H66" s="13" t="s">
        <v>145</v>
      </c>
      <c r="I66" s="9">
        <v>116</v>
      </c>
      <c r="J66" s="9">
        <v>150</v>
      </c>
      <c r="K66" s="9">
        <v>202</v>
      </c>
      <c r="L66" s="9">
        <v>240</v>
      </c>
      <c r="M66" s="9">
        <v>274</v>
      </c>
      <c r="N66" s="9">
        <v>402</v>
      </c>
      <c r="O66" s="9">
        <v>554</v>
      </c>
    </row>
    <row r="67" spans="1:15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Bulgaria</v>
      </c>
      <c r="D67" s="6">
        <f t="shared" si="14"/>
        <v>215</v>
      </c>
      <c r="E67" s="6">
        <f>IF(COUNTIF(I67:XFD67,"&gt;"&amp;0)=0,,HLOOKUP(COUNTIF(I67:XFD67,"&gt;"&amp;0)-1,I$1:XFD67,A67+1,FALSE))</f>
        <v>215</v>
      </c>
      <c r="F67" s="7">
        <f>IF(COUNTIF(I67:XFD67,"&gt;"&amp;0)=0,,HLOOKUP(COUNTIF(I67:XFD67,"&gt;"&amp;0)-MIN($F$1+1,COUNTIF(I67:XFD67,"&gt;"&amp;0)),I$1:XFD67,A67+1,FALSE))</f>
        <v>124</v>
      </c>
      <c r="G67" s="8">
        <f t="shared" si="15"/>
        <v>1.1475039619549519</v>
      </c>
      <c r="H67" s="13" t="s">
        <v>199</v>
      </c>
      <c r="I67" s="9">
        <v>124</v>
      </c>
      <c r="J67" s="9">
        <v>157</v>
      </c>
      <c r="K67" s="9">
        <v>181</v>
      </c>
      <c r="L67" s="9">
        <v>195</v>
      </c>
      <c r="M67" s="9">
        <v>215</v>
      </c>
    </row>
    <row r="68" spans="1:15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Costa Rica</v>
      </c>
      <c r="D68" s="6">
        <f t="shared" si="14"/>
        <v>175</v>
      </c>
      <c r="E68" s="6">
        <f>IF(COUNTIF(I68:XFD68,"&gt;"&amp;0)=0,,HLOOKUP(COUNTIF(I68:XFD68,"&gt;"&amp;0)-1,I$1:XFD68,A68+1,FALSE))</f>
        <v>175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5"/>
        <v>1.1569640605038911</v>
      </c>
      <c r="H68" s="13" t="s">
        <v>159</v>
      </c>
      <c r="I68" s="9">
        <v>113</v>
      </c>
      <c r="J68" s="9">
        <v>130</v>
      </c>
      <c r="K68" s="9">
        <v>154</v>
      </c>
      <c r="L68" s="9">
        <v>175</v>
      </c>
    </row>
    <row r="69" spans="1:15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Hungary</v>
      </c>
      <c r="D69" s="6">
        <f t="shared" si="14"/>
        <v>178</v>
      </c>
      <c r="E69" s="6">
        <f>IF(COUNTIF(I69:XFD69,"&gt;"&amp;0)=0,,HLOOKUP(COUNTIF(I69:XFD69,"&gt;"&amp;0)-1,I$1:XFD69,A69+1,FALSE))</f>
        <v>178</v>
      </c>
      <c r="F69" s="7">
        <f>IF(COUNTIF(I69:XFD69,"&gt;"&amp;0)=0,,HLOOKUP(COUNTIF(I69:XFD69,"&gt;"&amp;0)-MIN($F$1+1,COUNTIF(I69:XFD69,"&gt;"&amp;0)),I$1:XFD69,A69+1,FALSE))</f>
        <v>92</v>
      </c>
      <c r="G69" s="8">
        <f t="shared" si="15"/>
        <v>1.2460746426808393</v>
      </c>
      <c r="H69" s="13" t="s">
        <v>132</v>
      </c>
      <c r="I69" s="9">
        <v>92</v>
      </c>
      <c r="J69" s="9">
        <v>109</v>
      </c>
      <c r="K69" s="9">
        <v>144</v>
      </c>
      <c r="L69" s="9">
        <v>178</v>
      </c>
    </row>
    <row r="70" spans="1:15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Ecuador</v>
      </c>
      <c r="D70" s="6">
        <f t="shared" ref="D70:D133" si="17">MAX(I70:CL70)</f>
        <v>1055</v>
      </c>
      <c r="E70" s="6">
        <f>IF(COUNTIF(I70:XFD70,"&gt;"&amp;0)=0,,HLOOKUP(COUNTIF(I70:XFD70,"&gt;"&amp;0)-1,I$1:XFD70,A70+1,FALSE))</f>
        <v>1055</v>
      </c>
      <c r="F70" s="7">
        <f>IF(COUNTIF(I70:XFD70,"&gt;"&amp;0)=0,,HLOOKUP(COUNTIF(I70:XFD70,"&gt;"&amp;0)-MIN($F$1+1,COUNTIF(I70:XFD70,"&gt;"&amp;0)),I$1:XFD70,A70+1,FALSE))</f>
        <v>196</v>
      </c>
      <c r="G70" s="8">
        <f t="shared" ref="G70:G133" si="18">IF(COUNTIF(I70:XFD70,"&gt;"&amp;0)=0,,(E70/F70)^(1/MIN(COUNTIF(I70:XFD70,"&gt;"&amp;0)-1,$F$1)))</f>
        <v>1.4002296758381831</v>
      </c>
      <c r="H70" s="13" t="s">
        <v>103</v>
      </c>
      <c r="I70" s="9">
        <v>109</v>
      </c>
      <c r="J70" s="9">
        <v>196</v>
      </c>
      <c r="K70" s="9">
        <v>362</v>
      </c>
      <c r="L70" s="9">
        <v>496</v>
      </c>
      <c r="M70" s="9">
        <v>772</v>
      </c>
      <c r="N70" s="9">
        <v>960</v>
      </c>
      <c r="O70" s="9">
        <v>1055</v>
      </c>
    </row>
    <row r="71" spans="1:15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Latvia</v>
      </c>
      <c r="D71" s="6">
        <f t="shared" si="17"/>
        <v>197</v>
      </c>
      <c r="E71" s="6">
        <f>IF(COUNTIF(I71:XFD71,"&gt;"&amp;0)=0,,HLOOKUP(COUNTIF(I71:XFD71,"&gt;"&amp;0)-1,I$1:XFD71,A71+1,FALSE))</f>
        <v>197</v>
      </c>
      <c r="F71" s="7">
        <f>IF(COUNTIF(I71:XFD71,"&gt;"&amp;0)=0,,HLOOKUP(COUNTIF(I71:XFD71,"&gt;"&amp;0)-MIN($F$1+1,COUNTIF(I71:XFD71,"&gt;"&amp;0)),I$1:XFD71,A71+1,FALSE))</f>
        <v>110</v>
      </c>
      <c r="G71" s="8">
        <f t="shared" si="18"/>
        <v>1.1568269170988263</v>
      </c>
      <c r="H71" s="13" t="s">
        <v>111</v>
      </c>
      <c r="I71" s="9">
        <v>110</v>
      </c>
      <c r="J71" s="9">
        <v>123</v>
      </c>
      <c r="K71" s="9">
        <v>138</v>
      </c>
      <c r="L71" s="9">
        <v>179</v>
      </c>
      <c r="M71" s="9">
        <v>197</v>
      </c>
    </row>
    <row r="72" spans="1:15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Tunisia</v>
      </c>
      <c r="D72" s="6">
        <f t="shared" si="17"/>
        <v>110</v>
      </c>
      <c r="E72" s="6">
        <f>IF(COUNTIF(I72:XFD72,"&gt;"&amp;0)=0,,HLOOKUP(COUNTIF(I72:XFD72,"&gt;"&amp;0)-1,I$1:XFD72,A72+1,FALSE))</f>
        <v>110</v>
      </c>
      <c r="F72" s="7">
        <f>IF(COUNTIF(I72:XFD72,"&gt;"&amp;0)=0,,HLOOKUP(COUNTIF(I72:XFD72,"&gt;"&amp;0)-MIN($F$1+1,COUNTIF(I72:XFD72,"&gt;"&amp;0)),I$1:XFD72,A72+1,FALSE))</f>
        <v>110</v>
      </c>
      <c r="G72" s="8" t="e">
        <f t="shared" si="18"/>
        <v>#DIV/0!</v>
      </c>
      <c r="H72" s="13" t="s">
        <v>138</v>
      </c>
      <c r="I72" s="9">
        <v>110</v>
      </c>
    </row>
    <row r="73" spans="1:15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Cyprus</v>
      </c>
      <c r="D73" s="6">
        <f t="shared" si="17"/>
        <v>121</v>
      </c>
      <c r="E73" s="6">
        <f>IF(COUNTIF(I73:XFD73,"&gt;"&amp;0)=0,,HLOOKUP(COUNTIF(I73:XFD73,"&gt;"&amp;0)-1,I$1:XFD73,A73+1,FALSE))</f>
        <v>121</v>
      </c>
      <c r="F73" s="7">
        <f>IF(COUNTIF(I73:XFD73,"&gt;"&amp;0)=0,,HLOOKUP(COUNTIF(I73:XFD73,"&gt;"&amp;0)-MIN($F$1+1,COUNTIF(I73:XFD73,"&gt;"&amp;0)),I$1:XFD73,A73+1,FALSE))</f>
        <v>112</v>
      </c>
      <c r="G73" s="8">
        <f t="shared" si="18"/>
        <v>1.0803571428571428</v>
      </c>
      <c r="H73" s="13" t="s">
        <v>231</v>
      </c>
      <c r="I73" s="9">
        <v>112</v>
      </c>
      <c r="J73" s="9">
        <v>121</v>
      </c>
    </row>
    <row r="74" spans="1:15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North Macedonia</v>
      </c>
      <c r="D74" s="6">
        <f t="shared" si="17"/>
        <v>146</v>
      </c>
      <c r="E74" s="6">
        <f>IF(COUNTIF(I74:XFD74,"&gt;"&amp;0)=0,,HLOOKUP(COUNTIF(I74:XFD74,"&gt;"&amp;0)-1,I$1:XFD74,A74+1,FALSE))</f>
        <v>146</v>
      </c>
      <c r="F74" s="7">
        <f>IF(COUNTIF(I74:XFD74,"&gt;"&amp;0)=0,,HLOOKUP(COUNTIF(I74:XFD74,"&gt;"&amp;0)-MIN($F$1+1,COUNTIF(I74:XFD74,"&gt;"&amp;0)),I$1:XFD74,A74+1,FALSE))</f>
        <v>113</v>
      </c>
      <c r="G74" s="8">
        <f t="shared" si="18"/>
        <v>1.1366773500998815</v>
      </c>
      <c r="H74" s="13" t="s">
        <v>84</v>
      </c>
      <c r="I74" s="9">
        <v>113</v>
      </c>
      <c r="J74" s="9">
        <v>133</v>
      </c>
      <c r="K74" s="9">
        <v>146</v>
      </c>
    </row>
    <row r="75" spans="1:15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Bosnia and Herzegovina</v>
      </c>
      <c r="D75" s="6">
        <f t="shared" si="17"/>
        <v>163</v>
      </c>
      <c r="E75" s="6">
        <f>IF(COUNTIF(I75:XFD75,"&gt;"&amp;0)=0,,HLOOKUP(COUNTIF(I75:XFD75,"&gt;"&amp;0)-1,I$1:XFD75,A75+1,FALSE))</f>
        <v>163</v>
      </c>
      <c r="F75" s="7">
        <f>IF(COUNTIF(I75:XFD75,"&gt;"&amp;0)=0,,HLOOKUP(COUNTIF(I75:XFD75,"&gt;"&amp;0)-MIN($F$1+1,COUNTIF(I75:XFD75,"&gt;"&amp;0)),I$1:XFD75,A75+1,FALSE))</f>
        <v>123</v>
      </c>
      <c r="G75" s="8">
        <f t="shared" si="18"/>
        <v>1.151174726977847</v>
      </c>
      <c r="H75" s="13" t="s">
        <v>140</v>
      </c>
      <c r="I75" s="9">
        <v>123</v>
      </c>
      <c r="J75" s="9">
        <v>133</v>
      </c>
      <c r="K75" s="9">
        <v>163</v>
      </c>
    </row>
    <row r="76" spans="1:15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Colombia</v>
      </c>
      <c r="D76" s="6">
        <f t="shared" si="17"/>
        <v>375</v>
      </c>
      <c r="E76" s="6">
        <f>IF(COUNTIF(I76:XFD76,"&gt;"&amp;0)=0,,HLOOKUP(COUNTIF(I76:XFD76,"&gt;"&amp;0)-1,I$1:XFD76,A76+1,FALSE))</f>
        <v>375</v>
      </c>
      <c r="F76" s="7">
        <f>IF(COUNTIF(I76:XFD76,"&gt;"&amp;0)=0,,HLOOKUP(COUNTIF(I76:XFD76,"&gt;"&amp;0)-MIN($F$1+1,COUNTIF(I76:XFD76,"&gt;"&amp;0)),I$1:XFD76,A76+1,FALSE))</f>
        <v>101</v>
      </c>
      <c r="G76" s="8">
        <f t="shared" si="18"/>
        <v>1.2999958885723424</v>
      </c>
      <c r="H76" s="13" t="s">
        <v>158</v>
      </c>
      <c r="I76" s="9">
        <v>101</v>
      </c>
      <c r="J76" s="9">
        <v>127</v>
      </c>
      <c r="K76" s="9">
        <v>195</v>
      </c>
      <c r="L76" s="9">
        <v>226</v>
      </c>
      <c r="M76" s="9">
        <v>271</v>
      </c>
      <c r="N76" s="9">
        <v>375</v>
      </c>
    </row>
    <row r="77" spans="1:15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Malta</v>
      </c>
      <c r="D77" s="6">
        <f t="shared" si="17"/>
        <v>110</v>
      </c>
      <c r="E77" s="6">
        <f>IF(COUNTIF(I77:XFD77,"&gt;"&amp;0)=0,,HLOOKUP(COUNTIF(I77:XFD77,"&gt;"&amp;0)-1,I$1:XFD77,A77+1,FALSE))</f>
        <v>110</v>
      </c>
      <c r="F77" s="7">
        <f>IF(COUNTIF(I77:XFD77,"&gt;"&amp;0)=0,,HLOOKUP(COUNTIF(I77:XFD77,"&gt;"&amp;0)-MIN($F$1+1,COUNTIF(I77:XFD77,"&gt;"&amp;0)),I$1:XFD77,A77+1,FALSE))</f>
        <v>105</v>
      </c>
      <c r="G77" s="8">
        <f t="shared" si="18"/>
        <v>1.0476190476190477</v>
      </c>
      <c r="H77" s="13" t="s">
        <v>177</v>
      </c>
      <c r="I77" s="9">
        <v>105</v>
      </c>
      <c r="J77" s="9">
        <v>110</v>
      </c>
    </row>
    <row r="78" spans="1:15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Mexico</v>
      </c>
      <c r="D78" s="6">
        <f t="shared" si="17"/>
        <v>363</v>
      </c>
      <c r="E78" s="6">
        <f>IF(COUNTIF(I78:XFD78,"&gt;"&amp;0)=0,,HLOOKUP(COUNTIF(I78:XFD78,"&gt;"&amp;0)-1,I$1:XFD78,A78+1,FALSE))</f>
        <v>363</v>
      </c>
      <c r="F78" s="7">
        <f>IF(COUNTIF(I78:XFD78,"&gt;"&amp;0)=0,,HLOOKUP(COUNTIF(I78:XFD78,"&gt;"&amp;0)-MIN($F$1+1,COUNTIF(I78:XFD78,"&gt;"&amp;0)),I$1:XFD78,A78+1,FALSE))</f>
        <v>113</v>
      </c>
      <c r="G78" s="8">
        <f t="shared" si="18"/>
        <v>1.2628903255164821</v>
      </c>
      <c r="H78" s="13" t="s">
        <v>94</v>
      </c>
      <c r="I78" s="9">
        <v>113</v>
      </c>
      <c r="J78" s="9">
        <v>159</v>
      </c>
      <c r="K78" s="9">
        <v>197</v>
      </c>
      <c r="L78" s="9">
        <v>245</v>
      </c>
      <c r="M78" s="9">
        <v>309</v>
      </c>
      <c r="N78" s="9">
        <v>363</v>
      </c>
    </row>
    <row r="79" spans="1:15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Armenia</v>
      </c>
      <c r="D79" s="6">
        <f t="shared" si="17"/>
        <v>249</v>
      </c>
      <c r="E79" s="6">
        <f>IF(COUNTIF(I79:XFD79,"&gt;"&amp;0)=0,,HLOOKUP(COUNTIF(I79:XFD79,"&gt;"&amp;0)-1,I$1:XFD79,A79+1,FALSE))</f>
        <v>249</v>
      </c>
      <c r="F79" s="7">
        <f>IF(COUNTIF(I79:XFD79,"&gt;"&amp;0)=0,,HLOOKUP(COUNTIF(I79:XFD79,"&gt;"&amp;0)-MIN($F$1+1,COUNTIF(I79:XFD79,"&gt;"&amp;0)),I$1:XFD79,A79+1,FALSE))</f>
        <v>114</v>
      </c>
      <c r="G79" s="8">
        <f t="shared" si="18"/>
        <v>1.1691194862341541</v>
      </c>
      <c r="H79" s="13" t="s">
        <v>105</v>
      </c>
      <c r="I79" s="9">
        <v>114</v>
      </c>
      <c r="J79" s="9">
        <v>135</v>
      </c>
      <c r="K79" s="9">
        <v>159</v>
      </c>
      <c r="L79" s="9">
        <v>192</v>
      </c>
      <c r="M79" s="9">
        <v>233</v>
      </c>
      <c r="N79" s="9">
        <v>249</v>
      </c>
    </row>
    <row r="80" spans="1:15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Morocco</v>
      </c>
      <c r="D80" s="6">
        <f t="shared" si="17"/>
        <v>165</v>
      </c>
      <c r="E80" s="6">
        <f>IF(COUNTIF(I80:XFD80,"&gt;"&amp;0)=0,,HLOOKUP(COUNTIF(I80:XFD80,"&gt;"&amp;0)-1,I$1:XFD80,A80+1,FALSE))</f>
        <v>165</v>
      </c>
      <c r="F80" s="7">
        <f>IF(COUNTIF(I80:XFD80,"&gt;"&amp;0)=0,,HLOOKUP(COUNTIF(I80:XFD80,"&gt;"&amp;0)-MIN($F$1+1,COUNTIF(I80:XFD80,"&gt;"&amp;0)),I$1:XFD80,A80+1,FALSE))</f>
        <v>108</v>
      </c>
      <c r="G80" s="8">
        <f t="shared" si="18"/>
        <v>1.2360330811826103</v>
      </c>
      <c r="H80" s="13" t="s">
        <v>112</v>
      </c>
      <c r="I80" s="9">
        <v>108</v>
      </c>
      <c r="J80" s="9">
        <v>136</v>
      </c>
      <c r="K80" s="9">
        <v>165</v>
      </c>
    </row>
    <row r="81" spans="1:14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Lithuania</v>
      </c>
      <c r="D81" s="6">
        <f t="shared" si="17"/>
        <v>207</v>
      </c>
      <c r="E81" s="6">
        <f>IF(COUNTIF(I81:XFD81,"&gt;"&amp;0)=0,,HLOOKUP(COUNTIF(I81:XFD81,"&gt;"&amp;0)-1,I$1:XFD81,A81+1,FALSE))</f>
        <v>207</v>
      </c>
      <c r="F81" s="7">
        <f>IF(COUNTIF(I81:XFD81,"&gt;"&amp;0)=0,,HLOOKUP(COUNTIF(I81:XFD81,"&gt;"&amp;0)-MIN($F$1+1,COUNTIF(I81:XFD81,"&gt;"&amp;0)),I$1:XFD81,A81+1,FALSE))</f>
        <v>141</v>
      </c>
      <c r="G81" s="8">
        <f t="shared" si="18"/>
        <v>1.211645619140753</v>
      </c>
      <c r="H81" s="13" t="s">
        <v>93</v>
      </c>
      <c r="I81" s="9">
        <v>141</v>
      </c>
      <c r="J81" s="9">
        <v>177</v>
      </c>
      <c r="K81" s="9">
        <v>207</v>
      </c>
    </row>
    <row r="82" spans="1:14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>Moldova</v>
      </c>
      <c r="D82" s="6">
        <f t="shared" si="17"/>
        <v>124</v>
      </c>
      <c r="E82" s="6">
        <f>IF(COUNTIF(I82:XFD82,"&gt;"&amp;0)=0,,HLOOKUP(COUNTIF(I82:XFD82,"&gt;"&amp;0)-1,I$1:XFD82,A82+1,FALSE))</f>
        <v>124</v>
      </c>
      <c r="F82" s="7">
        <f>IF(COUNTIF(I82:XFD82,"&gt;"&amp;0)=0,,HLOOKUP(COUNTIF(I82:XFD82,"&gt;"&amp;0)-MIN($F$1+1,COUNTIF(I82:XFD82,"&gt;"&amp;0)),I$1:XFD82,A82+1,FALSE))</f>
        <v>107</v>
      </c>
      <c r="G82" s="8">
        <f t="shared" si="18"/>
        <v>1.1588785046728971</v>
      </c>
      <c r="H82" s="13" t="s">
        <v>345</v>
      </c>
      <c r="I82" s="9">
        <v>107</v>
      </c>
      <c r="J82" s="9">
        <v>124</v>
      </c>
    </row>
    <row r="83" spans="1:14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>Sri Lanka</v>
      </c>
      <c r="D83" s="6">
        <f t="shared" si="17"/>
        <v>102</v>
      </c>
      <c r="E83" s="6">
        <f>IF(COUNTIF(I83:XFD83,"&gt;"&amp;0)=0,,HLOOKUP(COUNTIF(I83:XFD83,"&gt;"&amp;0)-1,I$1:XFD83,A83+1,FALSE))</f>
        <v>102</v>
      </c>
      <c r="F83" s="7">
        <f>IF(COUNTIF(I83:XFD83,"&gt;"&amp;0)=0,,HLOOKUP(COUNTIF(I83:XFD83,"&gt;"&amp;0)-MIN($F$1+1,COUNTIF(I83:XFD83,"&gt;"&amp;0)),I$1:XFD83,A83+1,FALSE))</f>
        <v>102</v>
      </c>
      <c r="G83" s="8" t="e">
        <f t="shared" si="18"/>
        <v>#DIV/0!</v>
      </c>
      <c r="H83" s="13" t="s">
        <v>52</v>
      </c>
      <c r="I83" s="9">
        <v>102</v>
      </c>
    </row>
    <row r="84" spans="1:14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>Dominican Republic</v>
      </c>
      <c r="D84" s="6">
        <f t="shared" si="17"/>
        <v>306</v>
      </c>
      <c r="E84" s="6">
        <f>IF(COUNTIF(I84:XFD84,"&gt;"&amp;0)=0,,HLOOKUP(COUNTIF(I84:XFD84,"&gt;"&amp;0)-1,I$1:XFD84,A84+1,FALSE))</f>
        <v>306</v>
      </c>
      <c r="F84" s="7">
        <f>IF(COUNTIF(I84:XFD84,"&gt;"&amp;0)=0,,HLOOKUP(COUNTIF(I84:XFD84,"&gt;"&amp;0)-MIN($F$1+1,COUNTIF(I84:XFD84,"&gt;"&amp;0)),I$1:XFD84,A84+1,FALSE))</f>
        <v>110</v>
      </c>
      <c r="G84" s="8">
        <f t="shared" si="18"/>
        <v>1.4064023403985808</v>
      </c>
      <c r="H84" s="13" t="s">
        <v>106</v>
      </c>
      <c r="I84" s="9">
        <v>110</v>
      </c>
      <c r="J84" s="9">
        <v>199</v>
      </c>
      <c r="K84" s="9">
        <v>242</v>
      </c>
      <c r="L84" s="9">
        <v>306</v>
      </c>
    </row>
    <row r="85" spans="1:14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>New Zealand</v>
      </c>
      <c r="D85" s="6">
        <f t="shared" si="17"/>
        <v>155</v>
      </c>
      <c r="E85" s="6">
        <f>IF(COUNTIF(I85:XFD85,"&gt;"&amp;0)=0,,HLOOKUP(COUNTIF(I85:XFD85,"&gt;"&amp;0)-1,I$1:XFD85,A85+1,FALSE))</f>
        <v>155</v>
      </c>
      <c r="F85" s="7">
        <f>IF(COUNTIF(I85:XFD85,"&gt;"&amp;0)=0,,HLOOKUP(COUNTIF(I85:XFD85,"&gt;"&amp;0)-MIN($F$1+1,COUNTIF(I85:XFD85,"&gt;"&amp;0)),I$1:XFD85,A85+1,FALSE))</f>
        <v>102</v>
      </c>
      <c r="G85" s="8">
        <f t="shared" si="18"/>
        <v>1.2327237497254828</v>
      </c>
      <c r="H85" s="13" t="s">
        <v>95</v>
      </c>
      <c r="I85" s="9">
        <v>102</v>
      </c>
      <c r="J85" s="9">
        <v>102</v>
      </c>
      <c r="K85" s="9">
        <v>155</v>
      </c>
    </row>
    <row r="86" spans="1:14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>Turkey</v>
      </c>
      <c r="D86" s="6">
        <f t="shared" si="17"/>
        <v>1828</v>
      </c>
      <c r="E86" s="6">
        <f>IF(COUNTIF(I86:XFD86,"&gt;"&amp;0)=0,,HLOOKUP(COUNTIF(I86:XFD86,"&gt;"&amp;0)-1,I$1:XFD86,A86+1,FALSE))</f>
        <v>1828</v>
      </c>
      <c r="F86" s="7">
        <f>IF(COUNTIF(I86:XFD86,"&gt;"&amp;0)=0,,HLOOKUP(COUNTIF(I86:XFD86,"&gt;"&amp;0)-MIN($F$1+1,COUNTIF(I86:XFD86,"&gt;"&amp;0)),I$1:XFD86,A86+1,FALSE))</f>
        <v>189</v>
      </c>
      <c r="G86" s="8">
        <f t="shared" si="18"/>
        <v>1.5743557600997127</v>
      </c>
      <c r="H86" s="13" t="s">
        <v>355</v>
      </c>
      <c r="I86" s="9">
        <v>189</v>
      </c>
      <c r="J86" s="9">
        <v>355</v>
      </c>
      <c r="K86" s="9">
        <v>661</v>
      </c>
      <c r="L86" s="9">
        <v>1206</v>
      </c>
      <c r="M86" s="9">
        <v>1492</v>
      </c>
      <c r="N86" s="9">
        <v>1828</v>
      </c>
    </row>
    <row r="87" spans="1:14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>Burkina Faso</v>
      </c>
      <c r="D87" s="6">
        <f t="shared" si="17"/>
        <v>110</v>
      </c>
      <c r="E87" s="6">
        <f>IF(COUNTIF(I87:XFD87,"&gt;"&amp;0)=0,,HLOOKUP(COUNTIF(I87:XFD87,"&gt;"&amp;0)-1,I$1:XFD87,A87+1,FALSE))</f>
        <v>110</v>
      </c>
      <c r="F87" s="7">
        <f>IF(COUNTIF(I87:XFD87,"&gt;"&amp;0)=0,,HLOOKUP(COUNTIF(I87:XFD87,"&gt;"&amp;0)-MIN($F$1+1,COUNTIF(I87:XFD87,"&gt;"&amp;0)),I$1:XFD87,A87+1,FALSE))</f>
        <v>110</v>
      </c>
      <c r="G87" s="8" t="e">
        <f t="shared" si="18"/>
        <v>#DIV/0!</v>
      </c>
      <c r="H87" s="13" t="s">
        <v>279</v>
      </c>
      <c r="I87" s="9">
        <v>110</v>
      </c>
    </row>
    <row r="88" spans="1:14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>Andorra</v>
      </c>
      <c r="D88" s="6">
        <f t="shared" si="17"/>
        <v>163</v>
      </c>
      <c r="E88" s="6">
        <f>IF(COUNTIF(I88:XFD88,"&gt;"&amp;0)=0,,HLOOKUP(COUNTIF(I88:XFD88,"&gt;"&amp;0)-1,I$1:XFD88,A88+1,FALSE))</f>
        <v>163</v>
      </c>
      <c r="F88" s="7">
        <f>IF(COUNTIF(I88:XFD88,"&gt;"&amp;0)=0,,HLOOKUP(COUNTIF(I88:XFD88,"&gt;"&amp;0)-MIN($F$1+1,COUNTIF(I88:XFD88,"&gt;"&amp;0)),I$1:XFD88,A88+1,FALSE))</f>
        <v>111</v>
      </c>
      <c r="G88" s="8">
        <f t="shared" si="18"/>
        <v>1.2118038077463154</v>
      </c>
      <c r="H88" s="13" t="s">
        <v>109</v>
      </c>
      <c r="I88" s="9">
        <v>111</v>
      </c>
      <c r="J88" s="9">
        <v>131</v>
      </c>
      <c r="K88" s="9">
        <v>163</v>
      </c>
    </row>
    <row r="89" spans="1:14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>Jordan</v>
      </c>
      <c r="D89" s="6">
        <f t="shared" si="17"/>
        <v>154</v>
      </c>
      <c r="E89" s="6">
        <f>IF(COUNTIF(I89:XFD89,"&gt;"&amp;0)=0,,HLOOKUP(COUNTIF(I89:XFD89,"&gt;"&amp;0)-1,I$1:XFD89,A89+1,FALSE))</f>
        <v>154</v>
      </c>
      <c r="F89" s="7">
        <f>IF(COUNTIF(I89:XFD89,"&gt;"&amp;0)=0,,HLOOKUP(COUNTIF(I89:XFD89,"&gt;"&amp;0)-MIN($F$1+1,COUNTIF(I89:XFD89,"&gt;"&amp;0)),I$1:XFD89,A89+1,FALSE))</f>
        <v>111</v>
      </c>
      <c r="G89" s="8">
        <f t="shared" si="18"/>
        <v>1.1778740965771288</v>
      </c>
      <c r="H89" s="13" t="s">
        <v>125</v>
      </c>
      <c r="I89" s="9">
        <v>111</v>
      </c>
      <c r="J89" s="9">
        <v>126</v>
      </c>
      <c r="K89" s="9">
        <v>154</v>
      </c>
    </row>
    <row r="90" spans="1:14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14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14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14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14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14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14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R9" sqref="R9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</v>
      </c>
      <c r="J2" s="10">
        <f t="shared" ref="J2:AO2" si="7">I2*1.5</f>
        <v>15</v>
      </c>
      <c r="K2" s="10">
        <f t="shared" si="7"/>
        <v>22.5</v>
      </c>
      <c r="L2" s="10">
        <f t="shared" si="7"/>
        <v>33.75</v>
      </c>
      <c r="M2" s="10">
        <f t="shared" si="7"/>
        <v>50.625</v>
      </c>
      <c r="N2" s="10">
        <f t="shared" si="7"/>
        <v>75.9375</v>
      </c>
      <c r="O2" s="10">
        <f t="shared" si="7"/>
        <v>113.90625</v>
      </c>
      <c r="P2" s="10">
        <f t="shared" si="7"/>
        <v>170.859375</v>
      </c>
      <c r="Q2" s="10">
        <f t="shared" si="7"/>
        <v>256.2890625</v>
      </c>
      <c r="R2" s="10">
        <f t="shared" si="7"/>
        <v>384.43359375</v>
      </c>
      <c r="S2" s="10">
        <f t="shared" si="7"/>
        <v>576.650390625</v>
      </c>
      <c r="T2" s="10">
        <f t="shared" si="7"/>
        <v>864.9755859375</v>
      </c>
      <c r="U2" s="10">
        <f t="shared" si="7"/>
        <v>1297.46337890625</v>
      </c>
      <c r="V2" s="10">
        <f t="shared" si="7"/>
        <v>1946.195068359375</v>
      </c>
      <c r="W2" s="10">
        <f t="shared" si="7"/>
        <v>2919.2926025390625</v>
      </c>
      <c r="X2" s="10">
        <f t="shared" si="7"/>
        <v>4378.9389038085938</v>
      </c>
      <c r="Y2" s="10">
        <f t="shared" si="7"/>
        <v>6568.4083557128906</v>
      </c>
      <c r="Z2" s="10">
        <f t="shared" si="7"/>
        <v>9852.6125335693359</v>
      </c>
      <c r="AA2" s="10">
        <f t="shared" si="7"/>
        <v>14778.918800354004</v>
      </c>
      <c r="AB2" s="10">
        <f t="shared" si="7"/>
        <v>22168.378200531006</v>
      </c>
      <c r="AC2" s="10">
        <f t="shared" si="7"/>
        <v>33252.567300796509</v>
      </c>
      <c r="AD2" s="10">
        <f t="shared" si="7"/>
        <v>49878.850951194763</v>
      </c>
      <c r="AE2" s="10">
        <f t="shared" si="7"/>
        <v>74818.276426792145</v>
      </c>
      <c r="AF2" s="10">
        <f t="shared" si="7"/>
        <v>112227.41464018822</v>
      </c>
      <c r="AG2" s="10">
        <f t="shared" si="7"/>
        <v>168341.12196028233</v>
      </c>
      <c r="AH2" s="10">
        <f t="shared" si="7"/>
        <v>252511.68294042349</v>
      </c>
      <c r="AI2" s="10">
        <f t="shared" si="7"/>
        <v>378767.52441063523</v>
      </c>
      <c r="AJ2" s="10">
        <f t="shared" si="7"/>
        <v>568151.28661595285</v>
      </c>
      <c r="AK2" s="10">
        <f t="shared" si="7"/>
        <v>852226.92992392927</v>
      </c>
      <c r="AL2" s="10">
        <f t="shared" si="7"/>
        <v>1278340.3948858939</v>
      </c>
      <c r="AM2" s="10">
        <f t="shared" si="7"/>
        <v>1917510.5923288409</v>
      </c>
      <c r="AN2" s="10">
        <f t="shared" si="7"/>
        <v>2876265.8884932613</v>
      </c>
      <c r="AO2" s="10">
        <f t="shared" si="7"/>
        <v>4314398.8327398915</v>
      </c>
      <c r="AP2" s="10">
        <f t="shared" ref="AP2:BH2" si="8">AO2*1.5</f>
        <v>6471598.2491098372</v>
      </c>
      <c r="AQ2" s="10">
        <f t="shared" si="8"/>
        <v>9707397.3736647554</v>
      </c>
      <c r="AR2" s="10">
        <f t="shared" si="8"/>
        <v>14561096.060497133</v>
      </c>
      <c r="AS2" s="10">
        <f t="shared" si="8"/>
        <v>21841644.090745699</v>
      </c>
      <c r="AT2" s="10">
        <f t="shared" si="8"/>
        <v>32762466.136118546</v>
      </c>
      <c r="AU2" s="10">
        <f t="shared" si="8"/>
        <v>49143699.204177819</v>
      </c>
      <c r="AV2" s="10">
        <f t="shared" si="8"/>
        <v>73715548.806266725</v>
      </c>
      <c r="AW2" s="10">
        <f t="shared" si="8"/>
        <v>110573323.20940009</v>
      </c>
      <c r="AX2" s="10">
        <f t="shared" si="8"/>
        <v>165859984.81410015</v>
      </c>
      <c r="AY2" s="10">
        <f t="shared" si="8"/>
        <v>248789977.22115022</v>
      </c>
      <c r="AZ2" s="10">
        <f t="shared" si="8"/>
        <v>373184965.83172536</v>
      </c>
      <c r="BA2" s="10">
        <f t="shared" si="8"/>
        <v>559777448.74758804</v>
      </c>
      <c r="BB2" s="10">
        <f t="shared" si="8"/>
        <v>839666173.121382</v>
      </c>
      <c r="BC2" s="10">
        <f t="shared" si="8"/>
        <v>1259499259.6820731</v>
      </c>
      <c r="BD2" s="10">
        <f t="shared" si="8"/>
        <v>1889248889.5231097</v>
      </c>
      <c r="BE2" s="10">
        <f t="shared" si="8"/>
        <v>2833873334.2846646</v>
      </c>
      <c r="BF2" s="10">
        <f t="shared" si="8"/>
        <v>4250810001.4269972</v>
      </c>
      <c r="BG2" s="10">
        <f t="shared" si="8"/>
        <v>6376215002.1404953</v>
      </c>
      <c r="BH2" s="10">
        <f t="shared" si="8"/>
        <v>9564322503.210743</v>
      </c>
    </row>
    <row r="3" spans="1:307" x14ac:dyDescent="0.25">
      <c r="A3" s="9">
        <f t="shared" si="5"/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 t="shared" si="6"/>
        <v>1.4</v>
      </c>
      <c r="H3" s="15" t="s">
        <v>431</v>
      </c>
      <c r="I3" s="9">
        <v>10</v>
      </c>
      <c r="J3" s="10">
        <f t="shared" ref="J3:AO3" si="9">I3*1.4</f>
        <v>14</v>
      </c>
      <c r="K3" s="10">
        <f t="shared" si="9"/>
        <v>19.599999999999998</v>
      </c>
      <c r="L3" s="10">
        <f t="shared" si="9"/>
        <v>27.439999999999994</v>
      </c>
      <c r="M3" s="10">
        <f t="shared" si="9"/>
        <v>38.41599999999999</v>
      </c>
      <c r="N3" s="10">
        <f t="shared" si="9"/>
        <v>53.782399999999981</v>
      </c>
      <c r="O3" s="10">
        <f t="shared" si="9"/>
        <v>75.295359999999974</v>
      </c>
      <c r="P3" s="10">
        <f t="shared" si="9"/>
        <v>105.41350399999996</v>
      </c>
      <c r="Q3" s="10">
        <f t="shared" si="9"/>
        <v>147.57890559999993</v>
      </c>
      <c r="R3" s="10">
        <f t="shared" si="9"/>
        <v>206.6104678399999</v>
      </c>
      <c r="S3" s="10">
        <f t="shared" si="9"/>
        <v>289.25465497599981</v>
      </c>
      <c r="T3" s="10">
        <f t="shared" si="9"/>
        <v>404.9565169663997</v>
      </c>
      <c r="U3" s="10">
        <f t="shared" si="9"/>
        <v>566.93912375295952</v>
      </c>
      <c r="V3" s="10">
        <f t="shared" si="9"/>
        <v>793.71477325414332</v>
      </c>
      <c r="W3" s="10">
        <f t="shared" si="9"/>
        <v>1111.2006825558005</v>
      </c>
      <c r="X3" s="10">
        <f t="shared" si="9"/>
        <v>1555.6809555781206</v>
      </c>
      <c r="Y3" s="10">
        <f t="shared" si="9"/>
        <v>2177.9533378093688</v>
      </c>
      <c r="Z3" s="10">
        <f t="shared" si="9"/>
        <v>3049.1346729331162</v>
      </c>
      <c r="AA3" s="10">
        <f t="shared" si="9"/>
        <v>4268.7885421063629</v>
      </c>
      <c r="AB3" s="10">
        <f t="shared" si="9"/>
        <v>5976.3039589489081</v>
      </c>
      <c r="AC3" s="10">
        <f t="shared" si="9"/>
        <v>8366.8255425284715</v>
      </c>
      <c r="AD3" s="10">
        <f t="shared" si="9"/>
        <v>11713.555759539859</v>
      </c>
      <c r="AE3" s="10">
        <f t="shared" si="9"/>
        <v>16398.9780633558</v>
      </c>
      <c r="AF3" s="10">
        <f t="shared" si="9"/>
        <v>22958.56928869812</v>
      </c>
      <c r="AG3" s="10">
        <f t="shared" si="9"/>
        <v>32141.997004177367</v>
      </c>
      <c r="AH3" s="10">
        <f t="shared" si="9"/>
        <v>44998.795805848313</v>
      </c>
      <c r="AI3" s="10">
        <f t="shared" si="9"/>
        <v>62998.314128187631</v>
      </c>
      <c r="AJ3" s="10">
        <f t="shared" si="9"/>
        <v>88197.639779462683</v>
      </c>
      <c r="AK3" s="10">
        <f t="shared" si="9"/>
        <v>123476.69569124775</v>
      </c>
      <c r="AL3" s="10">
        <f t="shared" si="9"/>
        <v>172867.37396774683</v>
      </c>
      <c r="AM3" s="10">
        <f t="shared" si="9"/>
        <v>242014.32355484553</v>
      </c>
      <c r="AN3" s="10">
        <f t="shared" si="9"/>
        <v>338820.05297678371</v>
      </c>
      <c r="AO3" s="10">
        <f t="shared" si="9"/>
        <v>474348.07416749717</v>
      </c>
      <c r="AP3" s="10">
        <f t="shared" ref="AP3:BH3" si="10">AO3*1.4</f>
        <v>664087.30383449595</v>
      </c>
      <c r="AQ3" s="10">
        <f t="shared" si="10"/>
        <v>929722.22536829428</v>
      </c>
      <c r="AR3" s="10">
        <f t="shared" si="10"/>
        <v>1301611.1155156118</v>
      </c>
      <c r="AS3" s="10">
        <f t="shared" si="10"/>
        <v>1822255.5617218565</v>
      </c>
      <c r="AT3" s="10">
        <f t="shared" si="10"/>
        <v>2551157.786410599</v>
      </c>
      <c r="AU3" s="10">
        <f t="shared" si="10"/>
        <v>3571620.9009748385</v>
      </c>
      <c r="AV3" s="10">
        <f t="shared" si="10"/>
        <v>5000269.2613647738</v>
      </c>
      <c r="AW3" s="10">
        <f t="shared" si="10"/>
        <v>7000376.9659106834</v>
      </c>
      <c r="AX3" s="10">
        <f t="shared" si="10"/>
        <v>9800527.7522749566</v>
      </c>
      <c r="AY3" s="10">
        <f t="shared" si="10"/>
        <v>13720738.853184938</v>
      </c>
      <c r="AZ3" s="10">
        <f t="shared" si="10"/>
        <v>19209034.394458912</v>
      </c>
      <c r="BA3" s="10">
        <f t="shared" si="10"/>
        <v>26892648.152242474</v>
      </c>
      <c r="BB3" s="10">
        <f t="shared" si="10"/>
        <v>37649707.413139462</v>
      </c>
      <c r="BC3" s="10">
        <f t="shared" si="10"/>
        <v>52709590.378395244</v>
      </c>
      <c r="BD3" s="10">
        <f t="shared" si="10"/>
        <v>73793426.529753342</v>
      </c>
      <c r="BE3" s="10">
        <f t="shared" si="10"/>
        <v>103310797.14165467</v>
      </c>
      <c r="BF3" s="10">
        <f t="shared" si="10"/>
        <v>144635115.99831653</v>
      </c>
      <c r="BG3" s="10">
        <f t="shared" si="10"/>
        <v>202489162.39764312</v>
      </c>
      <c r="BH3" s="10">
        <f t="shared" si="10"/>
        <v>283484827.35670036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 t="shared" si="6"/>
        <v>1.3</v>
      </c>
      <c r="H4" s="15" t="s">
        <v>432</v>
      </c>
      <c r="I4" s="9">
        <v>10</v>
      </c>
      <c r="J4" s="10">
        <f t="shared" ref="J4:AO4" si="11">I4*1.3</f>
        <v>13</v>
      </c>
      <c r="K4" s="10">
        <f t="shared" si="11"/>
        <v>16.900000000000002</v>
      </c>
      <c r="L4" s="10">
        <f t="shared" si="11"/>
        <v>21.970000000000002</v>
      </c>
      <c r="M4" s="10">
        <f t="shared" si="11"/>
        <v>28.561000000000003</v>
      </c>
      <c r="N4" s="10">
        <f t="shared" si="11"/>
        <v>37.129300000000008</v>
      </c>
      <c r="O4" s="10">
        <f t="shared" si="11"/>
        <v>48.268090000000015</v>
      </c>
      <c r="P4" s="10">
        <f t="shared" si="11"/>
        <v>62.748517000000021</v>
      </c>
      <c r="Q4" s="10">
        <f t="shared" si="11"/>
        <v>81.573072100000033</v>
      </c>
      <c r="R4" s="10">
        <f t="shared" si="11"/>
        <v>106.04499373000004</v>
      </c>
      <c r="S4" s="10">
        <f t="shared" si="11"/>
        <v>137.85849184900007</v>
      </c>
      <c r="T4" s="10">
        <f t="shared" si="11"/>
        <v>179.21603940370011</v>
      </c>
      <c r="U4" s="10">
        <f t="shared" si="11"/>
        <v>232.98085122481015</v>
      </c>
      <c r="V4" s="10">
        <f t="shared" si="11"/>
        <v>302.87510659225319</v>
      </c>
      <c r="W4" s="10">
        <f t="shared" si="11"/>
        <v>393.73763856992917</v>
      </c>
      <c r="X4" s="10">
        <f t="shared" si="11"/>
        <v>511.85893014090794</v>
      </c>
      <c r="Y4" s="10">
        <f t="shared" si="11"/>
        <v>665.4166091831803</v>
      </c>
      <c r="Z4" s="10">
        <f t="shared" si="11"/>
        <v>865.04159193813439</v>
      </c>
      <c r="AA4" s="10">
        <f t="shared" si="11"/>
        <v>1124.5540695195748</v>
      </c>
      <c r="AB4" s="10">
        <f t="shared" si="11"/>
        <v>1461.9202903754474</v>
      </c>
      <c r="AC4" s="10">
        <f t="shared" si="11"/>
        <v>1900.4963774880816</v>
      </c>
      <c r="AD4" s="10">
        <f t="shared" si="11"/>
        <v>2470.645290734506</v>
      </c>
      <c r="AE4" s="10">
        <f t="shared" si="11"/>
        <v>3211.8388779548582</v>
      </c>
      <c r="AF4" s="10">
        <f t="shared" si="11"/>
        <v>4175.3905413413158</v>
      </c>
      <c r="AG4" s="10">
        <f t="shared" si="11"/>
        <v>5428.0077037437104</v>
      </c>
      <c r="AH4" s="10">
        <f t="shared" si="11"/>
        <v>7056.410014866824</v>
      </c>
      <c r="AI4" s="10">
        <f t="shared" si="11"/>
        <v>9173.3330193268721</v>
      </c>
      <c r="AJ4" s="10">
        <f t="shared" si="11"/>
        <v>11925.332925124934</v>
      </c>
      <c r="AK4" s="10">
        <f t="shared" si="11"/>
        <v>15502.932802662415</v>
      </c>
      <c r="AL4" s="10">
        <f t="shared" si="11"/>
        <v>20153.81264346114</v>
      </c>
      <c r="AM4" s="10">
        <f t="shared" si="11"/>
        <v>26199.956436499484</v>
      </c>
      <c r="AN4" s="10">
        <f t="shared" si="11"/>
        <v>34059.943367449334</v>
      </c>
      <c r="AO4" s="10">
        <f t="shared" si="11"/>
        <v>44277.926377684133</v>
      </c>
      <c r="AP4" s="10">
        <f t="shared" ref="AP4:BH4" si="12">AO4*1.3</f>
        <v>57561.304290989377</v>
      </c>
      <c r="AQ4" s="10">
        <f t="shared" si="12"/>
        <v>74829.695578286191</v>
      </c>
      <c r="AR4" s="10">
        <f t="shared" si="12"/>
        <v>97278.604251772049</v>
      </c>
      <c r="AS4" s="10">
        <f t="shared" si="12"/>
        <v>126462.18552730366</v>
      </c>
      <c r="AT4" s="10">
        <f t="shared" si="12"/>
        <v>164400.84118549476</v>
      </c>
      <c r="AU4" s="10">
        <f t="shared" si="12"/>
        <v>213721.0935411432</v>
      </c>
      <c r="AV4" s="10">
        <f t="shared" si="12"/>
        <v>277837.42160348617</v>
      </c>
      <c r="AW4" s="10">
        <f t="shared" si="12"/>
        <v>361188.64808453206</v>
      </c>
      <c r="AX4" s="10">
        <f t="shared" si="12"/>
        <v>469545.24250989169</v>
      </c>
      <c r="AY4" s="10">
        <f t="shared" si="12"/>
        <v>610408.81526285922</v>
      </c>
      <c r="AZ4" s="10">
        <f t="shared" si="12"/>
        <v>793531.45984171703</v>
      </c>
      <c r="BA4" s="10">
        <f t="shared" si="12"/>
        <v>1031590.8977942322</v>
      </c>
      <c r="BB4" s="10">
        <f t="shared" si="12"/>
        <v>1341068.167132502</v>
      </c>
      <c r="BC4" s="10">
        <f t="shared" si="12"/>
        <v>1743388.6172722527</v>
      </c>
      <c r="BD4" s="10">
        <f t="shared" si="12"/>
        <v>2266405.2024539285</v>
      </c>
      <c r="BE4" s="10">
        <f t="shared" si="12"/>
        <v>2946326.7631901074</v>
      </c>
      <c r="BF4" s="10">
        <f t="shared" si="12"/>
        <v>3830224.7921471396</v>
      </c>
      <c r="BG4" s="10">
        <f t="shared" si="12"/>
        <v>4979292.2297912817</v>
      </c>
      <c r="BH4" s="10">
        <f t="shared" si="12"/>
        <v>6473079.8987286668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6820</v>
      </c>
      <c r="E5" s="6">
        <f>IF(COUNTIF(I5:XFD5,"&gt;"&amp;0)=0,,HLOOKUP(COUNTIF(I5:XFD5,"&gt;"&amp;0)-1,I$1:XFD5,A5+1,FALSE))</f>
        <v>6820</v>
      </c>
      <c r="F5" s="7">
        <f>IF(COUNTIF(I5:XFD5,"&gt;"&amp;0)=0,,HLOOKUP(COUNTIF(I5:XFD5,"&gt;"&amp;0)-MIN($F$1+1,COUNTIF(I5:XFD5,"&gt;"&amp;0)),I$1:XFD5,A5+1,FALSE))</f>
        <v>3405</v>
      </c>
      <c r="G5" s="8">
        <f t="shared" si="6"/>
        <v>1.1490355133630137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China</v>
      </c>
      <c r="D6" s="6">
        <f t="shared" si="14"/>
        <v>3123</v>
      </c>
      <c r="E6" s="6">
        <f>IF(COUNTIF(I6:XFD6,"&gt;"&amp;0)=0,,HLOOKUP(COUNTIF(I6:XFD6,"&gt;"&amp;0)-1,I$1:XFD6,A6+1,FALSE))</f>
        <v>3281</v>
      </c>
      <c r="F6" s="7">
        <f>IF(COUNTIF(I6:XFD6,"&gt;"&amp;0)=0,,HLOOKUP(COUNTIF(I6:XFD6,"&gt;"&amp;0)-MIN($F$1+1,COUNTIF(I6:XFD6,"&gt;"&amp;0)),I$1:XFD6,A6+1,FALSE))</f>
        <v>3249</v>
      </c>
      <c r="G6" s="8">
        <f t="shared" si="6"/>
        <v>1.0019621219052799</v>
      </c>
      <c r="H6" s="15" t="s">
        <v>337</v>
      </c>
      <c r="I6" s="9">
        <v>17</v>
      </c>
      <c r="J6" s="9">
        <v>18</v>
      </c>
      <c r="K6" s="9">
        <v>26</v>
      </c>
      <c r="L6" s="9">
        <v>42</v>
      </c>
      <c r="M6" s="9">
        <v>56</v>
      </c>
      <c r="N6" s="9">
        <v>82</v>
      </c>
      <c r="O6" s="9">
        <v>131</v>
      </c>
      <c r="P6" s="9">
        <v>133</v>
      </c>
      <c r="Q6" s="9">
        <v>171</v>
      </c>
      <c r="R6" s="9">
        <v>213</v>
      </c>
      <c r="S6" s="9">
        <v>259</v>
      </c>
      <c r="T6" s="9">
        <v>361</v>
      </c>
      <c r="U6" s="9">
        <v>425</v>
      </c>
      <c r="V6" s="9">
        <v>491</v>
      </c>
      <c r="W6" s="9">
        <v>563</v>
      </c>
      <c r="X6" s="9">
        <v>633</v>
      </c>
      <c r="Y6" s="9">
        <v>718</v>
      </c>
      <c r="Z6" s="9">
        <v>805</v>
      </c>
      <c r="AA6" s="9">
        <v>905</v>
      </c>
      <c r="AB6" s="9">
        <v>1012</v>
      </c>
      <c r="AC6" s="9">
        <v>1112</v>
      </c>
      <c r="AD6" s="9">
        <v>1117</v>
      </c>
      <c r="AE6" s="9">
        <v>1369</v>
      </c>
      <c r="AF6" s="9">
        <v>1521</v>
      </c>
      <c r="AG6" s="9">
        <v>1663</v>
      </c>
      <c r="AH6" s="9">
        <v>1766</v>
      </c>
      <c r="AI6" s="9">
        <v>1864</v>
      </c>
      <c r="AJ6" s="9">
        <v>2003</v>
      </c>
      <c r="AK6" s="9">
        <v>2116</v>
      </c>
      <c r="AL6" s="9">
        <v>2238</v>
      </c>
      <c r="AM6" s="9">
        <v>2238</v>
      </c>
      <c r="AN6" s="9">
        <v>2443</v>
      </c>
      <c r="AO6" s="9">
        <v>2445</v>
      </c>
      <c r="AP6" s="9">
        <v>2595</v>
      </c>
      <c r="AQ6" s="9">
        <v>2665</v>
      </c>
      <c r="AR6" s="9">
        <v>2717</v>
      </c>
      <c r="AS6" s="9">
        <v>2746</v>
      </c>
      <c r="AT6" s="9">
        <v>2790</v>
      </c>
      <c r="AU6" s="9">
        <v>2837</v>
      </c>
      <c r="AV6" s="9">
        <v>2872</v>
      </c>
      <c r="AW6" s="9">
        <v>2914</v>
      </c>
      <c r="AX6" s="9">
        <v>2947</v>
      </c>
      <c r="AY6" s="9">
        <v>2983</v>
      </c>
      <c r="AZ6" s="9">
        <v>3015</v>
      </c>
      <c r="BA6" s="9">
        <v>3044</v>
      </c>
      <c r="BB6" s="9">
        <v>3072</v>
      </c>
      <c r="BC6" s="9">
        <v>3100</v>
      </c>
      <c r="BD6" s="9">
        <v>3123</v>
      </c>
      <c r="BE6" s="9">
        <v>3139</v>
      </c>
      <c r="BF6" s="9">
        <v>3161</v>
      </c>
      <c r="BG6" s="9">
        <v>3172</v>
      </c>
      <c r="BH6" s="9">
        <v>3180</v>
      </c>
      <c r="BI6" s="9">
        <v>3193</v>
      </c>
      <c r="BJ6" s="9">
        <v>3203</v>
      </c>
      <c r="BK6" s="9">
        <v>3217</v>
      </c>
      <c r="BL6" s="9">
        <v>3230</v>
      </c>
      <c r="BM6" s="9">
        <v>3241</v>
      </c>
      <c r="BN6" s="9">
        <v>3249</v>
      </c>
      <c r="BO6" s="9">
        <v>3253</v>
      </c>
      <c r="BP6" s="9">
        <v>3259</v>
      </c>
      <c r="BQ6" s="9">
        <v>3274</v>
      </c>
      <c r="BR6" s="9">
        <v>3274</v>
      </c>
      <c r="BS6" s="9">
        <v>3281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Spain</v>
      </c>
      <c r="D7" s="6">
        <f t="shared" si="14"/>
        <v>2808</v>
      </c>
      <c r="E7" s="6">
        <f>IF(COUNTIF(I7:XFD7,"&gt;"&amp;0)=0,,HLOOKUP(COUNTIF(I7:XFD7,"&gt;"&amp;0)-1,I$1:XFD7,A7+1,FALSE))</f>
        <v>2808</v>
      </c>
      <c r="F7" s="7">
        <f>IF(COUNTIF(I7:XFD7,"&gt;"&amp;0)=0,,HLOOKUP(COUNTIF(I7:XFD7,"&gt;"&amp;0)-MIN($F$1+1,COUNTIF(I7:XFD7,"&gt;"&amp;0)),I$1:XFD7,A7+1,FALSE))</f>
        <v>830</v>
      </c>
      <c r="G7" s="8">
        <f t="shared" si="6"/>
        <v>1.2760385714451405</v>
      </c>
      <c r="H7" s="13" t="s">
        <v>60</v>
      </c>
      <c r="I7" s="9">
        <v>10</v>
      </c>
      <c r="J7" s="9">
        <v>17</v>
      </c>
      <c r="K7" s="9">
        <v>28</v>
      </c>
      <c r="L7" s="9">
        <v>35</v>
      </c>
      <c r="M7" s="9">
        <v>54</v>
      </c>
      <c r="N7" s="9">
        <v>86</v>
      </c>
      <c r="O7" s="9">
        <v>133</v>
      </c>
      <c r="P7" s="9">
        <v>195</v>
      </c>
      <c r="Q7" s="9">
        <v>289</v>
      </c>
      <c r="R7" s="9">
        <v>342</v>
      </c>
      <c r="S7" s="9">
        <v>533</v>
      </c>
      <c r="T7" s="9">
        <v>623</v>
      </c>
      <c r="U7" s="9">
        <v>830</v>
      </c>
      <c r="V7" s="9">
        <v>1043</v>
      </c>
      <c r="W7" s="9">
        <v>1375</v>
      </c>
      <c r="X7" s="9">
        <v>1772</v>
      </c>
      <c r="Y7" s="9">
        <v>2311</v>
      </c>
      <c r="Z7" s="9">
        <v>2808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1102</v>
      </c>
      <c r="E8" s="6">
        <f>IF(COUNTIF(I8:XFD8,"&gt;"&amp;0)=0,,HLOOKUP(COUNTIF(I8:XFD8,"&gt;"&amp;0)-1,I$1:XFD8,A8+1,FALSE))</f>
        <v>1102</v>
      </c>
      <c r="F8" s="7">
        <f>IF(COUNTIF(I8:XFD8,"&gt;"&amp;0)=0,,HLOOKUP(COUNTIF(I8:XFD8,"&gt;"&amp;0)-MIN($F$1+1,COUNTIF(I8:XFD8,"&gt;"&amp;0)),I$1:XFD8,A8+1,FALSE))</f>
        <v>372</v>
      </c>
      <c r="G8" s="8">
        <f t="shared" si="6"/>
        <v>1.2425896472472755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US</v>
      </c>
      <c r="D9" s="6">
        <f t="shared" si="14"/>
        <v>780</v>
      </c>
      <c r="E9" s="6">
        <f>IF(COUNTIF(I9:XFD9,"&gt;"&amp;0)=0,,HLOOKUP(COUNTIF(I9:XFD9,"&gt;"&amp;0)-1,I$1:XFD9,A9+1,FALSE))</f>
        <v>780</v>
      </c>
      <c r="F9" s="7">
        <f>IF(COUNTIF(I9:XFD9,"&gt;"&amp;0)=0,,HLOOKUP(COUNTIF(I9:XFD9,"&gt;"&amp;0)-MIN($F$1+1,COUNTIF(I9:XFD9,"&gt;"&amp;0)),I$1:XFD9,A9+1,FALSE))</f>
        <v>200</v>
      </c>
      <c r="G9" s="8">
        <f t="shared" si="6"/>
        <v>1.3128433885382442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780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423</v>
      </c>
      <c r="E10" s="6">
        <f>IF(COUNTIF(I10:XFD10,"&gt;"&amp;0)=0,,HLOOKUP(COUNTIF(I10:XFD10,"&gt;"&amp;0)-1,I$1:XFD10,A10+1,FALSE))</f>
        <v>423</v>
      </c>
      <c r="F10" s="7">
        <f>IF(COUNTIF(I10:XFD10,"&gt;"&amp;0)=0,,HLOOKUP(COUNTIF(I10:XFD10,"&gt;"&amp;0)-MIN($F$1+1,COUNTIF(I10:XFD10,"&gt;"&amp;0)),I$1:XFD10,A10+1,FALSE))</f>
        <v>138</v>
      </c>
      <c r="G10" s="8">
        <f t="shared" si="6"/>
        <v>1.2511006686338055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157</v>
      </c>
      <c r="E11" s="6">
        <f>IF(COUNTIF(I11:XFD11,"&gt;"&amp;0)=0,,HLOOKUP(COUNTIF(I11:XFD11,"&gt;"&amp;0)-1,I$1:XFD11,A11+1,FALSE))</f>
        <v>157</v>
      </c>
      <c r="F11" s="7">
        <f>IF(COUNTIF(I11:XFD11,"&gt;"&amp;0)=0,,HLOOKUP(COUNTIF(I11:XFD11,"&gt;"&amp;0)-MIN($F$1+1,COUNTIF(I11:XFD11,"&gt;"&amp;0)),I$1:XFD11,A11+1,FALSE))</f>
        <v>44</v>
      </c>
      <c r="G11" s="8">
        <f t="shared" si="6"/>
        <v>1.2897020649374868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Iran</v>
      </c>
      <c r="D12" s="6">
        <f t="shared" si="14"/>
        <v>1934</v>
      </c>
      <c r="E12" s="6">
        <f>IF(COUNTIF(I12:XFD12,"&gt;"&amp;0)=0,,HLOOKUP(COUNTIF(I12:XFD12,"&gt;"&amp;0)-1,I$1:XFD12,A12+1,FALSE))</f>
        <v>1934</v>
      </c>
      <c r="F12" s="7">
        <f>IF(COUNTIF(I12:XFD12,"&gt;"&amp;0)=0,,HLOOKUP(COUNTIF(I12:XFD12,"&gt;"&amp;0)-MIN($F$1+1,COUNTIF(I12:XFD12,"&gt;"&amp;0)),I$1:XFD12,A12+1,FALSE))</f>
        <v>1284</v>
      </c>
      <c r="G12" s="8">
        <f t="shared" si="6"/>
        <v>1.0853711892051316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  <c r="AL12" s="9">
        <v>1812</v>
      </c>
      <c r="AM12" s="9">
        <v>1934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Netherlands</v>
      </c>
      <c r="D13" s="6">
        <f t="shared" si="14"/>
        <v>277</v>
      </c>
      <c r="E13" s="6">
        <f>IF(COUNTIF(I13:XFD13,"&gt;"&amp;0)=0,,HLOOKUP(COUNTIF(I13:XFD13,"&gt;"&amp;0)-1,I$1:XFD13,A13+1,FALSE))</f>
        <v>277</v>
      </c>
      <c r="F13" s="7">
        <f>IF(COUNTIF(I13:XFD13,"&gt;"&amp;0)=0,,HLOOKUP(COUNTIF(I13:XFD13,"&gt;"&amp;0)-MIN($F$1+1,COUNTIF(I13:XFD13,"&gt;"&amp;0)),I$1:XFD13,A13+1,FALSE))</f>
        <v>77</v>
      </c>
      <c r="G13" s="8">
        <f t="shared" si="6"/>
        <v>1.2918075212050855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  <c r="S13" s="9">
        <v>214</v>
      </c>
      <c r="T13" s="9">
        <v>277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Switzerland</v>
      </c>
      <c r="D14" s="6">
        <f t="shared" si="14"/>
        <v>122</v>
      </c>
      <c r="E14" s="6">
        <f>IF(COUNTIF(I14:XFD14,"&gt;"&amp;0)=0,,HLOOKUP(COUNTIF(I14:XFD14,"&gt;"&amp;0)-1,I$1:XFD14,A14+1,FALSE))</f>
        <v>122</v>
      </c>
      <c r="F14" s="7">
        <f>IF(COUNTIF(I14:XFD14,"&gt;"&amp;0)=0,,HLOOKUP(COUNTIF(I14:XFD14,"&gt;"&amp;0)-MIN($F$1+1,COUNTIF(I14:XFD14,"&gt;"&amp;0)),I$1:XFD14,A14+1,FALSE))</f>
        <v>41</v>
      </c>
      <c r="G14" s="8">
        <f t="shared" si="6"/>
        <v>1.2436987412869784</v>
      </c>
      <c r="H14" s="13" t="s">
        <v>77</v>
      </c>
      <c r="I14" s="9">
        <v>11</v>
      </c>
      <c r="J14" s="9">
        <v>13</v>
      </c>
      <c r="K14" s="9">
        <v>14</v>
      </c>
      <c r="L14" s="9">
        <v>14</v>
      </c>
      <c r="M14" s="9">
        <v>27</v>
      </c>
      <c r="N14" s="9">
        <v>28</v>
      </c>
      <c r="O14" s="9">
        <v>41</v>
      </c>
      <c r="P14" s="9">
        <v>54</v>
      </c>
      <c r="Q14" s="9">
        <v>75</v>
      </c>
      <c r="R14" s="9">
        <v>98</v>
      </c>
      <c r="S14" s="9">
        <v>120</v>
      </c>
      <c r="T14" s="9">
        <v>122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Belgium</v>
      </c>
      <c r="D15" s="6">
        <f t="shared" si="14"/>
        <v>122</v>
      </c>
      <c r="E15" s="6">
        <f>IF(COUNTIF(I15:XFD15,"&gt;"&amp;0)=0,,HLOOKUP(COUNTIF(I15:XFD15,"&gt;"&amp;0)-1,I$1:XFD15,A15+1,FALSE))</f>
        <v>122</v>
      </c>
      <c r="F15" s="7">
        <f>IF(COUNTIF(I15:XFD15,"&gt;"&amp;0)=0,,HLOOKUP(COUNTIF(I15:XFD15,"&gt;"&amp;0)-MIN($F$1+1,COUNTIF(I15:XFD15,"&gt;"&amp;0)),I$1:XFD15,A15+1,FALSE))</f>
        <v>21</v>
      </c>
      <c r="G15" s="8">
        <f t="shared" si="6"/>
        <v>1.4217659438742603</v>
      </c>
      <c r="H15" s="13" t="s">
        <v>63</v>
      </c>
      <c r="I15" s="9">
        <v>10</v>
      </c>
      <c r="J15" s="9">
        <v>14</v>
      </c>
      <c r="K15" s="9">
        <v>21</v>
      </c>
      <c r="L15" s="9">
        <v>37</v>
      </c>
      <c r="M15" s="9">
        <v>67</v>
      </c>
      <c r="N15" s="9">
        <v>75</v>
      </c>
      <c r="O15" s="9">
        <v>88</v>
      </c>
      <c r="P15" s="9">
        <v>122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Korea, South</v>
      </c>
      <c r="D16" s="6">
        <f t="shared" si="14"/>
        <v>120</v>
      </c>
      <c r="E16" s="6">
        <f>IF(COUNTIF(I16:XFD16,"&gt;"&amp;0)=0,,HLOOKUP(COUNTIF(I16:XFD16,"&gt;"&amp;0)-1,I$1:XFD16,A16+1,FALSE))</f>
        <v>120</v>
      </c>
      <c r="F16" s="7">
        <f>IF(COUNTIF(I16:XFD16,"&gt;"&amp;0)=0,,HLOOKUP(COUNTIF(I16:XFD16,"&gt;"&amp;0)-MIN($F$1+1,COUNTIF(I16:XFD16,"&gt;"&amp;0)),I$1:XFD16,A16+1,FALSE))</f>
        <v>91</v>
      </c>
      <c r="G16" s="8">
        <f t="shared" si="6"/>
        <v>1.0568855757596152</v>
      </c>
      <c r="H16" s="13" t="s">
        <v>339</v>
      </c>
      <c r="I16" s="9">
        <v>8</v>
      </c>
      <c r="J16" s="9">
        <v>10</v>
      </c>
      <c r="K16" s="9">
        <v>12</v>
      </c>
      <c r="L16" s="9">
        <v>13</v>
      </c>
      <c r="M16" s="9">
        <v>13</v>
      </c>
      <c r="N16" s="9">
        <v>16</v>
      </c>
      <c r="O16" s="9">
        <v>17</v>
      </c>
      <c r="P16" s="9">
        <v>28</v>
      </c>
      <c r="Q16" s="9">
        <v>28</v>
      </c>
      <c r="R16" s="9">
        <v>35</v>
      </c>
      <c r="S16" s="9">
        <v>35</v>
      </c>
      <c r="T16" s="9">
        <v>42</v>
      </c>
      <c r="U16" s="9">
        <v>44</v>
      </c>
      <c r="V16" s="9">
        <v>50</v>
      </c>
      <c r="W16" s="9">
        <v>53</v>
      </c>
      <c r="X16" s="9">
        <v>54</v>
      </c>
      <c r="Y16" s="9">
        <v>60</v>
      </c>
      <c r="Z16" s="9">
        <v>66</v>
      </c>
      <c r="AA16" s="9">
        <v>66</v>
      </c>
      <c r="AB16" s="9">
        <v>72</v>
      </c>
      <c r="AC16" s="9">
        <v>75</v>
      </c>
      <c r="AD16" s="9">
        <v>75</v>
      </c>
      <c r="AE16" s="9">
        <v>81</v>
      </c>
      <c r="AF16" s="9">
        <v>84</v>
      </c>
      <c r="AG16" s="9">
        <v>91</v>
      </c>
      <c r="AH16" s="9">
        <v>94</v>
      </c>
      <c r="AI16" s="9">
        <v>102</v>
      </c>
      <c r="AJ16" s="9">
        <v>111</v>
      </c>
      <c r="AK16" s="9">
        <v>111</v>
      </c>
      <c r="AL16" s="9">
        <v>120</v>
      </c>
    </row>
    <row r="17" spans="1:24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Indonesia</v>
      </c>
      <c r="D17" s="6">
        <f t="shared" si="14"/>
        <v>55</v>
      </c>
      <c r="E17" s="6">
        <f>IF(COUNTIF(I17:XFD17,"&gt;"&amp;0)=0,,HLOOKUP(COUNTIF(I17:XFD17,"&gt;"&amp;0)-1,I$1:XFD17,A17+1,FALSE))</f>
        <v>55</v>
      </c>
      <c r="F17" s="7">
        <f>IF(COUNTIF(I17:XFD17,"&gt;"&amp;0)=0,,HLOOKUP(COUNTIF(I17:XFD17,"&gt;"&amp;0)-MIN($F$1+1,COUNTIF(I17:XFD17,"&gt;"&amp;0)),I$1:XFD17,A17+1,FALSE))</f>
        <v>25</v>
      </c>
      <c r="G17" s="8">
        <f t="shared" si="6"/>
        <v>1.1708049129648923</v>
      </c>
      <c r="H17" s="13" t="s">
        <v>107</v>
      </c>
      <c r="I17" s="9">
        <v>19</v>
      </c>
      <c r="J17" s="9">
        <v>25</v>
      </c>
      <c r="K17" s="9">
        <v>32</v>
      </c>
      <c r="L17" s="9">
        <v>38</v>
      </c>
      <c r="M17" s="9">
        <v>48</v>
      </c>
      <c r="N17" s="9">
        <v>49</v>
      </c>
      <c r="O17" s="9">
        <v>55</v>
      </c>
    </row>
    <row r="18" spans="1:24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Brazil</v>
      </c>
      <c r="D18" s="6">
        <f t="shared" si="14"/>
        <v>46</v>
      </c>
      <c r="E18" s="6">
        <f>IF(COUNTIF(I18:XFD18,"&gt;"&amp;0)=0,,HLOOKUP(COUNTIF(I18:XFD18,"&gt;"&amp;0)-1,I$1:XFD18,A18+1,FALSE))</f>
        <v>46</v>
      </c>
      <c r="F18" s="7">
        <f>IF(COUNTIF(I18:XFD18,"&gt;"&amp;0)=0,,HLOOKUP(COUNTIF(I18:XFD18,"&gt;"&amp;0)-MIN($F$1+1,COUNTIF(I18:XFD18,"&gt;"&amp;0)),I$1:XFD18,A18+1,FALSE))</f>
        <v>11</v>
      </c>
      <c r="G18" s="8">
        <f t="shared" si="6"/>
        <v>1.4300172840151899</v>
      </c>
      <c r="H18" s="13" t="s">
        <v>81</v>
      </c>
      <c r="I18" s="9">
        <v>11</v>
      </c>
      <c r="J18" s="9">
        <v>15</v>
      </c>
      <c r="K18" s="9">
        <v>25</v>
      </c>
      <c r="L18" s="9">
        <v>34</v>
      </c>
      <c r="M18" s="9">
        <v>46</v>
      </c>
    </row>
    <row r="19" spans="1:24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Turkey</v>
      </c>
      <c r="D19" s="6">
        <f t="shared" si="14"/>
        <v>44</v>
      </c>
      <c r="E19" s="6">
        <f>IF(COUNTIF(I19:XFD19,"&gt;"&amp;0)=0,,HLOOKUP(COUNTIF(I19:XFD19,"&gt;"&amp;0)-1,I$1:XFD19,A19+1,FALSE))</f>
        <v>44</v>
      </c>
      <c r="F19" s="7">
        <f>IF(COUNTIF(I19:XFD19,"&gt;"&amp;0)=0,,HLOOKUP(COUNTIF(I19:XFD19,"&gt;"&amp;0)-MIN($F$1+1,COUNTIF(I19:XFD19,"&gt;"&amp;0)),I$1:XFD19,A19+1,FALSE))</f>
        <v>9</v>
      </c>
      <c r="G19" s="8">
        <f t="shared" si="6"/>
        <v>1.6972144565531631</v>
      </c>
      <c r="H19" s="13" t="s">
        <v>355</v>
      </c>
      <c r="I19" s="9">
        <v>9</v>
      </c>
      <c r="J19" s="9">
        <v>30</v>
      </c>
      <c r="K19" s="9">
        <v>37</v>
      </c>
      <c r="L19" s="9">
        <v>44</v>
      </c>
    </row>
    <row r="20" spans="1:24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Japan</v>
      </c>
      <c r="D20" s="6">
        <f t="shared" si="14"/>
        <v>43</v>
      </c>
      <c r="E20" s="6">
        <f>IF(COUNTIF(I20:XFD20,"&gt;"&amp;0)=0,,HLOOKUP(COUNTIF(I20:XFD20,"&gt;"&amp;0)-1,I$1:XFD20,A20+1,FALSE))</f>
        <v>43</v>
      </c>
      <c r="F20" s="7">
        <f>IF(COUNTIF(I20:XFD20,"&gt;"&amp;0)=0,,HLOOKUP(COUNTIF(I20:XFD20,"&gt;"&amp;0)-MIN($F$1+1,COUNTIF(I20:XFD20,"&gt;"&amp;0)),I$1:XFD20,A20+1,FALSE))</f>
        <v>29</v>
      </c>
      <c r="G20" s="8">
        <f t="shared" si="6"/>
        <v>1.0819671907053776</v>
      </c>
      <c r="H20" s="13" t="s">
        <v>36</v>
      </c>
      <c r="I20" s="9">
        <v>10</v>
      </c>
      <c r="J20" s="9">
        <v>10</v>
      </c>
      <c r="K20" s="9">
        <v>15</v>
      </c>
      <c r="L20" s="9">
        <v>16</v>
      </c>
      <c r="M20" s="9">
        <v>19</v>
      </c>
      <c r="N20" s="9">
        <v>22</v>
      </c>
      <c r="O20" s="9">
        <v>22</v>
      </c>
      <c r="P20" s="9">
        <v>27</v>
      </c>
      <c r="Q20" s="9">
        <v>29</v>
      </c>
      <c r="R20" s="9">
        <v>29</v>
      </c>
      <c r="S20" s="9">
        <v>29</v>
      </c>
      <c r="T20" s="9">
        <v>33</v>
      </c>
      <c r="U20" s="9">
        <v>35</v>
      </c>
      <c r="V20" s="9">
        <v>41</v>
      </c>
      <c r="W20" s="9">
        <v>42</v>
      </c>
      <c r="X20" s="9">
        <v>43</v>
      </c>
    </row>
    <row r="21" spans="1:24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Sweden</v>
      </c>
      <c r="D21" s="6">
        <f t="shared" si="14"/>
        <v>36</v>
      </c>
      <c r="E21" s="6">
        <f>IF(COUNTIF(I21:XFD21,"&gt;"&amp;0)=0,,HLOOKUP(COUNTIF(I21:XFD21,"&gt;"&amp;0)-1,I$1:XFD21,A21+1,FALSE))</f>
        <v>36</v>
      </c>
      <c r="F21" s="7">
        <f>IF(COUNTIF(I21:XFD21,"&gt;"&amp;0)=0,,HLOOKUP(COUNTIF(I21:XFD21,"&gt;"&amp;0)-MIN($F$1+1,COUNTIF(I21:XFD21,"&gt;"&amp;0)),I$1:XFD21,A21+1,FALSE))</f>
        <v>11</v>
      </c>
      <c r="G21" s="8">
        <f t="shared" si="6"/>
        <v>1.2675992195350152</v>
      </c>
      <c r="H21" s="13" t="s">
        <v>59</v>
      </c>
      <c r="I21" s="9">
        <v>10</v>
      </c>
      <c r="J21" s="9">
        <v>11</v>
      </c>
      <c r="K21" s="9">
        <v>16</v>
      </c>
      <c r="L21" s="9">
        <v>20</v>
      </c>
      <c r="M21" s="9">
        <v>21</v>
      </c>
      <c r="N21" s="9">
        <v>25</v>
      </c>
      <c r="O21" s="9">
        <v>36</v>
      </c>
    </row>
    <row r="22" spans="1:24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Philippines</v>
      </c>
      <c r="D22" s="6">
        <f t="shared" si="14"/>
        <v>35</v>
      </c>
      <c r="E22" s="6">
        <f>IF(COUNTIF(I22:XFD22,"&gt;"&amp;0)=0,,HLOOKUP(COUNTIF(I22:XFD22,"&gt;"&amp;0)-1,I$1:XFD22,A22+1,FALSE))</f>
        <v>35</v>
      </c>
      <c r="F22" s="7">
        <f>IF(COUNTIF(I22:XFD22,"&gt;"&amp;0)=0,,HLOOKUP(COUNTIF(I22:XFD22,"&gt;"&amp;0)-MIN($F$1+1,COUNTIF(I22:XFD22,"&gt;"&amp;0)),I$1:XFD22,A22+1,FALSE))</f>
        <v>17</v>
      </c>
      <c r="G22" s="8">
        <f t="shared" si="6"/>
        <v>1.1553772840444183</v>
      </c>
      <c r="H22" s="13" t="s">
        <v>56</v>
      </c>
      <c r="I22" s="9">
        <v>8</v>
      </c>
      <c r="J22" s="9">
        <v>11</v>
      </c>
      <c r="K22" s="9">
        <v>12</v>
      </c>
      <c r="L22" s="9">
        <v>12</v>
      </c>
      <c r="M22" s="9">
        <v>19</v>
      </c>
      <c r="N22" s="9">
        <v>17</v>
      </c>
      <c r="O22" s="9">
        <v>18</v>
      </c>
      <c r="P22" s="9">
        <v>19</v>
      </c>
      <c r="Q22" s="9">
        <v>25</v>
      </c>
      <c r="R22" s="9">
        <v>33</v>
      </c>
      <c r="S22" s="9">
        <v>35</v>
      </c>
    </row>
    <row r="23" spans="1:24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Portugal</v>
      </c>
      <c r="D23" s="6">
        <f t="shared" si="14"/>
        <v>33</v>
      </c>
      <c r="E23" s="6">
        <f>IF(COUNTIF(I23:XFD23,"&gt;"&amp;0)=0,,HLOOKUP(COUNTIF(I23:XFD23,"&gt;"&amp;0)-1,I$1:XFD23,A23+1,FALSE))</f>
        <v>33</v>
      </c>
      <c r="F23" s="7">
        <f>IF(COUNTIF(I23:XFD23,"&gt;"&amp;0)=0,,HLOOKUP(COUNTIF(I23:XFD23,"&gt;"&amp;0)-MIN($F$1+1,COUNTIF(I23:XFD23,"&gt;"&amp;0)),I$1:XFD23,A23+1,FALSE))</f>
        <v>12</v>
      </c>
      <c r="G23" s="8">
        <f t="shared" si="6"/>
        <v>1.4010196653276936</v>
      </c>
      <c r="H23" s="13" t="s">
        <v>108</v>
      </c>
      <c r="I23" s="9">
        <v>12</v>
      </c>
      <c r="J23" s="9">
        <v>14</v>
      </c>
      <c r="K23" s="9">
        <v>23</v>
      </c>
      <c r="L23" s="9">
        <v>33</v>
      </c>
    </row>
    <row r="24" spans="1:24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Denmark</v>
      </c>
      <c r="D24" s="6">
        <f t="shared" si="14"/>
        <v>32</v>
      </c>
      <c r="E24" s="6">
        <f>IF(COUNTIF(I24:XFD24,"&gt;"&amp;0)=0,,HLOOKUP(COUNTIF(I24:XFD24,"&gt;"&amp;0)-1,I$1:XFD24,A24+1,FALSE))</f>
        <v>32</v>
      </c>
      <c r="F24" s="7">
        <f>IF(COUNTIF(I24:XFD24,"&gt;"&amp;0)=0,,HLOOKUP(COUNTIF(I24:XFD24,"&gt;"&amp;0)-MIN($F$1+1,COUNTIF(I24:XFD24,"&gt;"&amp;0)),I$1:XFD24,A24+1,FALSE))</f>
        <v>9</v>
      </c>
      <c r="G24" s="8">
        <f t="shared" si="6"/>
        <v>1.3731780959380786</v>
      </c>
      <c r="H24" s="13" t="s">
        <v>87</v>
      </c>
      <c r="I24" s="9">
        <v>9</v>
      </c>
      <c r="J24" s="9">
        <v>13</v>
      </c>
      <c r="K24" s="9">
        <v>13</v>
      </c>
      <c r="L24" s="9">
        <v>24</v>
      </c>
      <c r="M24" s="9">
        <v>32</v>
      </c>
    </row>
    <row r="25" spans="1:24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Austria</v>
      </c>
      <c r="D25" s="6">
        <f t="shared" si="14"/>
        <v>28</v>
      </c>
      <c r="E25" s="6">
        <f>IF(COUNTIF(I25:XFD25,"&gt;"&amp;0)=0,,HLOOKUP(COUNTIF(I25:XFD25,"&gt;"&amp;0)-1,I$1:XFD25,A25+1,FALSE))</f>
        <v>28</v>
      </c>
      <c r="F25" s="7">
        <f>IF(COUNTIF(I25:XFD25,"&gt;"&amp;0)=0,,HLOOKUP(COUNTIF(I25:XFD25,"&gt;"&amp;0)-MIN($F$1+1,COUNTIF(I25:XFD25,"&gt;"&amp;0)),I$1:XFD25,A25+1,FALSE))</f>
        <v>8</v>
      </c>
      <c r="G25" s="8">
        <f t="shared" si="6"/>
        <v>1.5182944859378313</v>
      </c>
      <c r="H25" s="13" t="s">
        <v>78</v>
      </c>
      <c r="I25" s="9">
        <v>8</v>
      </c>
      <c r="J25" s="9">
        <v>16</v>
      </c>
      <c r="K25" s="9">
        <v>21</v>
      </c>
      <c r="L25" s="9">
        <v>28</v>
      </c>
    </row>
    <row r="26" spans="1:24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Iraq</v>
      </c>
      <c r="D26" s="6">
        <f t="shared" si="14"/>
        <v>27</v>
      </c>
      <c r="E26" s="6">
        <f>IF(COUNTIF(I26:XFD26,"&gt;"&amp;0)=0,,HLOOKUP(COUNTIF(I26:XFD26,"&gt;"&amp;0)-1,I$1:XFD26,A26+1,FALSE))</f>
        <v>27</v>
      </c>
      <c r="F26" s="7">
        <f>IF(COUNTIF(I26:XFD26,"&gt;"&amp;0)=0,,HLOOKUP(COUNTIF(I26:XFD26,"&gt;"&amp;0)-MIN($F$1+1,COUNTIF(I26:XFD26,"&gt;"&amp;0)),I$1:XFD26,A26+1,FALSE))</f>
        <v>13</v>
      </c>
      <c r="G26" s="8">
        <f t="shared" si="6"/>
        <v>1.1574016105821985</v>
      </c>
      <c r="H26" s="13" t="s">
        <v>70</v>
      </c>
      <c r="I26" s="9">
        <v>8</v>
      </c>
      <c r="J26" s="9">
        <v>9</v>
      </c>
      <c r="K26" s="9">
        <v>10</v>
      </c>
      <c r="L26" s="9">
        <v>10</v>
      </c>
      <c r="M26" s="9">
        <v>10</v>
      </c>
      <c r="N26" s="9">
        <v>11</v>
      </c>
      <c r="O26" s="9">
        <v>12</v>
      </c>
      <c r="P26" s="9">
        <v>13</v>
      </c>
      <c r="Q26" s="9">
        <v>17</v>
      </c>
      <c r="R26" s="9">
        <v>17</v>
      </c>
      <c r="S26" s="9">
        <v>20</v>
      </c>
      <c r="T26" s="9">
        <v>23</v>
      </c>
      <c r="U26" s="9">
        <v>27</v>
      </c>
    </row>
    <row r="27" spans="1:24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Ecuador</v>
      </c>
      <c r="D27" s="6">
        <f t="shared" si="14"/>
        <v>27</v>
      </c>
      <c r="E27" s="6">
        <f>IF(COUNTIF(I27:XFD27,"&gt;"&amp;0)=0,,HLOOKUP(COUNTIF(I27:XFD27,"&gt;"&amp;0)-1,I$1:XFD27,A27+1,FALSE))</f>
        <v>27</v>
      </c>
      <c r="F27" s="7">
        <f>IF(COUNTIF(I27:XFD27,"&gt;"&amp;0)=0,,HLOOKUP(COUNTIF(I27:XFD27,"&gt;"&amp;0)-MIN($F$1+1,COUNTIF(I27:XFD27,"&gt;"&amp;0)),I$1:XFD27,A27+1,FALSE))</f>
        <v>14</v>
      </c>
      <c r="G27" s="8">
        <f t="shared" si="6"/>
        <v>1.3887301496588271</v>
      </c>
      <c r="H27" s="13" t="s">
        <v>103</v>
      </c>
      <c r="I27" s="9">
        <v>14</v>
      </c>
      <c r="J27" s="9">
        <v>18</v>
      </c>
      <c r="K27" s="9">
        <v>27</v>
      </c>
    </row>
    <row r="28" spans="1:24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Canada</v>
      </c>
      <c r="D28" s="6">
        <f t="shared" si="14"/>
        <v>26</v>
      </c>
      <c r="E28" s="6">
        <f>IF(COUNTIF(I28:XFD28,"&gt;"&amp;0)=0,,HLOOKUP(COUNTIF(I28:XFD28,"&gt;"&amp;0)-1,I$1:XFD28,A28+1,FALSE))</f>
        <v>26</v>
      </c>
      <c r="F28" s="7">
        <f>IF(COUNTIF(I28:XFD28,"&gt;"&amp;0)=0,,HLOOKUP(COUNTIF(I28:XFD28,"&gt;"&amp;0)-MIN($F$1+1,COUNTIF(I28:XFD28,"&gt;"&amp;0)),I$1:XFD28,A28+1,FALSE))</f>
        <v>9</v>
      </c>
      <c r="G28" s="8">
        <f t="shared" si="6"/>
        <v>1.2363634783482345</v>
      </c>
      <c r="H28" s="13" t="s">
        <v>45</v>
      </c>
      <c r="I28" s="9">
        <v>8</v>
      </c>
      <c r="J28" s="9">
        <v>9</v>
      </c>
      <c r="K28" s="9">
        <v>12</v>
      </c>
      <c r="L28" s="9">
        <v>19</v>
      </c>
      <c r="M28" s="9">
        <v>21</v>
      </c>
      <c r="N28" s="9">
        <v>25</v>
      </c>
      <c r="O28" s="9">
        <v>26</v>
      </c>
    </row>
    <row r="29" spans="1:24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San Marino</v>
      </c>
      <c r="D29" s="6">
        <f t="shared" si="14"/>
        <v>21</v>
      </c>
      <c r="E29" s="6">
        <f>IF(COUNTIF(I29:XFD29,"&gt;"&amp;0)=0,,HLOOKUP(COUNTIF(I29:XFD29,"&gt;"&amp;0)-1,I$1:XFD29,A29+1,FALSE))</f>
        <v>21</v>
      </c>
      <c r="F29" s="7">
        <f>IF(COUNTIF(I29:XFD29,"&gt;"&amp;0)=0,,HLOOKUP(COUNTIF(I29:XFD29,"&gt;"&amp;0)-MIN($F$1+1,COUNTIF(I29:XFD29,"&gt;"&amp;0)),I$1:XFD29,A29+1,FALSE))</f>
        <v>11</v>
      </c>
      <c r="G29" s="8">
        <f t="shared" si="6"/>
        <v>1.1380604263098537</v>
      </c>
      <c r="H29" s="13" t="s">
        <v>90</v>
      </c>
      <c r="I29" s="9">
        <v>11</v>
      </c>
      <c r="J29" s="9">
        <v>11</v>
      </c>
      <c r="K29" s="9">
        <v>14</v>
      </c>
      <c r="L29" s="9">
        <v>20</v>
      </c>
      <c r="M29" s="9">
        <v>20</v>
      </c>
      <c r="N29" s="9">
        <v>20</v>
      </c>
      <c r="O29" s="9">
        <v>21</v>
      </c>
    </row>
    <row r="30" spans="1:24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Greece</v>
      </c>
      <c r="D30" s="6">
        <f t="shared" si="14"/>
        <v>20</v>
      </c>
      <c r="E30" s="6">
        <f>IF(COUNTIF(I30:XFD30,"&gt;"&amp;0)=0,,HLOOKUP(COUNTIF(I30:XFD30,"&gt;"&amp;0)-1,I$1:XFD30,A30+1,FALSE))</f>
        <v>20</v>
      </c>
      <c r="F30" s="7">
        <f>IF(COUNTIF(I30:XFD30,"&gt;"&amp;0)=0,,HLOOKUP(COUNTIF(I30:XFD30,"&gt;"&amp;0)-MIN($F$1+1,COUNTIF(I30:XFD30,"&gt;"&amp;0)),I$1:XFD30,A30+1,FALSE))</f>
        <v>13</v>
      </c>
      <c r="G30" s="8">
        <f t="shared" si="6"/>
        <v>1.1544156732643194</v>
      </c>
      <c r="H30" s="13" t="s">
        <v>83</v>
      </c>
      <c r="I30" s="9">
        <v>13</v>
      </c>
      <c r="J30" s="9">
        <v>15</v>
      </c>
      <c r="K30" s="9">
        <v>17</v>
      </c>
      <c r="L30" s="9">
        <v>20</v>
      </c>
    </row>
    <row r="31" spans="1:24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Egypt</v>
      </c>
      <c r="D31" s="6">
        <f t="shared" si="14"/>
        <v>20</v>
      </c>
      <c r="E31" s="6">
        <f>IF(COUNTIF(I31:XFD31,"&gt;"&amp;0)=0,,HLOOKUP(COUNTIF(I31:XFD31,"&gt;"&amp;0)-1,I$1:XFD31,A31+1,FALSE))</f>
        <v>20</v>
      </c>
      <c r="F31" s="7">
        <f>IF(COUNTIF(I31:XFD31,"&gt;"&amp;0)=0,,HLOOKUP(COUNTIF(I31:XFD31,"&gt;"&amp;0)-MIN($F$1+1,COUNTIF(I31:XFD31,"&gt;"&amp;0)),I$1:XFD31,A31+1,FALSE))</f>
        <v>8</v>
      </c>
      <c r="G31" s="8">
        <f t="shared" si="6"/>
        <v>1.2574334296829355</v>
      </c>
      <c r="H31" s="13" t="s">
        <v>65</v>
      </c>
      <c r="I31" s="9">
        <v>8</v>
      </c>
      <c r="J31" s="9">
        <v>10</v>
      </c>
      <c r="K31" s="9">
        <v>14</v>
      </c>
      <c r="L31" s="9">
        <v>19</v>
      </c>
      <c r="M31" s="9">
        <v>20</v>
      </c>
    </row>
    <row r="32" spans="1:24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Algeria</v>
      </c>
      <c r="D32" s="6">
        <f t="shared" si="14"/>
        <v>19</v>
      </c>
      <c r="E32" s="6">
        <f>IF(COUNTIF(I32:XFD32,"&gt;"&amp;0)=0,,HLOOKUP(COUNTIF(I32:XFD32,"&gt;"&amp;0)-1,I$1:XFD32,A32+1,FALSE))</f>
        <v>19</v>
      </c>
      <c r="F32" s="7">
        <f>IF(COUNTIF(I32:XFD32,"&gt;"&amp;0)=0,,HLOOKUP(COUNTIF(I32:XFD32,"&gt;"&amp;0)-MIN($F$1+1,COUNTIF(I32:XFD32,"&gt;"&amp;0)),I$1:XFD32,A32+1,FALSE))</f>
        <v>9</v>
      </c>
      <c r="G32" s="8">
        <f t="shared" si="6"/>
        <v>1.1611871423331621</v>
      </c>
      <c r="H32" s="13" t="s">
        <v>75</v>
      </c>
      <c r="I32" s="9">
        <v>9</v>
      </c>
      <c r="J32" s="9">
        <v>11</v>
      </c>
      <c r="K32" s="9">
        <v>15</v>
      </c>
      <c r="L32" s="9">
        <v>17</v>
      </c>
      <c r="M32" s="9">
        <v>17</v>
      </c>
      <c r="N32" s="9">
        <v>19</v>
      </c>
    </row>
    <row r="33" spans="1:12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Malaysia</v>
      </c>
      <c r="D33" s="6">
        <f t="shared" si="14"/>
        <v>16</v>
      </c>
      <c r="E33" s="6">
        <f>IF(COUNTIF(I33:XFD33,"&gt;"&amp;0)=0,,HLOOKUP(COUNTIF(I33:XFD33,"&gt;"&amp;0)-1,I$1:XFD33,A33+1,FALSE))</f>
        <v>16</v>
      </c>
      <c r="F33" s="7">
        <f>IF(COUNTIF(I33:XFD33,"&gt;"&amp;0)=0,,HLOOKUP(COUNTIF(I33:XFD33,"&gt;"&amp;0)-MIN($F$1+1,COUNTIF(I33:XFD33,"&gt;"&amp;0)),I$1:XFD33,A33+1,FALSE))</f>
        <v>10</v>
      </c>
      <c r="G33" s="8">
        <f t="shared" si="6"/>
        <v>1.2649110640673518</v>
      </c>
      <c r="H33" s="13" t="s">
        <v>43</v>
      </c>
      <c r="I33" s="9">
        <v>10</v>
      </c>
      <c r="J33" s="9">
        <v>14</v>
      </c>
      <c r="K33" s="9">
        <v>16</v>
      </c>
    </row>
    <row r="34" spans="1:12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Norway</v>
      </c>
      <c r="D34" s="6">
        <f t="shared" si="14"/>
        <v>12</v>
      </c>
      <c r="E34" s="6">
        <f>IF(COUNTIF(I34:XFD34,"&gt;"&amp;0)=0,,HLOOKUP(COUNTIF(I34:XFD34,"&gt;"&amp;0)-1,I$1:XFD34,A34+1,FALSE))</f>
        <v>12</v>
      </c>
      <c r="F34" s="7">
        <f>IF(COUNTIF(I34:XFD34,"&gt;"&amp;0)=0,,HLOOKUP(COUNTIF(I34:XFD34,"&gt;"&amp;0)-MIN($F$1+1,COUNTIF(I34:XFD34,"&gt;"&amp;0)),I$1:XFD34,A34+1,FALSE))</f>
        <v>10</v>
      </c>
      <c r="G34" s="8">
        <f t="shared" ref="G34:G65" si="16">IF(COUNTIF(I34:XFD34,"&gt;"&amp;0)=0,,(E34/F34)^(1/MIN(COUNTIF(I34:XFD34,"&gt;"&amp;0)-1,$F$1)))</f>
        <v>1.2</v>
      </c>
      <c r="H34" s="13" t="s">
        <v>85</v>
      </c>
      <c r="I34" s="9">
        <v>10</v>
      </c>
      <c r="J34" s="9">
        <v>12</v>
      </c>
    </row>
    <row r="35" spans="1:12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Romania</v>
      </c>
      <c r="D35" s="6">
        <f t="shared" si="14"/>
        <v>11</v>
      </c>
      <c r="E35" s="6">
        <f>IF(COUNTIF(I35:XFD35,"&gt;"&amp;0)=0,,HLOOKUP(COUNTIF(I35:XFD35,"&gt;"&amp;0)-1,I$1:XFD35,A35+1,FALSE))</f>
        <v>11</v>
      </c>
      <c r="F35" s="7">
        <f>IF(COUNTIF(I35:XFD35,"&gt;"&amp;0)=0,,HLOOKUP(COUNTIF(I35:XFD35,"&gt;"&amp;0)-MIN($F$1+1,COUNTIF(I35:XFD35,"&gt;"&amp;0)),I$1:XFD35,A35+1,FALSE))</f>
        <v>11</v>
      </c>
      <c r="G35" s="8" t="e">
        <f t="shared" si="16"/>
        <v>#DIV/0!</v>
      </c>
      <c r="H35" s="13" t="s">
        <v>86</v>
      </c>
      <c r="I35" s="9">
        <v>11</v>
      </c>
    </row>
    <row r="36" spans="1:12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India</v>
      </c>
      <c r="D36" s="6">
        <f t="shared" si="14"/>
        <v>10</v>
      </c>
      <c r="E36" s="6">
        <f>IF(COUNTIF(I36:XFD36,"&gt;"&amp;0)=0,,HLOOKUP(COUNTIF(I36:XFD36,"&gt;"&amp;0)-1,I$1:XFD36,A36+1,FALSE))</f>
        <v>10</v>
      </c>
      <c r="F36" s="7">
        <f>IF(COUNTIF(I36:XFD36,"&gt;"&amp;0)=0,,HLOOKUP(COUNTIF(I36:XFD36,"&gt;"&amp;0)-MIN($F$1+1,COUNTIF(I36:XFD36,"&gt;"&amp;0)),I$1:XFD36,A36+1,FALSE))</f>
        <v>10</v>
      </c>
      <c r="G36" s="8">
        <f t="shared" si="16"/>
        <v>1</v>
      </c>
      <c r="H36" s="13" t="s">
        <v>57</v>
      </c>
      <c r="I36" s="9">
        <v>10</v>
      </c>
      <c r="J36" s="9">
        <v>10</v>
      </c>
    </row>
    <row r="37" spans="1:12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Poland</v>
      </c>
      <c r="D37" s="6">
        <f t="shared" ref="D37:D68" si="18">MAX(I37:BD37)</f>
        <v>10</v>
      </c>
      <c r="E37" s="6">
        <f>IF(COUNTIF(I37:XFD37,"&gt;"&amp;0)=0,,HLOOKUP(COUNTIF(I37:XFD37,"&gt;"&amp;0)-1,I$1:XFD37,A37+1,FALSE))</f>
        <v>10</v>
      </c>
      <c r="F37" s="7">
        <f>IF(COUNTIF(I37:XFD37,"&gt;"&amp;0)=0,,HLOOKUP(COUNTIF(I37:XFD37,"&gt;"&amp;0)-MIN($F$1+1,COUNTIF(I37:XFD37,"&gt;"&amp;0)),I$1:XFD37,A37+1,FALSE))</f>
        <v>8</v>
      </c>
      <c r="G37" s="8">
        <f t="shared" si="16"/>
        <v>1.25</v>
      </c>
      <c r="H37" s="13" t="s">
        <v>137</v>
      </c>
      <c r="I37" s="9">
        <v>8</v>
      </c>
      <c r="J37" s="9">
        <v>10</v>
      </c>
    </row>
    <row r="38" spans="1:12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Hungary</v>
      </c>
      <c r="D38" s="6">
        <f t="shared" si="18"/>
        <v>9</v>
      </c>
      <c r="E38" s="6">
        <f>IF(COUNTIF(I38:XFD38,"&gt;"&amp;0)=0,,HLOOKUP(COUNTIF(I38:XFD38,"&gt;"&amp;0)-1,I$1:XFD38,A38+1,FALSE))</f>
        <v>9</v>
      </c>
      <c r="F38" s="7">
        <f>IF(COUNTIF(I38:XFD38,"&gt;"&amp;0)=0,,HLOOKUP(COUNTIF(I38:XFD38,"&gt;"&amp;0)-MIN($F$1+1,COUNTIF(I38:XFD38,"&gt;"&amp;0)),I$1:XFD38,A38+1,FALSE))</f>
        <v>9</v>
      </c>
      <c r="G38" s="8" t="e">
        <f t="shared" si="16"/>
        <v>#DIV/0!</v>
      </c>
      <c r="H38" s="13" t="s">
        <v>132</v>
      </c>
      <c r="I38" s="9">
        <v>9</v>
      </c>
    </row>
    <row r="39" spans="1:12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Australia</v>
      </c>
      <c r="D39" s="6">
        <f t="shared" si="18"/>
        <v>8</v>
      </c>
      <c r="E39" s="6">
        <f>IF(COUNTIF(I39:XFD39,"&gt;"&amp;0)=0,,HLOOKUP(COUNTIF(I39:XFD39,"&gt;"&amp;0)-1,I$1:XFD39,A39+1,FALSE))</f>
        <v>8</v>
      </c>
      <c r="F39" s="7">
        <f>IF(COUNTIF(I39:XFD39,"&gt;"&amp;0)=0,,HLOOKUP(COUNTIF(I39:XFD39,"&gt;"&amp;0)-MIN($F$1+1,COUNTIF(I39:XFD39,"&gt;"&amp;0)),I$1:XFD39,A39+1,FALSE))</f>
        <v>8</v>
      </c>
      <c r="G39" s="8" t="e">
        <f t="shared" si="16"/>
        <v>#DIV/0!</v>
      </c>
      <c r="H39" s="13" t="s">
        <v>48</v>
      </c>
      <c r="I39" s="9">
        <v>8</v>
      </c>
    </row>
    <row r="40" spans="1:12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Luxembourg</v>
      </c>
      <c r="D40" s="6">
        <f t="shared" si="18"/>
        <v>8</v>
      </c>
      <c r="E40" s="6">
        <f>IF(COUNTIF(I40:XFD40,"&gt;"&amp;0)=0,,HLOOKUP(COUNTIF(I40:XFD40,"&gt;"&amp;0)-1,I$1:XFD40,A40+1,FALSE))</f>
        <v>8</v>
      </c>
      <c r="F40" s="7">
        <f>IF(COUNTIF(I40:XFD40,"&gt;"&amp;0)=0,,HLOOKUP(COUNTIF(I40:XFD40,"&gt;"&amp;0)-MIN($F$1+1,COUNTIF(I40:XFD40,"&gt;"&amp;0)),I$1:XFD40,A40+1,FALSE))</f>
        <v>8</v>
      </c>
      <c r="G40" s="8">
        <f t="shared" si="16"/>
        <v>1</v>
      </c>
      <c r="H40" s="13" t="s">
        <v>99</v>
      </c>
      <c r="I40" s="9">
        <v>8</v>
      </c>
      <c r="J40" s="9">
        <v>8</v>
      </c>
      <c r="K40" s="9">
        <v>8</v>
      </c>
      <c r="L40" s="9">
        <v>8</v>
      </c>
    </row>
    <row r="41" spans="1:12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/>
      </c>
      <c r="D41" s="6">
        <f t="shared" si="18"/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 t="shared" si="16"/>
        <v>0</v>
      </c>
    </row>
    <row r="42" spans="1:12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/>
      </c>
      <c r="D42" s="6">
        <f t="shared" si="18"/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 t="shared" si="16"/>
        <v>0</v>
      </c>
    </row>
    <row r="43" spans="1:12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/>
      </c>
      <c r="D43" s="6">
        <f t="shared" si="18"/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 t="shared" si="16"/>
        <v>0</v>
      </c>
    </row>
    <row r="44" spans="1:12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/>
      </c>
      <c r="D44" s="6">
        <f t="shared" si="18"/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 t="shared" si="16"/>
        <v>0</v>
      </c>
    </row>
    <row r="45" spans="1:12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/>
      </c>
      <c r="D45" s="6">
        <f t="shared" si="18"/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 t="shared" si="16"/>
        <v>0</v>
      </c>
    </row>
    <row r="46" spans="1:12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/>
      </c>
      <c r="D46" s="6">
        <f t="shared" si="18"/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 t="shared" si="16"/>
        <v>0</v>
      </c>
    </row>
    <row r="47" spans="1:12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/>
      </c>
      <c r="D47" s="6">
        <f t="shared" si="18"/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 t="shared" si="16"/>
        <v>0</v>
      </c>
    </row>
    <row r="48" spans="1:12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/>
      </c>
      <c r="D48" s="6">
        <f t="shared" si="18"/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 t="shared" si="16"/>
        <v>0</v>
      </c>
    </row>
    <row r="49" spans="1:7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/>
      </c>
      <c r="D49" s="6">
        <f t="shared" si="18"/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 t="shared" si="16"/>
        <v>0</v>
      </c>
    </row>
    <row r="50" spans="1:7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/>
      </c>
      <c r="D50" s="6">
        <f t="shared" si="18"/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 t="shared" si="16"/>
        <v>0</v>
      </c>
    </row>
    <row r="51" spans="1:7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/>
      </c>
      <c r="D51" s="6">
        <f t="shared" si="18"/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 t="shared" si="16"/>
        <v>0</v>
      </c>
    </row>
    <row r="52" spans="1:7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/>
      </c>
      <c r="D52" s="6">
        <f t="shared" si="18"/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 t="shared" si="16"/>
        <v>0</v>
      </c>
    </row>
    <row r="53" spans="1:7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/>
      </c>
      <c r="D53" s="6">
        <f t="shared" si="18"/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 t="shared" si="16"/>
        <v>0</v>
      </c>
    </row>
    <row r="54" spans="1:7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/>
      </c>
      <c r="D54" s="6">
        <f t="shared" si="18"/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 t="shared" si="16"/>
        <v>0</v>
      </c>
    </row>
    <row r="55" spans="1:7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/>
      </c>
      <c r="D55" s="6">
        <f t="shared" si="18"/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 t="shared" si="16"/>
        <v>0</v>
      </c>
    </row>
    <row r="56" spans="1:7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/>
      </c>
      <c r="D56" s="6">
        <f t="shared" si="18"/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 t="shared" si="16"/>
        <v>0</v>
      </c>
    </row>
    <row r="57" spans="1:7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/>
      </c>
      <c r="D57" s="6">
        <f t="shared" si="18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16"/>
        <v>0</v>
      </c>
    </row>
    <row r="58" spans="1:7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/>
      </c>
      <c r="D58" s="6">
        <f t="shared" si="18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16"/>
        <v>0</v>
      </c>
    </row>
    <row r="59" spans="1:7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/>
      </c>
      <c r="D59" s="6">
        <f t="shared" si="18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16"/>
        <v>0</v>
      </c>
    </row>
    <row r="60" spans="1:7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/>
      </c>
      <c r="D60" s="6">
        <f t="shared" si="18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16"/>
        <v>0</v>
      </c>
    </row>
    <row r="61" spans="1:7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/>
      </c>
      <c r="D61" s="6">
        <f t="shared" si="18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16"/>
        <v>0</v>
      </c>
    </row>
    <row r="62" spans="1:7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/>
      </c>
      <c r="D62" s="6">
        <f t="shared" si="18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16"/>
        <v>0</v>
      </c>
    </row>
    <row r="63" spans="1:7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/>
      </c>
      <c r="D63" s="6">
        <f t="shared" si="18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16"/>
        <v>0</v>
      </c>
    </row>
    <row r="64" spans="1:7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/>
      </c>
      <c r="D64" s="6">
        <f t="shared" si="18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16"/>
        <v>0</v>
      </c>
    </row>
    <row r="65" spans="1:7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/>
      </c>
      <c r="D65" s="6">
        <f t="shared" si="18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16"/>
        <v>0</v>
      </c>
    </row>
    <row r="66" spans="1:7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/>
      </c>
      <c r="D66" s="6">
        <f t="shared" si="18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ref="G66:G97" si="20">IF(COUNTIF(I66:XFD66,"&gt;"&amp;0)=0,,(E66/F66)^(1/MIN(COUNTIF(I66:XFD66,"&gt;"&amp;0)-1,$F$1)))</f>
        <v>0</v>
      </c>
    </row>
    <row r="67" spans="1:7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/>
      </c>
      <c r="D67" s="6">
        <f t="shared" si="18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20"/>
        <v>0</v>
      </c>
    </row>
    <row r="68" spans="1:7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/>
      </c>
      <c r="D68" s="6">
        <f t="shared" si="18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20"/>
        <v>0</v>
      </c>
    </row>
    <row r="69" spans="1:7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/>
      </c>
      <c r="D69" s="6">
        <f t="shared" ref="D69:D100" si="22"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20"/>
        <v>0</v>
      </c>
    </row>
    <row r="70" spans="1:7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/>
      </c>
      <c r="D70" s="6">
        <f t="shared" si="22"/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si="20"/>
        <v>0</v>
      </c>
    </row>
    <row r="71" spans="1:7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/>
      </c>
      <c r="D71" s="6">
        <f t="shared" si="22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20"/>
        <v>0</v>
      </c>
    </row>
    <row r="72" spans="1:7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/>
      </c>
      <c r="D72" s="6">
        <f t="shared" si="22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20"/>
        <v>0</v>
      </c>
    </row>
    <row r="73" spans="1:7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/>
      </c>
      <c r="D73" s="6">
        <f t="shared" si="22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20"/>
        <v>0</v>
      </c>
    </row>
    <row r="74" spans="1:7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/>
      </c>
      <c r="D74" s="6">
        <f t="shared" si="22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20"/>
        <v>0</v>
      </c>
    </row>
    <row r="75" spans="1:7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/>
      </c>
      <c r="D75" s="6">
        <f t="shared" si="22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20"/>
        <v>0</v>
      </c>
    </row>
    <row r="76" spans="1:7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/>
      </c>
      <c r="D76" s="6">
        <f t="shared" si="22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20"/>
        <v>0</v>
      </c>
    </row>
    <row r="77" spans="1:7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/>
      </c>
      <c r="D77" s="6">
        <f t="shared" si="22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20"/>
        <v>0</v>
      </c>
    </row>
    <row r="78" spans="1:7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7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7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P127"/>
  <sheetViews>
    <sheetView workbookViewId="0">
      <selection activeCell="Q41" sqref="Q41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6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510</v>
      </c>
      <c r="H1" s="52" t="s">
        <v>504</v>
      </c>
      <c r="I1" s="52" t="s">
        <v>501</v>
      </c>
      <c r="J1" s="41" t="s">
        <v>572</v>
      </c>
      <c r="K1" s="52" t="s">
        <v>514</v>
      </c>
      <c r="L1" s="52" t="s">
        <v>465</v>
      </c>
      <c r="M1" s="52" t="s">
        <v>518</v>
      </c>
      <c r="N1" s="52">
        <v>10</v>
      </c>
      <c r="O1" s="52" t="s">
        <v>573</v>
      </c>
      <c r="P1" s="52" t="s">
        <v>574</v>
      </c>
    </row>
    <row r="2" spans="1:16" x14ac:dyDescent="0.3">
      <c r="A2" s="52">
        <v>1</v>
      </c>
      <c r="B2" s="55" t="s">
        <v>337</v>
      </c>
      <c r="C2" s="55" t="s">
        <v>337</v>
      </c>
      <c r="D2" s="52">
        <v>503</v>
      </c>
      <c r="E2" s="56">
        <f ca="1">OFFSET(CumulativeActive!A2,-A2,MATCH(Country_Data!D2,CumulativeActive!B2:BT2,0))</f>
        <v>43852</v>
      </c>
      <c r="F2" s="41">
        <f>MAX(CumulativeConfirmed!2:2)</f>
        <v>81591</v>
      </c>
      <c r="G2" s="41">
        <f>MAX(CumulativeDead!2:2)</f>
        <v>3281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4.0212768565160373E-2</v>
      </c>
      <c r="N2" s="52">
        <v>17</v>
      </c>
      <c r="O2" s="56">
        <f ca="1">OFFSET(CumulativeDead!A2,-A2,MATCH(Country_Data!N2,CumulativeDead!B2:BT2,0))</f>
        <v>43852</v>
      </c>
      <c r="P2" s="52">
        <f t="shared" ref="P2:P33" ca="1" si="1">O2-E2</f>
        <v>0</v>
      </c>
    </row>
    <row r="3" spans="1:16" x14ac:dyDescent="0.3">
      <c r="A3" s="52">
        <v>2</v>
      </c>
      <c r="B3" s="55" t="s">
        <v>58</v>
      </c>
      <c r="C3" s="55" t="s">
        <v>58</v>
      </c>
      <c r="D3" s="52">
        <f>VLOOKUP(C3,Days_Since_100_active!H:I,2,FALSE)</f>
        <v>150</v>
      </c>
      <c r="E3" s="56">
        <f ca="1">OFFSET(CumulativeActive!A3,-A3,MATCH(Country_Data!D3,CumulativeActive!B3:BT3,0))</f>
        <v>43884</v>
      </c>
      <c r="F3" s="41">
        <f>MAX(CumulativeConfirmed!3:3)</f>
        <v>69176</v>
      </c>
      <c r="G3" s="41">
        <f>MAX(CumulativeDead!3:3)</f>
        <v>6820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9.8589106048340466E-2</v>
      </c>
      <c r="N3" s="52">
        <f>VLOOKUP(C3,Deaths_since_10!H:I,2,FALSE)</f>
        <v>10</v>
      </c>
      <c r="O3" s="56">
        <f ca="1">OFFSET(CumulativeDead!A3,-A3,MATCH(Country_Data!N3,CumulativeDead!B3:BT3,0))</f>
        <v>43886</v>
      </c>
      <c r="P3" s="52">
        <f t="shared" ca="1" si="1"/>
        <v>2</v>
      </c>
    </row>
    <row r="4" spans="1:16" x14ac:dyDescent="0.3">
      <c r="A4" s="52">
        <v>3</v>
      </c>
      <c r="B4" s="55" t="s">
        <v>338</v>
      </c>
      <c r="C4" s="55" t="s">
        <v>338</v>
      </c>
      <c r="D4" s="52">
        <f>VLOOKUP(C4,Days_Since_100_active!H:I,2,FALSE)</f>
        <v>71</v>
      </c>
      <c r="E4" s="56">
        <f ca="1">OFFSET(CumulativeActive!A4,-A4,MATCH(Country_Data!D4,CumulativeActive!B4:BT4,0))</f>
        <v>43887</v>
      </c>
      <c r="F4" s="41">
        <f>MAX(CumulativeConfirmed!4:4)</f>
        <v>24811</v>
      </c>
      <c r="G4" s="41">
        <f>MAX(CumulativeDead!4:4)</f>
        <v>1934</v>
      </c>
      <c r="J4" s="41">
        <v>83992949</v>
      </c>
      <c r="K4" s="52">
        <v>0</v>
      </c>
      <c r="L4" s="41">
        <v>0</v>
      </c>
      <c r="M4" s="69">
        <f t="shared" si="0"/>
        <v>7.79492966829229E-2</v>
      </c>
      <c r="N4" s="52">
        <f>VLOOKUP(C4,Deaths_since_10!H:I,2,FALSE)</f>
        <v>8</v>
      </c>
      <c r="O4" s="56">
        <f ca="1">OFFSET(CumulativeDead!A4,-A4,MATCH(Country_Data!N4,CumulativeDead!B4:BT4,0))</f>
        <v>43884</v>
      </c>
      <c r="P4" s="52">
        <f t="shared" ca="1" si="1"/>
        <v>-3</v>
      </c>
    </row>
    <row r="5" spans="1:16" x14ac:dyDescent="0.3">
      <c r="A5" s="52">
        <v>4</v>
      </c>
      <c r="B5" s="55" t="s">
        <v>476</v>
      </c>
      <c r="C5" s="55" t="s">
        <v>339</v>
      </c>
      <c r="D5" s="52">
        <f>VLOOKUP(C5,Days_Since_100_active!H:I,2,FALSE)</f>
        <v>87</v>
      </c>
      <c r="E5" s="56">
        <f ca="1">OFFSET(CumulativeActive!A5,-A5,MATCH(Country_Data!D5,CumulativeActive!B5:BT5,0))</f>
        <v>43881</v>
      </c>
      <c r="F5" s="41">
        <f>MAX(CumulativeConfirmed!5:5)</f>
        <v>9037</v>
      </c>
      <c r="G5" s="41">
        <f>MAX(CumulativeDead!5:5)</f>
        <v>120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1.3278742945667809E-2</v>
      </c>
      <c r="N5" s="52">
        <f>VLOOKUP(C5,Deaths_since_10!H:I,2,FALSE)</f>
        <v>8</v>
      </c>
      <c r="O5" s="56">
        <f ca="1">OFFSET(CumulativeDead!A5,-A5,MATCH(Country_Data!N5,CumulativeDead!B5:BT5,0))</f>
        <v>43885</v>
      </c>
      <c r="P5" s="52">
        <f t="shared" ca="1" si="1"/>
        <v>4</v>
      </c>
    </row>
    <row r="6" spans="1:16" x14ac:dyDescent="0.3">
      <c r="A6" s="52">
        <v>5</v>
      </c>
      <c r="B6" s="55" t="s">
        <v>60</v>
      </c>
      <c r="C6" s="55" t="s">
        <v>60</v>
      </c>
      <c r="D6" s="52">
        <f>VLOOKUP(C6,Days_Since_100_active!H:I,2,FALSE)</f>
        <v>118</v>
      </c>
      <c r="E6" s="56">
        <f ca="1">OFFSET(CumulativeActive!A6,-A6,MATCH(Country_Data!D6,CumulativeActive!B6:BT6,0))</f>
        <v>43892</v>
      </c>
      <c r="F6" s="41">
        <f>MAX(CumulativeConfirmed!6:6)</f>
        <v>39885</v>
      </c>
      <c r="G6" s="41">
        <f>MAX(CumulativeDead!6:6)</f>
        <v>2808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7.0402406919894703E-2</v>
      </c>
      <c r="N6" s="52">
        <f>VLOOKUP(C6,Deaths_since_10!H:I,2,FALSE)</f>
        <v>10</v>
      </c>
      <c r="O6" s="56">
        <f ca="1">OFFSET(CumulativeDead!A6,-A6,MATCH(Country_Data!N6,CumulativeDead!B6:BT6,0))</f>
        <v>43897</v>
      </c>
      <c r="P6" s="52">
        <f t="shared" ca="1" si="1"/>
        <v>5</v>
      </c>
    </row>
    <row r="7" spans="1:16" x14ac:dyDescent="0.3">
      <c r="A7" s="52">
        <v>6</v>
      </c>
      <c r="B7" s="55" t="s">
        <v>53</v>
      </c>
      <c r="C7" s="55" t="s">
        <v>53</v>
      </c>
      <c r="D7" s="52">
        <f>VLOOKUP(C7,Days_Since_100_active!H:I,2,FALSE)</f>
        <v>114</v>
      </c>
      <c r="E7" s="56">
        <f ca="1">OFFSET(CumulativeActive!A7,-A7,MATCH(Country_Data!D7,CumulativeActive!B7:BT7,0))</f>
        <v>43891</v>
      </c>
      <c r="F7" s="41">
        <f>MAX(CumulativeConfirmed!7:7)</f>
        <v>32986</v>
      </c>
      <c r="G7" s="41">
        <f>MAX(CumulativeDead!7:7)</f>
        <v>157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4.7595949796883528E-3</v>
      </c>
      <c r="N7" s="52">
        <f>VLOOKUP(C7,Deaths_since_10!H:I,2,FALSE)</f>
        <v>9</v>
      </c>
      <c r="O7" s="56">
        <f ca="1">OFFSET(CumulativeDead!A7,-A7,MATCH(Country_Data!N7,CumulativeDead!B7:BT7,0))</f>
        <v>43904</v>
      </c>
      <c r="P7" s="52">
        <f t="shared" ca="1" si="1"/>
        <v>13</v>
      </c>
    </row>
    <row r="8" spans="1:16" x14ac:dyDescent="0.3">
      <c r="A8" s="52">
        <v>7</v>
      </c>
      <c r="B8" s="55" t="s">
        <v>41</v>
      </c>
      <c r="C8" s="55" t="s">
        <v>41</v>
      </c>
      <c r="D8" s="52">
        <f>VLOOKUP(C8,Days_Since_100_active!H:I,2,FALSE)</f>
        <v>86</v>
      </c>
      <c r="E8" s="56">
        <f ca="1">OFFSET(CumulativeActive!A8,-A8,MATCH(Country_Data!D8,CumulativeActive!B8:BT8,0))</f>
        <v>43890</v>
      </c>
      <c r="F8" s="41">
        <f>MAX(CumulativeConfirmed!8:8)</f>
        <v>22622</v>
      </c>
      <c r="G8" s="41">
        <f>MAX(CumulativeDead!8:8)</f>
        <v>1102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4.8713641587834852E-2</v>
      </c>
      <c r="N8" s="52">
        <f>VLOOKUP(C8,Deaths_since_10!H:I,2,FALSE)</f>
        <v>9</v>
      </c>
      <c r="O8" s="56">
        <f ca="1">OFFSET(CumulativeDead!A8,-A8,MATCH(Country_Data!N8,CumulativeDead!B8:BT8,0))</f>
        <v>43896</v>
      </c>
      <c r="P8" s="52">
        <f t="shared" ca="1" si="1"/>
        <v>6</v>
      </c>
    </row>
    <row r="9" spans="1:16" x14ac:dyDescent="0.3">
      <c r="A9" s="52">
        <v>8</v>
      </c>
      <c r="B9" s="55" t="s">
        <v>38</v>
      </c>
      <c r="C9" s="55" t="s">
        <v>38</v>
      </c>
      <c r="D9" s="52">
        <f>VLOOKUP(C9,Days_Since_100_active!H:I,2,FALSE)</f>
        <v>104</v>
      </c>
      <c r="E9" s="56">
        <f ca="1">OFFSET(CumulativeActive!A9,-A9,MATCH(Country_Data!D9,CumulativeActive!B9:BT9,0))</f>
        <v>43893</v>
      </c>
      <c r="F9" s="41">
        <f>MAX(CumulativeConfirmed!9:9)</f>
        <v>53740</v>
      </c>
      <c r="G9" s="41">
        <f>MAX(CumulativeDead!9:9)</f>
        <v>706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1.313732787495348E-2</v>
      </c>
      <c r="N9" s="52">
        <f>VLOOKUP(C9,Deaths_since_10!H:I,2,FALSE)</f>
        <v>11</v>
      </c>
      <c r="O9" s="56">
        <f ca="1">OFFSET(CumulativeDead!A9,-A9,MATCH(Country_Data!N9,CumulativeDead!B9:BT9,0))</f>
        <v>43894</v>
      </c>
      <c r="P9" s="52">
        <f t="shared" ca="1" si="1"/>
        <v>1</v>
      </c>
    </row>
    <row r="10" spans="1:16" x14ac:dyDescent="0.3">
      <c r="A10" s="52">
        <v>9</v>
      </c>
      <c r="B10" s="55" t="s">
        <v>77</v>
      </c>
      <c r="C10" s="55" t="s">
        <v>77</v>
      </c>
      <c r="D10" s="52">
        <f>VLOOKUP(C10,Days_Since_100_active!H:I,2,FALSE)</f>
        <v>110</v>
      </c>
      <c r="E10" s="56">
        <f ca="1">OFFSET(CumulativeActive!A10,-A10,MATCH(Country_Data!D10,CumulativeActive!B10:BT10,0))</f>
        <v>43895</v>
      </c>
      <c r="F10" s="41">
        <f>MAX(CumulativeConfirmed!10:10)</f>
        <v>9877</v>
      </c>
      <c r="G10" s="41">
        <f>MAX(CumulativeDead!10:10)</f>
        <v>122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1.2351928723296548E-2</v>
      </c>
      <c r="N10" s="52">
        <f>VLOOKUP(C10,Deaths_since_10!H:I,2,FALSE)</f>
        <v>11</v>
      </c>
      <c r="O10" s="56">
        <f ca="1">OFFSET(CumulativeDead!A10,-A10,MATCH(Country_Data!N10,CumulativeDead!B10:BT10,0))</f>
        <v>43903</v>
      </c>
      <c r="P10" s="52">
        <f t="shared" ca="1" si="1"/>
        <v>8</v>
      </c>
    </row>
    <row r="11" spans="1:16" x14ac:dyDescent="0.3">
      <c r="A11" s="52">
        <v>10</v>
      </c>
      <c r="B11" s="55" t="s">
        <v>85</v>
      </c>
      <c r="C11" s="55" t="s">
        <v>85</v>
      </c>
      <c r="D11" s="52">
        <f>VLOOKUP(C11,Days_Since_100_active!H:I,2,FALSE)</f>
        <v>108</v>
      </c>
      <c r="E11" s="56">
        <f ca="1">OFFSET(CumulativeActive!A11,-A11,MATCH(Country_Data!D11,CumulativeActive!B11:BT11,0))</f>
        <v>43896</v>
      </c>
      <c r="F11" s="41">
        <f>MAX(CumulativeConfirmed!11:11)</f>
        <v>2863</v>
      </c>
      <c r="G11" s="41">
        <f>MAX(CumulativeDead!11:11)</f>
        <v>12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4.1914076143904997E-3</v>
      </c>
      <c r="N11" s="52">
        <f>VLOOKUP(C11,Deaths_since_10!H:I,2,FALSE)</f>
        <v>10</v>
      </c>
      <c r="O11" s="56">
        <f ca="1">OFFSET(CumulativeDead!A11,-A11,MATCH(Country_Data!N11,CumulativeDead!B11:BT11,0))</f>
        <v>43913</v>
      </c>
      <c r="P11" s="52">
        <f t="shared" ca="1" si="1"/>
        <v>17</v>
      </c>
    </row>
    <row r="12" spans="1:16" x14ac:dyDescent="0.3">
      <c r="A12" s="52">
        <v>11</v>
      </c>
      <c r="B12" s="55" t="s">
        <v>59</v>
      </c>
      <c r="C12" s="55" t="s">
        <v>59</v>
      </c>
      <c r="D12" s="52">
        <f>VLOOKUP(C12,Days_Since_100_active!H:I,2,FALSE)</f>
        <v>101</v>
      </c>
      <c r="E12" s="56">
        <f ca="1">OFFSET(CumulativeActive!A12,-A12,MATCH(Country_Data!D12,CumulativeActive!B12:BT12,0))</f>
        <v>43896</v>
      </c>
      <c r="F12" s="41">
        <f>MAX(CumulativeConfirmed!12:12)</f>
        <v>2286</v>
      </c>
      <c r="G12" s="41">
        <f>MAX(CumulativeDead!12:12)</f>
        <v>36</v>
      </c>
      <c r="J12" s="41">
        <v>10099265</v>
      </c>
      <c r="K12" s="52">
        <v>5.8</v>
      </c>
      <c r="L12" s="41">
        <v>585.75736999999992</v>
      </c>
      <c r="M12" s="69">
        <f t="shared" si="0"/>
        <v>1.5748031496062992E-2</v>
      </c>
      <c r="N12" s="52">
        <f>VLOOKUP(C12,Deaths_since_10!H:I,2,FALSE)</f>
        <v>10</v>
      </c>
      <c r="O12" s="56">
        <f ca="1">OFFSET(CumulativeDead!A12,-A12,MATCH(Country_Data!N12,CumulativeDead!B12:BT12,0))</f>
        <v>43908</v>
      </c>
      <c r="P12" s="52">
        <f t="shared" ca="1" si="1"/>
        <v>12</v>
      </c>
    </row>
    <row r="13" spans="1:16" x14ac:dyDescent="0.3">
      <c r="A13" s="52">
        <v>12</v>
      </c>
      <c r="B13" s="55" t="s">
        <v>87</v>
      </c>
      <c r="C13" s="55" t="s">
        <v>87</v>
      </c>
      <c r="D13" s="52">
        <f>VLOOKUP(C13,Days_Since_100_active!H:I,2,FALSE)</f>
        <v>263</v>
      </c>
      <c r="E13" s="56">
        <f ca="1">OFFSET(CumulativeActive!A13,-A13,MATCH(Country_Data!D13,CumulativeActive!B13:BT13,0))</f>
        <v>43900</v>
      </c>
      <c r="F13" s="41">
        <f>MAX(CumulativeConfirmed!13:13)</f>
        <v>1718</v>
      </c>
      <c r="G13" s="41">
        <f>MAX(CumulativeDead!13:13)</f>
        <v>32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1.8626309662398137E-2</v>
      </c>
      <c r="N13" s="52">
        <f>VLOOKUP(C13,Deaths_since_10!H:I,2,FALSE)</f>
        <v>9</v>
      </c>
      <c r="O13" s="56">
        <f ca="1">OFFSET(CumulativeDead!A13,-A13,MATCH(Country_Data!N13,CumulativeDead!B13:BT13,0))</f>
        <v>43910</v>
      </c>
      <c r="P13" s="52">
        <f t="shared" ca="1" si="1"/>
        <v>10</v>
      </c>
    </row>
    <row r="14" spans="1:16" x14ac:dyDescent="0.3">
      <c r="A14" s="52">
        <v>13</v>
      </c>
      <c r="B14" s="55" t="s">
        <v>89</v>
      </c>
      <c r="C14" s="55" t="s">
        <v>89</v>
      </c>
      <c r="D14" s="52">
        <f>VLOOKUP(C14,Days_Since_100_active!H:I,2,FALSE)</f>
        <v>127</v>
      </c>
      <c r="E14" s="56">
        <f ca="1">OFFSET(CumulativeActive!A14,-A14,MATCH(Country_Data!D14,CumulativeActive!B14:BT14,0))</f>
        <v>43896</v>
      </c>
      <c r="F14" s="41">
        <f>MAX(CumulativeConfirmed!14:14)</f>
        <v>5580</v>
      </c>
      <c r="G14" s="41">
        <f>MAX(CumulativeDead!14:14)</f>
        <v>277</v>
      </c>
      <c r="J14" s="41">
        <v>17134872</v>
      </c>
      <c r="K14" s="52">
        <v>0</v>
      </c>
      <c r="L14" s="41">
        <v>0</v>
      </c>
      <c r="M14" s="69">
        <f t="shared" si="0"/>
        <v>4.9641577060931898E-2</v>
      </c>
      <c r="N14" s="52">
        <f>VLOOKUP(C14,Deaths_since_10!H:I,2,FALSE)</f>
        <v>10</v>
      </c>
      <c r="O14" s="56">
        <f ca="1">OFFSET(CumulativeDead!A14,-A14,MATCH(Country_Data!N14,CumulativeDead!B14:BT14,0))</f>
        <v>43903</v>
      </c>
      <c r="P14" s="52">
        <f t="shared" ca="1" si="1"/>
        <v>7</v>
      </c>
    </row>
    <row r="15" spans="1:16" x14ac:dyDescent="0.3">
      <c r="A15" s="52">
        <v>14</v>
      </c>
      <c r="B15" s="55" t="s">
        <v>349</v>
      </c>
      <c r="C15" s="55" t="s">
        <v>349</v>
      </c>
      <c r="D15" s="52">
        <f>VLOOKUP(C15,Days_Since_100_active!H:I,2,FALSE)</f>
        <v>107</v>
      </c>
      <c r="E15" s="56">
        <f ca="1">OFFSET(CumulativeActive!A15,-A15,MATCH(Country_Data!D15,CumulativeActive!B15:BT15,0))</f>
        <v>43895</v>
      </c>
      <c r="F15" s="41">
        <f>MAX(CumulativeConfirmed!15:15)</f>
        <v>8164</v>
      </c>
      <c r="G15" s="41">
        <f>MAX(CumulativeDead!15:15)</f>
        <v>423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5.1812836844683977E-2</v>
      </c>
      <c r="N15" s="52">
        <f>VLOOKUP(C15,Deaths_since_10!H:I,2,FALSE)</f>
        <v>8</v>
      </c>
      <c r="O15" s="56">
        <f ca="1">OFFSET(CumulativeDead!A15,-A15,MATCH(Country_Data!N15,CumulativeDead!B15:BT15,0))</f>
        <v>43901</v>
      </c>
      <c r="P15" s="52">
        <f t="shared" ca="1" si="1"/>
        <v>6</v>
      </c>
    </row>
    <row r="16" spans="1:16" x14ac:dyDescent="0.3">
      <c r="A16" s="52">
        <v>15</v>
      </c>
      <c r="B16" s="55" t="s">
        <v>36</v>
      </c>
      <c r="C16" s="55" t="s">
        <v>36</v>
      </c>
      <c r="D16" s="52">
        <f>VLOOKUP(C16,Days_Since_100_active!H:I,2,FALSE)</f>
        <v>82</v>
      </c>
      <c r="E16" s="56">
        <f ca="1">OFFSET(CumulativeActive!A16,-A16,MATCH(Country_Data!D16,CumulativeActive!B16:BT16,0))</f>
        <v>43882</v>
      </c>
      <c r="F16" s="41">
        <f>MAX(CumulativeConfirmed!16:16)</f>
        <v>1193</v>
      </c>
      <c r="G16" s="41">
        <f>MAX(CumulativeDead!16:16)</f>
        <v>43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3.6043587594300083E-2</v>
      </c>
      <c r="N16" s="52">
        <f>VLOOKUP(C16,Deaths_since_10!H:I,2,FALSE)</f>
        <v>10</v>
      </c>
      <c r="O16" s="56">
        <f ca="1">OFFSET(CumulativeDead!A16,-A16,MATCH(Country_Data!N16,CumulativeDead!B16:BT16,0))</f>
        <v>43899</v>
      </c>
      <c r="P16" s="52">
        <f t="shared" ca="1" si="1"/>
        <v>17</v>
      </c>
    </row>
    <row r="17" spans="1:16" x14ac:dyDescent="0.3">
      <c r="A17" s="52">
        <v>16</v>
      </c>
      <c r="B17" s="55" t="s">
        <v>340</v>
      </c>
      <c r="C17" s="55" t="s">
        <v>340</v>
      </c>
      <c r="D17" s="52" t="e">
        <f>VLOOKUP(C17,Days_Since_100_active!H:I,2,FALSE)</f>
        <v>#N/A</v>
      </c>
      <c r="E17" s="56" t="e">
        <f ca="1">OFFSET(CumulativeActive!A17,-A17,MATCH(Country_Data!D17,CumulativeActive!B17:BT17,0))</f>
        <v>#N/A</v>
      </c>
      <c r="F17" s="41">
        <f>MAX(CumulativeConfirmed!17:17)</f>
        <v>0</v>
      </c>
      <c r="G17" s="41">
        <f>MAX(CumulativeDead!17:17)</f>
        <v>0</v>
      </c>
      <c r="J17" s="41" t="e">
        <v>#N/A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OFFSET(CumulativeDead!A17,-A17,MATCH(Country_Data!N17,CumulativeDead!B17:BT17,0))</f>
        <v>#N/A</v>
      </c>
      <c r="P17" s="52" t="e">
        <f t="shared" ca="1" si="1"/>
        <v>#N/A</v>
      </c>
    </row>
    <row r="18" spans="1:16" x14ac:dyDescent="0.3">
      <c r="A18" s="52">
        <v>17</v>
      </c>
      <c r="B18" s="55" t="s">
        <v>63</v>
      </c>
      <c r="C18" s="55" t="s">
        <v>63</v>
      </c>
      <c r="D18" s="52">
        <f>VLOOKUP(C18,Days_Since_100_active!H:I,2,FALSE)</f>
        <v>108</v>
      </c>
      <c r="E18" s="56">
        <f ca="1">OFFSET(CumulativeActive!A18,-A18,MATCH(Country_Data!D18,CumulativeActive!B18:BT18,0))</f>
        <v>43896</v>
      </c>
      <c r="F18" s="41">
        <f>MAX(CumulativeConfirmed!18:18)</f>
        <v>4269</v>
      </c>
      <c r="G18" s="41">
        <f>MAX(CumulativeDead!18:18)</f>
        <v>122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2.8578121339892248E-2</v>
      </c>
      <c r="N18" s="52">
        <f>VLOOKUP(C18,Deaths_since_10!H:I,2,FALSE)</f>
        <v>10</v>
      </c>
      <c r="O18" s="56">
        <f ca="1">OFFSET(CumulativeDead!A18,-A18,MATCH(Country_Data!N18,CumulativeDead!B18:BT18,0))</f>
        <v>43907</v>
      </c>
      <c r="P18" s="52">
        <f t="shared" ca="1" si="1"/>
        <v>11</v>
      </c>
    </row>
    <row r="19" spans="1:16" x14ac:dyDescent="0.3">
      <c r="A19" s="52">
        <v>18</v>
      </c>
      <c r="B19" s="55" t="s">
        <v>78</v>
      </c>
      <c r="C19" s="55" t="s">
        <v>78</v>
      </c>
      <c r="D19" s="52">
        <f>VLOOKUP(C19,Days_Since_100_active!H:I,2,FALSE)</f>
        <v>104</v>
      </c>
      <c r="E19" s="56">
        <f ca="1">OFFSET(CumulativeActive!A19,-A19,MATCH(Country_Data!D19,CumulativeActive!B19:BT19,0))</f>
        <v>43898</v>
      </c>
      <c r="F19" s="41">
        <f>MAX(CumulativeConfirmed!19:19)</f>
        <v>5283</v>
      </c>
      <c r="G19" s="41">
        <f>MAX(CumulativeDead!19:19)</f>
        <v>28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5.3000189286390312E-3</v>
      </c>
      <c r="N19" s="52">
        <f>VLOOKUP(C19,Deaths_since_10!H:I,2,FALSE)</f>
        <v>8</v>
      </c>
      <c r="O19" s="56">
        <f ca="1">OFFSET(CumulativeDead!A19,-A19,MATCH(Country_Data!N19,CumulativeDead!B19:BT19,0))</f>
        <v>43911</v>
      </c>
      <c r="P19" s="52">
        <f t="shared" ca="1" si="1"/>
        <v>13</v>
      </c>
    </row>
    <row r="20" spans="1:16" x14ac:dyDescent="0.3">
      <c r="A20" s="52">
        <v>19</v>
      </c>
      <c r="B20" s="55" t="s">
        <v>101</v>
      </c>
      <c r="C20" s="55" t="s">
        <v>101</v>
      </c>
      <c r="D20" s="52">
        <f>VLOOKUP(C20,Days_Since_100_active!H:I,2,FALSE)</f>
        <v>262</v>
      </c>
      <c r="E20" s="56">
        <f ca="1">OFFSET(CumulativeActive!A20,-A20,MATCH(Country_Data!D20,CumulativeActive!B20:BT20,0))</f>
        <v>43901</v>
      </c>
      <c r="F20" s="41">
        <f>MAX(CumulativeConfirmed!20:20)</f>
        <v>526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OFFSET(CumulativeDead!A20,-A20,MATCH(Country_Data!N20,CumulativeDead!B20:BT20,0))</f>
        <v>#N/A</v>
      </c>
      <c r="P20" s="52" t="e">
        <f t="shared" ca="1" si="1"/>
        <v>#N/A</v>
      </c>
    </row>
    <row r="21" spans="1:16" x14ac:dyDescent="0.3">
      <c r="A21" s="52">
        <v>20</v>
      </c>
      <c r="B21" s="55" t="s">
        <v>48</v>
      </c>
      <c r="C21" s="55" t="s">
        <v>48</v>
      </c>
      <c r="D21" s="52">
        <f>VLOOKUP(C21,Days_Since_100_active!H:I,2,FALSE)</f>
        <v>83</v>
      </c>
      <c r="E21" s="56">
        <f ca="1">OFFSET(CumulativeActive!A21,-A21,MATCH(Country_Data!D21,CumulativeActive!B21:BT21,0))</f>
        <v>43900</v>
      </c>
      <c r="F21" s="41">
        <f>MAX(CumulativeConfirmed!21:21)</f>
        <v>2044</v>
      </c>
      <c r="G21" s="41">
        <f>MAX(CumulativeDead!21:21)</f>
        <v>8</v>
      </c>
      <c r="J21" s="41">
        <v>25499884</v>
      </c>
      <c r="K21" s="52">
        <v>0</v>
      </c>
      <c r="L21" s="41">
        <v>0</v>
      </c>
      <c r="M21" s="69">
        <f t="shared" si="0"/>
        <v>3.9138943248532287E-3</v>
      </c>
      <c r="N21" s="52">
        <f>VLOOKUP(C21,Deaths_since_10!H:I,2,FALSE)</f>
        <v>8</v>
      </c>
      <c r="O21" s="56">
        <f ca="1">OFFSET(CumulativeDead!A21,-A21,MATCH(Country_Data!N21,CumulativeDead!B21:BT21,0))</f>
        <v>43914</v>
      </c>
      <c r="P21" s="52">
        <f t="shared" ca="1" si="1"/>
        <v>14</v>
      </c>
    </row>
    <row r="22" spans="1:16" x14ac:dyDescent="0.3">
      <c r="A22" s="52">
        <v>21</v>
      </c>
      <c r="B22" s="55" t="s">
        <v>40</v>
      </c>
      <c r="C22" s="55" t="s">
        <v>40</v>
      </c>
      <c r="D22" s="52">
        <f>VLOOKUP(C22,Days_Since_100_active!H:I,2,FALSE)</f>
        <v>30</v>
      </c>
      <c r="E22" s="56">
        <f ca="1">OFFSET(CumulativeActive!A22,-A22,MATCH(Country_Data!D22,CumulativeActive!B22:BT22,0))</f>
        <v>43868</v>
      </c>
      <c r="F22" s="41">
        <f>MAX(CumulativeConfirmed!22:22)</f>
        <v>558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3.5842293906810036E-3</v>
      </c>
      <c r="N22" s="52" t="e">
        <f>VLOOKUP(C22,Deaths_since_10!H:I,2,FALSE)</f>
        <v>#N/A</v>
      </c>
      <c r="O22" s="56" t="e">
        <f ca="1">OFFSET(CumulativeDead!A22,-A22,MATCH(Country_Data!N22,CumulativeDead!B22:BT22,0))</f>
        <v>#N/A</v>
      </c>
      <c r="P22" s="52" t="e">
        <f t="shared" ca="1" si="1"/>
        <v>#N/A</v>
      </c>
    </row>
    <row r="23" spans="1:16" x14ac:dyDescent="0.3">
      <c r="A23" s="52">
        <v>22</v>
      </c>
      <c r="B23" s="55" t="s">
        <v>43</v>
      </c>
      <c r="C23" s="55" t="s">
        <v>43</v>
      </c>
      <c r="D23" s="52">
        <f>VLOOKUP(C23,Days_Since_100_active!H:I,2,FALSE)</f>
        <v>93</v>
      </c>
      <c r="E23" s="56">
        <f ca="1">OFFSET(CumulativeActive!A23,-A23,MATCH(Country_Data!D23,CumulativeActive!B23:BT23,0))</f>
        <v>43899</v>
      </c>
      <c r="F23" s="41">
        <f>MAX(CumulativeConfirmed!23:23)</f>
        <v>1624</v>
      </c>
      <c r="G23" s="41">
        <f>MAX(CumulativeDead!23:23)</f>
        <v>16</v>
      </c>
      <c r="J23" s="41">
        <v>32365999</v>
      </c>
      <c r="K23" s="52">
        <v>0</v>
      </c>
      <c r="L23" s="41">
        <v>0</v>
      </c>
      <c r="M23" s="69">
        <f t="shared" si="0"/>
        <v>9.852216748768473E-3</v>
      </c>
      <c r="N23" s="52">
        <f>VLOOKUP(C23,Deaths_since_10!H:I,2,FALSE)</f>
        <v>10</v>
      </c>
      <c r="O23" s="56">
        <f ca="1">OFFSET(CumulativeDead!A23,-A23,MATCH(Country_Data!N23,CumulativeDead!B23:BT23,0))</f>
        <v>43912</v>
      </c>
      <c r="P23" s="52">
        <f t="shared" ca="1" si="1"/>
        <v>13</v>
      </c>
    </row>
    <row r="24" spans="1:16" x14ac:dyDescent="0.3">
      <c r="A24" s="52">
        <v>23</v>
      </c>
      <c r="B24" s="55" t="s">
        <v>45</v>
      </c>
      <c r="C24" s="55" t="s">
        <v>45</v>
      </c>
      <c r="D24" s="52">
        <f>VLOOKUP(C24,Days_Since_100_active!H:I,2,FALSE)</f>
        <v>99</v>
      </c>
      <c r="E24" s="56">
        <f ca="1">OFFSET(CumulativeActive!A24,-A24,MATCH(Country_Data!D24,CumulativeActive!B24:BT24,0))</f>
        <v>43901</v>
      </c>
      <c r="F24" s="41">
        <f>MAX(CumulativeConfirmed!24:24)</f>
        <v>2790</v>
      </c>
      <c r="G24" s="41">
        <f>MAX(CumulativeDead!24:24)</f>
        <v>26</v>
      </c>
      <c r="J24" s="41">
        <v>37742154</v>
      </c>
      <c r="K24" s="52">
        <v>0</v>
      </c>
      <c r="L24" s="41">
        <v>0</v>
      </c>
      <c r="M24" s="69">
        <f t="shared" si="0"/>
        <v>9.3189964157706102E-3</v>
      </c>
      <c r="N24" s="52">
        <f>VLOOKUP(C24,Deaths_since_10!H:I,2,FALSE)</f>
        <v>8</v>
      </c>
      <c r="O24" s="56">
        <f ca="1">OFFSET(CumulativeDead!A24,-A24,MATCH(Country_Data!N24,CumulativeDead!B24:BT24,0))</f>
        <v>43908</v>
      </c>
      <c r="P24" s="52">
        <f t="shared" ca="1" si="1"/>
        <v>7</v>
      </c>
    </row>
    <row r="25" spans="1:16" x14ac:dyDescent="0.3">
      <c r="A25" s="52">
        <v>24</v>
      </c>
      <c r="B25" s="55" t="s">
        <v>83</v>
      </c>
      <c r="C25" s="55" t="s">
        <v>83</v>
      </c>
      <c r="D25" s="52">
        <f>VLOOKUP(C25,Days_Since_100_active!H:I,2,FALSE)</f>
        <v>189</v>
      </c>
      <c r="E25" s="56">
        <f ca="1">OFFSET(CumulativeActive!A25,-A25,MATCH(Country_Data!D25,CumulativeActive!B25:BT25,0))</f>
        <v>43903</v>
      </c>
      <c r="F25" s="41">
        <f>MAX(CumulativeConfirmed!25:25)</f>
        <v>743</v>
      </c>
      <c r="G25" s="41">
        <f>MAX(CumulativeDead!25:25)</f>
        <v>20</v>
      </c>
      <c r="J25" s="41">
        <v>10423054</v>
      </c>
      <c r="K25" s="52">
        <v>6</v>
      </c>
      <c r="L25" s="41">
        <v>625.38324</v>
      </c>
      <c r="M25" s="69">
        <f t="shared" si="0"/>
        <v>2.6917900403768506E-2</v>
      </c>
      <c r="N25" s="52">
        <f>VLOOKUP(C25,Deaths_since_10!H:I,2,FALSE)</f>
        <v>13</v>
      </c>
      <c r="O25" s="56">
        <f ca="1">OFFSET(CumulativeDead!A25,-A25,MATCH(Country_Data!N25,CumulativeDead!B25:BT25,0))</f>
        <v>43911</v>
      </c>
      <c r="P25" s="52">
        <f t="shared" ca="1" si="1"/>
        <v>8</v>
      </c>
    </row>
    <row r="26" spans="1:16" x14ac:dyDescent="0.3">
      <c r="A26" s="52">
        <v>25</v>
      </c>
      <c r="B26" s="55" t="s">
        <v>73</v>
      </c>
      <c r="C26" s="55" t="s">
        <v>73</v>
      </c>
      <c r="D26" s="52">
        <f>VLOOKUP(C26,Days_Since_100_active!H:I,2,FALSE)</f>
        <v>88</v>
      </c>
      <c r="E26" s="56">
        <f ca="1">OFFSET(CumulativeActive!A26,-A26,MATCH(Country_Data!D26,CumulativeActive!B26:BT26,0))</f>
        <v>43900</v>
      </c>
      <c r="F26" s="41">
        <f>MAX(CumulativeConfirmed!26:26)</f>
        <v>392</v>
      </c>
      <c r="G26" s="41">
        <f>MAX(CumulativeDead!26:26)</f>
        <v>3</v>
      </c>
      <c r="J26" s="41">
        <v>1701575</v>
      </c>
      <c r="K26" s="52">
        <v>0</v>
      </c>
      <c r="L26" s="41">
        <v>0</v>
      </c>
      <c r="M26" s="69">
        <f t="shared" si="0"/>
        <v>7.6530612244897957E-3</v>
      </c>
      <c r="N26" s="52" t="e">
        <f>VLOOKUP(C26,Deaths_since_10!H:I,2,FALSE)</f>
        <v>#N/A</v>
      </c>
      <c r="O26" s="56" t="e">
        <f ca="1">OFFSET(CumulativeDead!A26,-A26,MATCH(Country_Data!N26,CumulativeDead!B26:BT26,0))</f>
        <v>#N/A</v>
      </c>
      <c r="P26" s="52" t="e">
        <f t="shared" ca="1" si="1"/>
        <v>#N/A</v>
      </c>
    </row>
    <row r="27" spans="1:16" x14ac:dyDescent="0.3">
      <c r="A27" s="52">
        <v>26</v>
      </c>
      <c r="B27" s="55" t="s">
        <v>79</v>
      </c>
      <c r="C27" s="55" t="s">
        <v>79</v>
      </c>
      <c r="D27" s="52">
        <f>VLOOKUP(C27,Days_Since_100_active!H:I,2,FALSE)</f>
        <v>105</v>
      </c>
      <c r="E27" s="56">
        <f ca="1">OFFSET(CumulativeActive!A27,-A27,MATCH(Country_Data!D27,CumulativeActive!B27:BT27,0))</f>
        <v>43901</v>
      </c>
      <c r="F27" s="41">
        <f>MAX(CumulativeConfirmed!27:27)</f>
        <v>1930</v>
      </c>
      <c r="G27" s="41">
        <f>MAX(CumulativeDead!27:27)</f>
        <v>3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1.5544041450777201E-3</v>
      </c>
      <c r="N27" s="52" t="e">
        <f>VLOOKUP(C27,Deaths_since_10!H:I,2,FALSE)</f>
        <v>#N/A</v>
      </c>
      <c r="O27" s="56" t="e">
        <f ca="1">OFFSET(CumulativeDead!A27,-A27,MATCH(Country_Data!N27,CumulativeDead!B27:BT27,0))</f>
        <v>#N/A</v>
      </c>
      <c r="P27" s="52" t="e">
        <f t="shared" ca="1" si="1"/>
        <v>#N/A</v>
      </c>
    </row>
    <row r="28" spans="1:16" x14ac:dyDescent="0.3">
      <c r="A28" s="52">
        <v>27</v>
      </c>
      <c r="B28" s="55" t="s">
        <v>54</v>
      </c>
      <c r="C28" s="55" t="s">
        <v>54</v>
      </c>
      <c r="D28" s="52">
        <f>VLOOKUP(C28,Days_Since_100_active!H:I,2,FALSE)</f>
        <v>154</v>
      </c>
      <c r="E28" s="56">
        <f ca="1">OFFSET(CumulativeActive!A28,-A28,MATCH(Country_Data!D28,CumulativeActive!B28:BT28,0))</f>
        <v>43903</v>
      </c>
      <c r="F28" s="41">
        <f>MAX(CumulativeConfirmed!28:28)</f>
        <v>792</v>
      </c>
      <c r="G28" s="41">
        <f>MAX(CumulativeDead!28:28)</f>
        <v>1</v>
      </c>
      <c r="J28" s="41">
        <v>5540720</v>
      </c>
      <c r="K28" s="52">
        <v>6.1</v>
      </c>
      <c r="L28" s="41">
        <v>337.98392000000001</v>
      </c>
      <c r="M28" s="69">
        <f t="shared" si="0"/>
        <v>1.2626262626262627E-3</v>
      </c>
      <c r="N28" s="52" t="e">
        <f>VLOOKUP(C28,Deaths_since_10!H:I,2,FALSE)</f>
        <v>#N/A</v>
      </c>
      <c r="O28" s="56" t="e">
        <f ca="1">OFFSET(CumulativeDead!A28,-A28,MATCH(Country_Data!N28,CumulativeDead!B28:BT28,0))</f>
        <v>#N/A</v>
      </c>
      <c r="P28" s="52" t="e">
        <f t="shared" ca="1" si="1"/>
        <v>#N/A</v>
      </c>
    </row>
    <row r="29" spans="1:16" x14ac:dyDescent="0.3">
      <c r="A29" s="52">
        <v>28</v>
      </c>
      <c r="B29" s="55" t="s">
        <v>81</v>
      </c>
      <c r="C29" s="55" t="s">
        <v>81</v>
      </c>
      <c r="D29" s="52">
        <f>VLOOKUP(C29,Days_Since_100_active!H:I,2,FALSE)</f>
        <v>151</v>
      </c>
      <c r="E29" s="56">
        <f ca="1">OFFSET(CumulativeActive!A29,-A29,MATCH(Country_Data!D29,CumulativeActive!B29:BT29,0))</f>
        <v>43903</v>
      </c>
      <c r="F29" s="41">
        <f>MAX(CumulativeConfirmed!29:29)</f>
        <v>2247</v>
      </c>
      <c r="G29" s="41">
        <f>MAX(CumulativeDead!29:29)</f>
        <v>46</v>
      </c>
      <c r="J29" s="41">
        <v>212559417</v>
      </c>
      <c r="K29" s="52">
        <v>0</v>
      </c>
      <c r="L29" s="41">
        <v>0</v>
      </c>
      <c r="M29" s="69">
        <f t="shared" si="0"/>
        <v>2.0471740097908322E-2</v>
      </c>
      <c r="N29" s="52">
        <f>VLOOKUP(C29,Deaths_since_10!H:I,2,FALSE)</f>
        <v>11</v>
      </c>
      <c r="O29" s="56">
        <f ca="1">OFFSET(CumulativeDead!A29,-A29,MATCH(Country_Data!N29,CumulativeDead!B29:BT29,0))</f>
        <v>43910</v>
      </c>
      <c r="P29" s="52">
        <f t="shared" ca="1" si="1"/>
        <v>7</v>
      </c>
    </row>
    <row r="30" spans="1:16" x14ac:dyDescent="0.3">
      <c r="A30" s="52">
        <v>29</v>
      </c>
      <c r="B30" s="55" t="s">
        <v>479</v>
      </c>
      <c r="C30" s="55" t="s">
        <v>341</v>
      </c>
      <c r="D30" s="52">
        <f>VLOOKUP(C30,Days_Since_100_active!H:I,2,FALSE)</f>
        <v>141</v>
      </c>
      <c r="E30" s="56">
        <f ca="1">OFFSET(CumulativeActive!A30,-A30,MATCH(Country_Data!D30,CumulativeActive!B30:BT30,0))</f>
        <v>43903</v>
      </c>
      <c r="F30" s="41">
        <f>MAX(CumulativeConfirmed!30:30)</f>
        <v>1394</v>
      </c>
      <c r="G30" s="41">
        <f>MAX(CumulativeDead!30:30)</f>
        <v>3</v>
      </c>
      <c r="J30" s="41">
        <v>10708981</v>
      </c>
      <c r="K30" s="52">
        <v>11.6</v>
      </c>
      <c r="L30" s="41">
        <v>1242.241796</v>
      </c>
      <c r="M30" s="69">
        <f t="shared" si="0"/>
        <v>2.152080344332855E-3</v>
      </c>
      <c r="N30" s="52" t="e">
        <f>VLOOKUP(C30,Deaths_since_10!H:I,2,FALSE)</f>
        <v>#N/A</v>
      </c>
      <c r="O30" s="56" t="e">
        <f ca="1">OFFSET(CumulativeDead!A30,-A30,MATCH(Country_Data!N30,CumulativeDead!B30:BT30,0))</f>
        <v>#N/A</v>
      </c>
      <c r="P30" s="52" t="e">
        <f t="shared" ca="1" si="1"/>
        <v>#N/A</v>
      </c>
    </row>
    <row r="31" spans="1:16" x14ac:dyDescent="0.3">
      <c r="A31" s="52">
        <v>30</v>
      </c>
      <c r="B31" s="55" t="s">
        <v>141</v>
      </c>
      <c r="C31" s="55" t="s">
        <v>141</v>
      </c>
      <c r="D31" s="52">
        <f>VLOOKUP(C31,Days_Since_100_active!H:I,2,FALSE)</f>
        <v>141</v>
      </c>
      <c r="E31" s="56">
        <f ca="1">OFFSET(CumulativeActive!A31,-A31,MATCH(Country_Data!D31,CumulativeActive!B31:BT31,0))</f>
        <v>43903</v>
      </c>
      <c r="F31" s="41">
        <f>MAX(CumulativeConfirmed!31:31)</f>
        <v>480</v>
      </c>
      <c r="G31" s="41">
        <f>MAX(CumulativeDead!31:31)</f>
        <v>4</v>
      </c>
      <c r="J31" s="41">
        <v>2078938</v>
      </c>
      <c r="K31" s="52">
        <v>6.4</v>
      </c>
      <c r="L31" s="41">
        <v>133.05203200000003</v>
      </c>
      <c r="M31" s="69">
        <f t="shared" si="0"/>
        <v>8.3333333333333332E-3</v>
      </c>
      <c r="N31" s="52" t="e">
        <f>VLOOKUP(C31,Deaths_since_10!H:I,2,FALSE)</f>
        <v>#N/A</v>
      </c>
      <c r="O31" s="56" t="e">
        <f ca="1">OFFSET(CumulativeDead!A31,-A31,MATCH(Country_Data!N31,CumulativeDead!B31:BT31,0))</f>
        <v>#N/A</v>
      </c>
      <c r="P31" s="52" t="e">
        <f t="shared" ca="1" si="1"/>
        <v>#N/A</v>
      </c>
    </row>
    <row r="32" spans="1:16" x14ac:dyDescent="0.3">
      <c r="A32" s="52">
        <v>31</v>
      </c>
      <c r="B32" s="55" t="s">
        <v>92</v>
      </c>
      <c r="C32" s="55" t="s">
        <v>92</v>
      </c>
      <c r="D32" s="52">
        <f>VLOOKUP(C32,Days_Since_100_active!H:I,2,FALSE)</f>
        <v>102</v>
      </c>
      <c r="E32" s="56">
        <f ca="1">OFFSET(CumulativeActive!A32,-A32,MATCH(Country_Data!D32,CumulativeActive!B32:BT32,0))</f>
        <v>43902</v>
      </c>
      <c r="F32" s="41">
        <f>MAX(CumulativeConfirmed!32:32)</f>
        <v>648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7.716049382716049E-3</v>
      </c>
      <c r="N32" s="52" t="e">
        <f>VLOOKUP(C32,Deaths_since_10!H:I,2,FALSE)</f>
        <v>#N/A</v>
      </c>
      <c r="O32" s="56" t="e">
        <f ca="1">OFFSET(CumulativeDead!A32,-A32,MATCH(Country_Data!N32,CumulativeDead!B32:BT32,0))</f>
        <v>#N/A</v>
      </c>
      <c r="P32" s="52" t="e">
        <f t="shared" ca="1" si="1"/>
        <v>#N/A</v>
      </c>
    </row>
    <row r="33" spans="1:16" x14ac:dyDescent="0.3">
      <c r="A33" s="52">
        <v>32</v>
      </c>
      <c r="B33" s="55" t="s">
        <v>108</v>
      </c>
      <c r="C33" s="55" t="s">
        <v>108</v>
      </c>
      <c r="D33" s="52">
        <f>VLOOKUP(C33,Days_Since_100_active!H:I,2,FALSE)</f>
        <v>111</v>
      </c>
      <c r="E33" s="56">
        <f ca="1">OFFSET(CumulativeActive!A33,-A33,MATCH(Country_Data!D33,CumulativeActive!B33:BT33,0))</f>
        <v>43903</v>
      </c>
      <c r="F33" s="41">
        <f>MAX(CumulativeConfirmed!33:33)</f>
        <v>2362</v>
      </c>
      <c r="G33" s="41">
        <f>MAX(CumulativeDead!33:33)</f>
        <v>33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1.397121083827265E-2</v>
      </c>
      <c r="N33" s="52">
        <f>VLOOKUP(C33,Deaths_since_10!H:I,2,FALSE)</f>
        <v>12</v>
      </c>
      <c r="O33" s="56">
        <f ca="1">OFFSET(CumulativeDead!A33,-A33,MATCH(Country_Data!N33,CumulativeDead!B33:BT33,0))</f>
        <v>43911</v>
      </c>
      <c r="P33" s="52">
        <f t="shared" ca="1" si="1"/>
        <v>8</v>
      </c>
    </row>
    <row r="34" spans="1:16" x14ac:dyDescent="0.3">
      <c r="A34" s="52">
        <v>33</v>
      </c>
      <c r="B34" s="55" t="s">
        <v>70</v>
      </c>
      <c r="C34" s="55" t="s">
        <v>70</v>
      </c>
      <c r="D34" s="52">
        <f>VLOOKUP(C34,Days_Since_100_active!H:I,2,FALSE)</f>
        <v>68</v>
      </c>
      <c r="E34" s="56">
        <f ca="1">OFFSET(CumulativeActive!A34,-A34,MATCH(Country_Data!D34,CumulativeActive!B34:BT34,0))</f>
        <v>43903</v>
      </c>
      <c r="F34" s="41">
        <f>MAX(CumulativeConfirmed!34:34)</f>
        <v>316</v>
      </c>
      <c r="G34" s="41">
        <f>MAX(CumulativeDead!34:34)</f>
        <v>27</v>
      </c>
      <c r="J34" s="41">
        <v>40222493</v>
      </c>
      <c r="K34" s="52">
        <v>0</v>
      </c>
      <c r="L34" s="41">
        <v>0</v>
      </c>
      <c r="M34" s="69">
        <f t="shared" ref="M34:M65" si="2">G34/F34</f>
        <v>8.5443037974683542E-2</v>
      </c>
      <c r="N34" s="52">
        <f>VLOOKUP(C34,Deaths_since_10!H:I,2,FALSE)</f>
        <v>8</v>
      </c>
      <c r="O34" s="56">
        <f ca="1">OFFSET(CumulativeDead!A34,-A34,MATCH(Country_Data!N34,CumulativeDead!B34:BT34,0))</f>
        <v>43902</v>
      </c>
      <c r="P34" s="52">
        <f t="shared" ref="P34:P65" ca="1" si="3">O34-E34</f>
        <v>-1</v>
      </c>
    </row>
    <row r="35" spans="1:16" x14ac:dyDescent="0.3">
      <c r="A35" s="52">
        <v>34</v>
      </c>
      <c r="B35" s="55" t="s">
        <v>98</v>
      </c>
      <c r="C35" s="55" t="s">
        <v>98</v>
      </c>
      <c r="D35" s="52">
        <f>VLOOKUP(C35,Days_Since_100_active!H:I,2,FALSE)</f>
        <v>127</v>
      </c>
      <c r="E35" s="56">
        <f ca="1">OFFSET(CumulativeActive!A35,-A35,MATCH(Country_Data!D35,CumulativeActive!B35:BT35,0))</f>
        <v>43904</v>
      </c>
      <c r="F35" s="41">
        <f>MAX(CumulativeConfirmed!35:35)</f>
        <v>1329</v>
      </c>
      <c r="G35" s="41">
        <f>MAX(CumulativeDead!35:35)</f>
        <v>7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5.2671181339352894E-3</v>
      </c>
      <c r="N35" s="52" t="e">
        <f>VLOOKUP(C35,Deaths_since_10!H:I,2,FALSE)</f>
        <v>#N/A</v>
      </c>
      <c r="O35" s="56" t="e">
        <f ca="1">OFFSET(CumulativeDead!A35,-A35,MATCH(Country_Data!N35,CumulativeDead!B35:BT35,0))</f>
        <v>#N/A</v>
      </c>
      <c r="P35" s="52" t="e">
        <f t="shared" ca="1" si="3"/>
        <v>#N/A</v>
      </c>
    </row>
    <row r="36" spans="1:16" x14ac:dyDescent="0.3">
      <c r="A36" s="52">
        <v>35</v>
      </c>
      <c r="B36" s="55" t="s">
        <v>86</v>
      </c>
      <c r="C36" s="55" t="s">
        <v>86</v>
      </c>
      <c r="D36" s="52">
        <f>VLOOKUP(C36,Days_Since_100_active!H:I,2,FALSE)</f>
        <v>114</v>
      </c>
      <c r="E36" s="56">
        <f ca="1">OFFSET(CumulativeActive!A36,-A36,MATCH(Country_Data!D36,CumulativeActive!B36:BT36,0))</f>
        <v>43904</v>
      </c>
      <c r="F36" s="41">
        <f>MAX(CumulativeConfirmed!36:36)</f>
        <v>794</v>
      </c>
      <c r="G36" s="41">
        <f>MAX(CumulativeDead!36:36)</f>
        <v>11</v>
      </c>
      <c r="J36" s="41">
        <v>19237691</v>
      </c>
      <c r="K36" s="52">
        <v>21.4</v>
      </c>
      <c r="L36" s="41">
        <v>4116.8658740000001</v>
      </c>
      <c r="M36" s="69">
        <f t="shared" si="2"/>
        <v>1.3853904282115869E-2</v>
      </c>
      <c r="N36" s="52">
        <f>VLOOKUP(C36,Deaths_since_10!H:I,2,FALSE)</f>
        <v>11</v>
      </c>
      <c r="O36" s="56">
        <f ca="1">OFFSET(CumulativeDead!A36,-A36,MATCH(Country_Data!N36,CumulativeDead!B36:BT36,0))</f>
        <v>43914</v>
      </c>
      <c r="P36" s="52">
        <f t="shared" ca="1" si="3"/>
        <v>10</v>
      </c>
    </row>
    <row r="37" spans="1:16" x14ac:dyDescent="0.3">
      <c r="A37" s="52">
        <v>36</v>
      </c>
      <c r="B37" s="55" t="s">
        <v>113</v>
      </c>
      <c r="C37" s="55" t="s">
        <v>113</v>
      </c>
      <c r="D37" s="52">
        <f>VLOOKUP(C37,Days_Since_100_active!H:I,2,FALSE)</f>
        <v>102</v>
      </c>
      <c r="E37" s="56">
        <f ca="1">OFFSET(CumulativeActive!A37,-A37,MATCH(Country_Data!D37,CumulativeActive!B37:BT37,0))</f>
        <v>43904</v>
      </c>
      <c r="F37" s="41">
        <f>MAX(CumulativeConfirmed!37:37)</f>
        <v>767</v>
      </c>
      <c r="G37" s="41">
        <f>MAX(CumulativeDead!37:37)</f>
        <v>1</v>
      </c>
      <c r="J37" s="41">
        <v>34813871</v>
      </c>
      <c r="K37" s="52">
        <v>0</v>
      </c>
      <c r="L37" s="41">
        <v>0</v>
      </c>
      <c r="M37" s="69">
        <f t="shared" si="2"/>
        <v>1.3037809647979139E-3</v>
      </c>
      <c r="N37" s="52" t="e">
        <f>VLOOKUP(C37,Deaths_since_10!H:I,2,FALSE)</f>
        <v>#N/A</v>
      </c>
      <c r="O37" s="56" t="e">
        <f ca="1">OFFSET(CumulativeDead!A37,-A37,MATCH(Country_Data!N37,CumulativeDead!B37:BT37,0))</f>
        <v>#N/A</v>
      </c>
      <c r="P37" s="52" t="e">
        <f t="shared" ca="1" si="3"/>
        <v>#N/A</v>
      </c>
    </row>
    <row r="38" spans="1:16" x14ac:dyDescent="0.3">
      <c r="A38" s="52">
        <v>37</v>
      </c>
      <c r="B38" s="55" t="s">
        <v>55</v>
      </c>
      <c r="C38" s="55" t="s">
        <v>55</v>
      </c>
      <c r="D38" s="52">
        <f>VLOOKUP(C38,Days_Since_100_active!H:I,2,FALSE)</f>
        <v>87</v>
      </c>
      <c r="E38" s="56">
        <f ca="1">OFFSET(CumulativeActive!A38,-A38,MATCH(Country_Data!D38,CumulativeActive!B38:BT38,0))</f>
        <v>43908</v>
      </c>
      <c r="F38" s="41">
        <f>MAX(CumulativeConfirmed!38:38)</f>
        <v>248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8.0645161290322578E-3</v>
      </c>
      <c r="N38" s="52" t="e">
        <f>VLOOKUP(C38,Deaths_since_10!H:I,2,FALSE)</f>
        <v>#N/A</v>
      </c>
      <c r="O38" s="56" t="e">
        <f ca="1">OFFSET(CumulativeDead!A38,-A38,MATCH(Country_Data!N38,CumulativeDead!B38:BT38,0))</f>
        <v>#N/A</v>
      </c>
      <c r="P38" s="52" t="e">
        <f t="shared" ca="1" si="3"/>
        <v>#N/A</v>
      </c>
    </row>
    <row r="39" spans="1:16" x14ac:dyDescent="0.3">
      <c r="A39" s="52">
        <v>38</v>
      </c>
      <c r="B39" s="55" t="s">
        <v>57</v>
      </c>
      <c r="C39" s="55" t="s">
        <v>57</v>
      </c>
      <c r="D39" s="52">
        <f>VLOOKUP(C39,Days_Since_100_active!H:I,2,FALSE)</f>
        <v>96</v>
      </c>
      <c r="E39" s="56">
        <f ca="1">OFFSET(CumulativeActive!A39,-A39,MATCH(Country_Data!D39,CumulativeActive!B39:BT39,0))</f>
        <v>43904</v>
      </c>
      <c r="F39" s="41">
        <f>MAX(CumulativeConfirmed!39:39)</f>
        <v>536</v>
      </c>
      <c r="G39" s="41">
        <f>MAX(CumulativeDead!39:39)</f>
        <v>10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1.8656716417910446E-2</v>
      </c>
      <c r="N39" s="52">
        <f>VLOOKUP(C39,Deaths_since_10!H:I,2,FALSE)</f>
        <v>10</v>
      </c>
      <c r="O39" s="56">
        <f ca="1">OFFSET(CumulativeDead!A39,-A39,MATCH(Country_Data!N39,CumulativeDead!B39:BT39,0))</f>
        <v>43913</v>
      </c>
      <c r="P39" s="52">
        <f t="shared" ca="1" si="3"/>
        <v>9</v>
      </c>
    </row>
    <row r="40" spans="1:16" x14ac:dyDescent="0.3">
      <c r="A40" s="52">
        <v>39</v>
      </c>
      <c r="B40" s="55" t="s">
        <v>65</v>
      </c>
      <c r="C40" s="55" t="s">
        <v>65</v>
      </c>
      <c r="D40" s="52">
        <f>VLOOKUP(C40,Days_Since_100_active!H:I,2,FALSE)</f>
        <v>80</v>
      </c>
      <c r="E40" s="56">
        <f ca="1">OFFSET(CumulativeActive!A40,-A40,MATCH(Country_Data!D40,CumulativeActive!B40:BT40,0))</f>
        <v>43904</v>
      </c>
      <c r="F40" s="41">
        <f>MAX(CumulativeConfirmed!40:40)</f>
        <v>402</v>
      </c>
      <c r="G40" s="41">
        <f>MAX(CumulativeDead!40:40)</f>
        <v>20</v>
      </c>
      <c r="J40" s="41">
        <v>102334404</v>
      </c>
      <c r="K40" s="52">
        <v>0</v>
      </c>
      <c r="L40" s="41">
        <v>0</v>
      </c>
      <c r="M40" s="69">
        <f t="shared" si="2"/>
        <v>4.975124378109453E-2</v>
      </c>
      <c r="N40" s="52">
        <f>VLOOKUP(C40,Deaths_since_10!H:I,2,FALSE)</f>
        <v>8</v>
      </c>
      <c r="O40" s="56">
        <f ca="1">OFFSET(CumulativeDead!A40,-A40,MATCH(Country_Data!N40,CumulativeDead!B40:BT40,0))</f>
        <v>43910</v>
      </c>
      <c r="P40" s="52">
        <f t="shared" ca="1" si="3"/>
        <v>6</v>
      </c>
    </row>
    <row r="41" spans="1:16" x14ac:dyDescent="0.3">
      <c r="A41" s="52">
        <v>40</v>
      </c>
      <c r="B41" s="55" t="s">
        <v>74</v>
      </c>
      <c r="C41" s="55" t="s">
        <v>74</v>
      </c>
      <c r="D41" s="52">
        <f>VLOOKUP(C41,Days_Since_100_active!H:I,2,FALSE)</f>
        <v>99</v>
      </c>
      <c r="E41" s="56">
        <f ca="1">OFFSET(CumulativeActive!A41,-A41,MATCH(Country_Data!D41,CumulativeActive!B41:BT41,0))</f>
        <v>43904</v>
      </c>
      <c r="F41" s="41">
        <f>MAX(CumulativeConfirmed!41:41)</f>
        <v>191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OFFSET(CumulativeDead!A41,-A41,MATCH(Country_Data!N41,CumulativeDead!B41:BT41,0))</f>
        <v>#N/A</v>
      </c>
      <c r="P41" s="52" t="e">
        <f t="shared" ca="1" si="3"/>
        <v>#N/A</v>
      </c>
    </row>
    <row r="42" spans="1:16" x14ac:dyDescent="0.3">
      <c r="A42" s="52">
        <v>41</v>
      </c>
      <c r="B42" s="55" t="s">
        <v>90</v>
      </c>
      <c r="C42" s="55" t="s">
        <v>90</v>
      </c>
      <c r="D42" s="52">
        <f>VLOOKUP(C42,Days_Since_100_active!H:I,2,FALSE)</f>
        <v>92</v>
      </c>
      <c r="E42" s="56">
        <f ca="1">OFFSET(CumulativeActive!A42,-A42,MATCH(Country_Data!D42,CumulativeActive!B42:BT42,0))</f>
        <v>43905</v>
      </c>
      <c r="F42" s="41">
        <f>MAX(CumulativeConfirmed!42:42)</f>
        <v>187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0.11229946524064172</v>
      </c>
      <c r="N42" s="52">
        <f>VLOOKUP(C42,Deaths_since_10!H:I,2,FALSE)</f>
        <v>11</v>
      </c>
      <c r="O42" s="56">
        <f ca="1">OFFSET(CumulativeDead!A42,-A42,MATCH(Country_Data!N42,CumulativeDead!B42:BT42,0))</f>
        <v>43908</v>
      </c>
      <c r="P42" s="52">
        <f t="shared" ca="1" si="3"/>
        <v>3</v>
      </c>
    </row>
    <row r="43" spans="1:16" x14ac:dyDescent="0.3">
      <c r="A43" s="52">
        <v>42</v>
      </c>
      <c r="B43" s="55" t="s">
        <v>88</v>
      </c>
      <c r="C43" s="55" t="s">
        <v>88</v>
      </c>
      <c r="D43" s="52">
        <f>VLOOKUP(C43,Days_Since_100_active!H:I,2,FALSE)</f>
        <v>115</v>
      </c>
      <c r="E43" s="56">
        <f ca="1">OFFSET(CumulativeActive!A43,-A43,MATCH(Country_Data!D43,CumulativeActive!B43:BT43,0))</f>
        <v>43904</v>
      </c>
      <c r="F43" s="41">
        <f>MAX(CumulativeConfirmed!43:43)</f>
        <v>369</v>
      </c>
      <c r="G43" s="41">
        <f>MAX(CumulativeDead!43:43)</f>
        <v>0</v>
      </c>
      <c r="J43" s="41">
        <v>1326535</v>
      </c>
      <c r="K43" s="52">
        <v>14.6</v>
      </c>
      <c r="L43" s="41">
        <v>193.67410999999998</v>
      </c>
      <c r="M43" s="69">
        <f t="shared" si="2"/>
        <v>0</v>
      </c>
      <c r="N43" s="52" t="e">
        <f>VLOOKUP(C43,Deaths_since_10!H:I,2,FALSE)</f>
        <v>#N/A</v>
      </c>
      <c r="O43" s="56" t="e">
        <f ca="1">OFFSET(CumulativeDead!A43,-A43,MATCH(Country_Data!N43,CumulativeDead!B43:BT43,0))</f>
        <v>#N/A</v>
      </c>
      <c r="P43" s="52" t="e">
        <f t="shared" ca="1" si="3"/>
        <v>#N/A</v>
      </c>
    </row>
    <row r="44" spans="1:16" x14ac:dyDescent="0.3">
      <c r="A44" s="52">
        <v>43</v>
      </c>
      <c r="B44" s="55" t="s">
        <v>67</v>
      </c>
      <c r="C44" s="55" t="s">
        <v>67</v>
      </c>
      <c r="D44" s="52">
        <f>VLOOKUP(C44,Days_Since_100_active!H:I,2,FALSE)</f>
        <v>106</v>
      </c>
      <c r="E44" s="56">
        <f ca="1">OFFSET(CumulativeActive!A44,-A44,MATCH(Country_Data!D44,CumulativeActive!B44:BT44,0))</f>
        <v>43905</v>
      </c>
      <c r="F44" s="41">
        <f>MAX(CumulativeConfirmed!44:44)</f>
        <v>318</v>
      </c>
      <c r="G44" s="41">
        <f>MAX(CumulativeDead!44:44)</f>
        <v>4</v>
      </c>
      <c r="J44" s="41">
        <v>6825445</v>
      </c>
      <c r="K44" s="52">
        <v>0</v>
      </c>
      <c r="L44" s="41">
        <v>0</v>
      </c>
      <c r="M44" s="69">
        <f t="shared" si="2"/>
        <v>1.2578616352201259E-2</v>
      </c>
      <c r="N44" s="52" t="e">
        <f>VLOOKUP(C44,Deaths_since_10!H:I,2,FALSE)</f>
        <v>#N/A</v>
      </c>
      <c r="O44" s="56" t="e">
        <f ca="1">OFFSET(CumulativeDead!A44,-A44,MATCH(Country_Data!N44,CumulativeDead!B44:BT44,0))</f>
        <v>#N/A</v>
      </c>
      <c r="P44" s="52" t="e">
        <f t="shared" ca="1" si="3"/>
        <v>#N/A</v>
      </c>
    </row>
    <row r="45" spans="1:16" x14ac:dyDescent="0.3">
      <c r="A45" s="52">
        <v>44</v>
      </c>
      <c r="B45" s="55" t="s">
        <v>35</v>
      </c>
      <c r="C45" s="55" t="s">
        <v>35</v>
      </c>
      <c r="D45" s="52">
        <f>VLOOKUP(C45,Days_Since_100_active!H:I,2,FALSE)</f>
        <v>78</v>
      </c>
      <c r="E45" s="56">
        <f ca="1">OFFSET(CumulativeActive!A45,-A45,MATCH(Country_Data!D45,CumulativeActive!B45:BT45,0))</f>
        <v>43905</v>
      </c>
      <c r="F45" s="41">
        <f>MAX(CumulativeConfirmed!45:45)</f>
        <v>827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4.8367593712212815E-3</v>
      </c>
      <c r="N45" s="52" t="e">
        <f>VLOOKUP(C45,Deaths_since_10!H:I,2,FALSE)</f>
        <v>#N/A</v>
      </c>
      <c r="O45" s="56" t="e">
        <f ca="1">OFFSET(CumulativeDead!A45,-A45,MATCH(Country_Data!N45,CumulativeDead!B45:BT45,0))</f>
        <v>#N/A</v>
      </c>
      <c r="P45" s="52" t="e">
        <f t="shared" ca="1" si="3"/>
        <v>#N/A</v>
      </c>
    </row>
    <row r="46" spans="1:16" x14ac:dyDescent="0.3">
      <c r="A46" s="52">
        <v>45</v>
      </c>
      <c r="B46" s="55" t="s">
        <v>107</v>
      </c>
      <c r="C46" s="55" t="s">
        <v>107</v>
      </c>
      <c r="D46" s="52">
        <f>VLOOKUP(C46,Days_Since_100_active!H:I,2,FALSE)</f>
        <v>104</v>
      </c>
      <c r="E46" s="56">
        <f ca="1">OFFSET(CumulativeActive!A46,-A46,MATCH(Country_Data!D46,CumulativeActive!B46:BT46,0))</f>
        <v>43905</v>
      </c>
      <c r="F46" s="41">
        <f>MAX(CumulativeConfirmed!46:46)</f>
        <v>686</v>
      </c>
      <c r="G46" s="41">
        <f>MAX(CumulativeDead!46:46)</f>
        <v>55</v>
      </c>
      <c r="J46" s="41">
        <v>273523615</v>
      </c>
      <c r="K46" s="52">
        <v>0</v>
      </c>
      <c r="L46" s="41">
        <v>0</v>
      </c>
      <c r="M46" s="69">
        <f t="shared" si="2"/>
        <v>8.0174927113702624E-2</v>
      </c>
      <c r="N46" s="52">
        <f>VLOOKUP(C46,Deaths_since_10!H:I,2,FALSE)</f>
        <v>19</v>
      </c>
      <c r="O46" s="56">
        <f ca="1">OFFSET(CumulativeDead!A46,-A46,MATCH(Country_Data!N46,CumulativeDead!B46:BT46,0))</f>
        <v>43908</v>
      </c>
      <c r="P46" s="52">
        <f t="shared" ca="1" si="3"/>
        <v>3</v>
      </c>
    </row>
    <row r="47" spans="1:16" x14ac:dyDescent="0.3">
      <c r="A47" s="52">
        <v>46</v>
      </c>
      <c r="B47" s="55" t="s">
        <v>137</v>
      </c>
      <c r="C47" s="55" t="s">
        <v>137</v>
      </c>
      <c r="D47" s="52">
        <f>VLOOKUP(C47,Days_Since_100_active!H:I,2,FALSE)</f>
        <v>100</v>
      </c>
      <c r="E47" s="56">
        <f ca="1">OFFSET(CumulativeActive!A47,-A47,MATCH(Country_Data!D47,CumulativeActive!B47:BT47,0))</f>
        <v>43904</v>
      </c>
      <c r="F47" s="41">
        <f>MAX(CumulativeConfirmed!47:47)</f>
        <v>901</v>
      </c>
      <c r="G47" s="41">
        <f>MAX(CumulativeDead!47:47)</f>
        <v>10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1.1098779134295227E-2</v>
      </c>
      <c r="N47" s="52">
        <f>VLOOKUP(C47,Deaths_since_10!H:I,2,FALSE)</f>
        <v>8</v>
      </c>
      <c r="O47" s="56">
        <f ca="1">OFFSET(CumulativeDead!A47,-A47,MATCH(Country_Data!N47,CumulativeDead!B47:BT47,0))</f>
        <v>43913</v>
      </c>
      <c r="P47" s="52">
        <f t="shared" ca="1" si="3"/>
        <v>9</v>
      </c>
    </row>
    <row r="48" spans="1:16" x14ac:dyDescent="0.3">
      <c r="A48" s="52">
        <v>47</v>
      </c>
      <c r="B48" s="55" t="s">
        <v>56</v>
      </c>
      <c r="C48" s="55" t="s">
        <v>56</v>
      </c>
      <c r="D48" s="52">
        <f>VLOOKUP(C48,Days_Since_100_active!H:I,2,FALSE)</f>
        <v>101</v>
      </c>
      <c r="E48" s="56">
        <f ca="1">OFFSET(CumulativeActive!A48,-A48,MATCH(Country_Data!D48,CumulativeActive!B48:BT48,0))</f>
        <v>43904</v>
      </c>
      <c r="F48" s="41">
        <f>MAX(CumulativeConfirmed!48:48)</f>
        <v>552</v>
      </c>
      <c r="G48" s="41">
        <f>MAX(CumulativeDead!48:48)</f>
        <v>35</v>
      </c>
      <c r="J48" s="41">
        <v>109581078</v>
      </c>
      <c r="K48" s="52">
        <v>0</v>
      </c>
      <c r="L48" s="41">
        <v>0</v>
      </c>
      <c r="M48" s="69">
        <f t="shared" si="2"/>
        <v>6.3405797101449279E-2</v>
      </c>
      <c r="N48" s="52">
        <f>VLOOKUP(C48,Deaths_since_10!H:I,2,FALSE)</f>
        <v>8</v>
      </c>
      <c r="O48" s="56">
        <f ca="1">OFFSET(CumulativeDead!A48,-A48,MATCH(Country_Data!N48,CumulativeDead!B48:BT48,0))</f>
        <v>43904</v>
      </c>
      <c r="P48" s="52">
        <f t="shared" ca="1" si="3"/>
        <v>0</v>
      </c>
    </row>
    <row r="49" spans="1:16" x14ac:dyDescent="0.3">
      <c r="A49" s="52">
        <v>48</v>
      </c>
      <c r="B49" s="55" t="s">
        <v>342</v>
      </c>
      <c r="C49" s="55" t="s">
        <v>342</v>
      </c>
      <c r="D49" s="52">
        <f>VLOOKUP(C49,Days_Since_100_active!H:I,2,FALSE)</f>
        <v>77</v>
      </c>
      <c r="E49" s="56">
        <f ca="1">OFFSET(CumulativeActive!A49,-A49,MATCH(Country_Data!D49,CumulativeActive!B49:BT49,0))</f>
        <v>43908</v>
      </c>
      <c r="F49" s="41">
        <f>MAX(CumulativeConfirmed!49:49)</f>
        <v>215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9.3023255813953487E-3</v>
      </c>
      <c r="N49" s="52" t="e">
        <f>VLOOKUP(C49,Deaths_since_10!H:I,2,FALSE)</f>
        <v>#N/A</v>
      </c>
      <c r="O49" s="56" t="e">
        <f ca="1">OFFSET(CumulativeDead!A49,-A49,MATCH(Country_Data!N49,CumulativeDead!B49:BT49,0))</f>
        <v>#N/A</v>
      </c>
      <c r="P49" s="52" t="e">
        <f t="shared" ca="1" si="3"/>
        <v>#N/A</v>
      </c>
    </row>
    <row r="50" spans="1:16" x14ac:dyDescent="0.3">
      <c r="A50" s="52">
        <v>49</v>
      </c>
      <c r="B50" s="55" t="s">
        <v>343</v>
      </c>
      <c r="C50" s="55" t="s">
        <v>343</v>
      </c>
      <c r="D50" s="52">
        <f>VLOOKUP(C50,Days_Since_100_active!H:I,2,FALSE)</f>
        <v>96</v>
      </c>
      <c r="E50" s="56">
        <f ca="1">OFFSET(CumulativeActive!A50,-A50,MATCH(Country_Data!D50,CumulativeActive!B50:BT50,0))</f>
        <v>43912</v>
      </c>
      <c r="F50" s="41">
        <f>MAX(CumulativeConfirmed!50:50)</f>
        <v>134</v>
      </c>
      <c r="G50" s="41">
        <f>MAX(CumulativeDead!50:50)</f>
        <v>0</v>
      </c>
      <c r="J50" s="41">
        <v>97338579</v>
      </c>
      <c r="K50" s="52" t="s">
        <v>513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OFFSET(CumulativeDead!A50,-A50,MATCH(Country_Data!N50,CumulativeDead!B50:BT50,0))</f>
        <v>#N/A</v>
      </c>
      <c r="P50" s="52" t="e">
        <f t="shared" ca="1" si="3"/>
        <v>#N/A</v>
      </c>
    </row>
    <row r="51" spans="1:16" x14ac:dyDescent="0.3">
      <c r="A51" s="52">
        <v>50</v>
      </c>
      <c r="B51" s="55" t="s">
        <v>344</v>
      </c>
      <c r="C51" s="55" t="s">
        <v>344</v>
      </c>
      <c r="D51" s="52">
        <f>VLOOKUP(C51,Days_Since_100_active!H:I,2,FALSE)</f>
        <v>106</v>
      </c>
      <c r="E51" s="56">
        <f ca="1">OFFSET(CumulativeActive!A51,-A51,MATCH(Country_Data!D51,CumulativeActive!B51:BT51,0))</f>
        <v>43907</v>
      </c>
      <c r="F51" s="41">
        <f>MAX(CumulativeConfirmed!51:51)</f>
        <v>495</v>
      </c>
      <c r="G51" s="41">
        <f>MAX(CumulativeDead!51:51)</f>
        <v>1</v>
      </c>
      <c r="J51" s="41">
        <v>145934462</v>
      </c>
      <c r="K51" s="52">
        <v>0</v>
      </c>
      <c r="L51" s="41">
        <v>0</v>
      </c>
      <c r="M51" s="69">
        <f t="shared" si="2"/>
        <v>2.0202020202020202E-3</v>
      </c>
      <c r="N51" s="52" t="e">
        <f>VLOOKUP(C51,Deaths_since_10!H:I,2,FALSE)</f>
        <v>#N/A</v>
      </c>
      <c r="O51" s="56" t="e">
        <f ca="1">OFFSET(CumulativeDead!A51,-A51,MATCH(Country_Data!N51,CumulativeDead!B51:BT51,0))</f>
        <v>#N/A</v>
      </c>
      <c r="P51" s="52" t="e">
        <f t="shared" ca="1" si="3"/>
        <v>#N/A</v>
      </c>
    </row>
    <row r="52" spans="1:16" x14ac:dyDescent="0.3">
      <c r="A52" s="52">
        <v>51</v>
      </c>
      <c r="B52" s="55" t="s">
        <v>124</v>
      </c>
      <c r="C52" s="55" t="s">
        <v>124</v>
      </c>
      <c r="D52" s="52">
        <f>VLOOKUP(C52,Days_Since_100_active!H:I,2,FALSE)</f>
        <v>155</v>
      </c>
      <c r="E52" s="56">
        <f ca="1">OFFSET(CumulativeActive!A52,-A52,MATCH(Country_Data!D52,CumulativeActive!B52:BT52,0))</f>
        <v>43906</v>
      </c>
      <c r="F52" s="41">
        <f>MAX(CumulativeConfirmed!52:52)</f>
        <v>922</v>
      </c>
      <c r="G52" s="41">
        <f>MAX(CumulativeDead!52:52)</f>
        <v>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2.1691973969631237E-3</v>
      </c>
      <c r="N52" s="52" t="e">
        <f>VLOOKUP(C52,Deaths_since_10!H:I,2,FALSE)</f>
        <v>#N/A</v>
      </c>
      <c r="O52" s="56" t="e">
        <f ca="1">OFFSET(CumulativeDead!A52,-A52,MATCH(Country_Data!N52,CumulativeDead!B52:BT52,0))</f>
        <v>#N/A</v>
      </c>
      <c r="P52" s="52" t="e">
        <f t="shared" ca="1" si="3"/>
        <v>#N/A</v>
      </c>
    </row>
    <row r="53" spans="1:16" x14ac:dyDescent="0.3">
      <c r="A53" s="52">
        <v>52</v>
      </c>
      <c r="B53" s="55" t="s">
        <v>233</v>
      </c>
      <c r="C53" s="55" t="s">
        <v>233</v>
      </c>
      <c r="D53" s="52">
        <f>VLOOKUP(C53,Days_Since_100_active!H:I,2,FALSE)</f>
        <v>104</v>
      </c>
      <c r="E53" s="56">
        <f ca="1">OFFSET(CumulativeActive!A53,-A53,MATCH(Country_Data!D53,CumulativeActive!B53:BT53,0))</f>
        <v>43914</v>
      </c>
      <c r="F53" s="41">
        <f>MAX(CumulativeConfirmed!53:53)</f>
        <v>104</v>
      </c>
      <c r="G53" s="41">
        <f>MAX(CumulativeDead!53:53)</f>
        <v>0</v>
      </c>
      <c r="J53" s="41">
        <v>437479</v>
      </c>
      <c r="K53" s="52" t="s">
        <v>513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OFFSET(CumulativeDead!A53,-A53,MATCH(Country_Data!N53,CumulativeDead!B53:BT53,0))</f>
        <v>#N/A</v>
      </c>
      <c r="P53" s="52" t="e">
        <f t="shared" ca="1" si="3"/>
        <v>#N/A</v>
      </c>
    </row>
    <row r="54" spans="1:16" x14ac:dyDescent="0.3">
      <c r="A54" s="52">
        <v>53</v>
      </c>
      <c r="B54" s="55" t="s">
        <v>161</v>
      </c>
      <c r="C54" s="55" t="s">
        <v>161</v>
      </c>
      <c r="D54" s="52">
        <f>VLOOKUP(C54,Days_Since_100_active!H:I,2,FALSE)</f>
        <v>102</v>
      </c>
      <c r="E54" s="56">
        <f ca="1">OFFSET(CumulativeActive!A54,-A54,MATCH(Country_Data!D54,CumulativeActive!B54:BT54,0))</f>
        <v>43909</v>
      </c>
      <c r="F54" s="41">
        <f>MAX(CumulativeConfirmed!54:54)</f>
        <v>303</v>
      </c>
      <c r="G54" s="41">
        <f>MAX(CumulativeDead!54:54)</f>
        <v>3</v>
      </c>
      <c r="J54" s="41">
        <v>8737371</v>
      </c>
      <c r="K54" s="52" t="s">
        <v>513</v>
      </c>
      <c r="L54" s="41" t="e">
        <v>#VALUE!</v>
      </c>
      <c r="M54" s="69">
        <f t="shared" si="2"/>
        <v>9.9009900990099011E-3</v>
      </c>
      <c r="N54" s="52" t="e">
        <f>VLOOKUP(C54,Deaths_since_10!H:I,2,FALSE)</f>
        <v>#N/A</v>
      </c>
      <c r="O54" s="56" t="e">
        <f ca="1">OFFSET(CumulativeDead!A54,-A54,MATCH(Country_Data!N54,CumulativeDead!B54:BT54,0))</f>
        <v>#N/A</v>
      </c>
      <c r="P54" s="52" t="e">
        <f t="shared" ca="1" si="3"/>
        <v>#N/A</v>
      </c>
    </row>
    <row r="55" spans="1:16" x14ac:dyDescent="0.3">
      <c r="A55" s="52">
        <v>54</v>
      </c>
      <c r="B55" s="55" t="s">
        <v>99</v>
      </c>
      <c r="C55" s="55" t="s">
        <v>99</v>
      </c>
      <c r="D55" s="52">
        <f>VLOOKUP(C55,Days_Since_100_active!H:I,2,FALSE)</f>
        <v>139</v>
      </c>
      <c r="E55" s="56">
        <f ca="1">OFFSET(CumulativeActive!A55,-A55,MATCH(Country_Data!D55,CumulativeActive!B55:BT55,0))</f>
        <v>43907</v>
      </c>
      <c r="F55" s="41">
        <f>MAX(CumulativeConfirmed!55:55)</f>
        <v>1099</v>
      </c>
      <c r="G55" s="41">
        <f>MAX(CumulativeDead!55:55)</f>
        <v>8</v>
      </c>
      <c r="J55" s="41">
        <v>625978</v>
      </c>
      <c r="K55" s="52">
        <v>24.8</v>
      </c>
      <c r="L55" s="41">
        <v>155.24254400000001</v>
      </c>
      <c r="M55" s="69">
        <f t="shared" si="2"/>
        <v>7.2793448589626936E-3</v>
      </c>
      <c r="N55" s="52">
        <f>VLOOKUP(C55,Deaths_since_10!H:I,2,FALSE)</f>
        <v>8</v>
      </c>
      <c r="O55" s="56">
        <f ca="1">OFFSET(CumulativeDead!A55,-A55,MATCH(Country_Data!N55,CumulativeDead!B55:BT55,0))</f>
        <v>43911</v>
      </c>
      <c r="P55" s="52">
        <f t="shared" ca="1" si="3"/>
        <v>4</v>
      </c>
    </row>
    <row r="56" spans="1:16" x14ac:dyDescent="0.3">
      <c r="A56" s="52">
        <v>55</v>
      </c>
      <c r="B56" s="55" t="s">
        <v>230</v>
      </c>
      <c r="C56" s="55" t="s">
        <v>230</v>
      </c>
      <c r="D56" s="52">
        <f>VLOOKUP(C56,Days_Since_100_active!H:I,2,FALSE)</f>
        <v>98</v>
      </c>
      <c r="E56" s="56">
        <f ca="1">OFFSET(CumulativeActive!A56,-A56,MATCH(Country_Data!D56,CumulativeActive!B56:BT56,0))</f>
        <v>43913</v>
      </c>
      <c r="F56" s="41">
        <f>MAX(CumulativeConfirmed!56:56)</f>
        <v>123</v>
      </c>
      <c r="G56" s="41">
        <f>MAX(CumulativeDead!56:56)</f>
        <v>5</v>
      </c>
      <c r="J56" s="41">
        <v>2877797</v>
      </c>
      <c r="K56" s="52" t="s">
        <v>513</v>
      </c>
      <c r="L56" s="41" t="e">
        <v>#VALUE!</v>
      </c>
      <c r="M56" s="69">
        <f t="shared" si="2"/>
        <v>4.065040650406504E-2</v>
      </c>
      <c r="N56" s="52" t="e">
        <f>VLOOKUP(C56,Deaths_since_10!H:I,2,FALSE)</f>
        <v>#N/A</v>
      </c>
      <c r="O56" s="56" t="e">
        <f ca="1">OFFSET(CumulativeDead!A56,-A56,MATCH(Country_Data!N56,CumulativeDead!B56:BT56,0))</f>
        <v>#N/A</v>
      </c>
      <c r="P56" s="52" t="e">
        <f t="shared" ca="1" si="3"/>
        <v>#N/A</v>
      </c>
    </row>
    <row r="57" spans="1:16" x14ac:dyDescent="0.3">
      <c r="A57" s="52">
        <v>56</v>
      </c>
      <c r="B57" s="55" t="s">
        <v>76</v>
      </c>
      <c r="C57" s="55" t="s">
        <v>76</v>
      </c>
      <c r="D57" s="52">
        <f>VLOOKUP(C57,Days_Since_100_active!H:I,2,FALSE)</f>
        <v>99</v>
      </c>
      <c r="E57" s="56">
        <f ca="1">OFFSET(CumulativeActive!A57,-A57,MATCH(Country_Data!D57,CumulativeActive!B57:BT57,0))</f>
        <v>43909</v>
      </c>
      <c r="F57" s="41">
        <f>MAX(CumulativeConfirmed!57:57)</f>
        <v>382</v>
      </c>
      <c r="G57" s="41">
        <f>MAX(CumulativeDead!57:57)</f>
        <v>1</v>
      </c>
      <c r="J57" s="41">
        <v>4105267</v>
      </c>
      <c r="K57" s="52">
        <v>14.7</v>
      </c>
      <c r="L57" s="41">
        <v>603.47424899999999</v>
      </c>
      <c r="M57" s="69">
        <f t="shared" si="2"/>
        <v>2.617801047120419E-3</v>
      </c>
      <c r="N57" s="52" t="e">
        <f>VLOOKUP(C57,Deaths_since_10!H:I,2,FALSE)</f>
        <v>#N/A</v>
      </c>
      <c r="O57" s="56" t="e">
        <f ca="1">OFFSET(CumulativeDead!A57,-A57,MATCH(Country_Data!N57,CumulativeDead!B57:BT57,0))</f>
        <v>#N/A</v>
      </c>
      <c r="P57" s="52" t="e">
        <f t="shared" ca="1" si="3"/>
        <v>#N/A</v>
      </c>
    </row>
    <row r="58" spans="1:16" x14ac:dyDescent="0.3">
      <c r="A58" s="52">
        <v>57</v>
      </c>
      <c r="B58" s="55" t="s">
        <v>162</v>
      </c>
      <c r="C58" s="55" t="s">
        <v>162</v>
      </c>
      <c r="D58" s="52">
        <f>VLOOKUP(C58,Days_Since_100_active!H:I,2,FALSE)</f>
        <v>104</v>
      </c>
      <c r="E58" s="56">
        <f ca="1">OFFSET(CumulativeActive!A58,-A58,MATCH(Country_Data!D58,CumulativeActive!B58:BT58,0))</f>
        <v>43908</v>
      </c>
      <c r="F58" s="41">
        <f>MAX(CumulativeConfirmed!58:58)</f>
        <v>204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4.9019607843137254E-3</v>
      </c>
      <c r="N58" s="52" t="e">
        <f>VLOOKUP(C58,Deaths_since_10!H:I,2,FALSE)</f>
        <v>#N/A</v>
      </c>
      <c r="O58" s="56" t="e">
        <f ca="1">OFFSET(CumulativeDead!A58,-A58,MATCH(Country_Data!N58,CumulativeDead!B58:BT58,0))</f>
        <v>#N/A</v>
      </c>
      <c r="P58" s="52" t="e">
        <f t="shared" ca="1" si="3"/>
        <v>#N/A</v>
      </c>
    </row>
    <row r="59" spans="1:16" x14ac:dyDescent="0.3">
      <c r="A59" s="52">
        <v>58</v>
      </c>
      <c r="B59" s="55" t="s">
        <v>123</v>
      </c>
      <c r="C59" s="55" t="s">
        <v>123</v>
      </c>
      <c r="D59" s="52">
        <f>VLOOKUP(C59,Days_Since_100_active!H:I,2,FALSE)</f>
        <v>122</v>
      </c>
      <c r="E59" s="56">
        <f ca="1">OFFSET(CumulativeActive!A59,-A59,MATCH(Country_Data!D59,CumulativeActive!B59:BT59,0))</f>
        <v>43910</v>
      </c>
      <c r="F59" s="41">
        <f>MAX(CumulativeConfirmed!59:59)</f>
        <v>387</v>
      </c>
      <c r="G59" s="41">
        <f>MAX(CumulativeDead!59:59)</f>
        <v>6</v>
      </c>
      <c r="J59" s="41">
        <v>45195774</v>
      </c>
      <c r="K59" s="52" t="s">
        <v>513</v>
      </c>
      <c r="L59" s="41" t="e">
        <v>#VALUE!</v>
      </c>
      <c r="M59" s="69">
        <f t="shared" si="2"/>
        <v>1.5503875968992248E-2</v>
      </c>
      <c r="N59" s="52" t="e">
        <f>VLOOKUP(C59,Deaths_since_10!H:I,2,FALSE)</f>
        <v>#N/A</v>
      </c>
      <c r="O59" s="56" t="e">
        <f ca="1">OFFSET(CumulativeDead!A59,-A59,MATCH(Country_Data!N59,CumulativeDead!B59:BT59,0))</f>
        <v>#N/A</v>
      </c>
      <c r="P59" s="52" t="e">
        <f t="shared" ca="1" si="3"/>
        <v>#N/A</v>
      </c>
    </row>
    <row r="60" spans="1:16" x14ac:dyDescent="0.3">
      <c r="A60" s="52">
        <v>59</v>
      </c>
      <c r="B60" s="55" t="s">
        <v>80</v>
      </c>
      <c r="C60" s="55" t="s">
        <v>80</v>
      </c>
      <c r="D60" s="52">
        <f>VLOOKUP(C60,Days_Since_100_active!H:I,2,FALSE)</f>
        <v>134</v>
      </c>
      <c r="E60" s="56">
        <f ca="1">OFFSET(CumulativeActive!A60,-A60,MATCH(Country_Data!D60,CumulativeActive!B60:BT60,0))</f>
        <v>43906</v>
      </c>
      <c r="F60" s="41">
        <f>MAX(CumulativeConfirmed!60:60)</f>
        <v>972</v>
      </c>
      <c r="G60" s="41">
        <f>MAX(CumulativeDead!60:60)</f>
        <v>7</v>
      </c>
      <c r="J60" s="41">
        <v>220892340</v>
      </c>
      <c r="K60" s="52">
        <v>0</v>
      </c>
      <c r="L60" s="41">
        <v>0</v>
      </c>
      <c r="M60" s="69">
        <f t="shared" si="2"/>
        <v>7.2016460905349796E-3</v>
      </c>
      <c r="N60" s="52" t="e">
        <f>VLOOKUP(C60,Deaths_since_10!H:I,2,FALSE)</f>
        <v>#N/A</v>
      </c>
      <c r="O60" s="56" t="e">
        <f ca="1">OFFSET(CumulativeDead!A60,-A60,MATCH(Country_Data!N60,CumulativeDead!B60:BT60,0))</f>
        <v>#N/A</v>
      </c>
      <c r="P60" s="52" t="e">
        <f t="shared" ca="1" si="3"/>
        <v>#N/A</v>
      </c>
    </row>
    <row r="61" spans="1:16" x14ac:dyDescent="0.3">
      <c r="A61" s="52">
        <v>60</v>
      </c>
      <c r="B61" s="55" t="s">
        <v>160</v>
      </c>
      <c r="C61" s="55" t="s">
        <v>160</v>
      </c>
      <c r="D61" s="52">
        <f>VLOOKUP(C61,Days_Since_100_active!H:I,2,FALSE)</f>
        <v>116</v>
      </c>
      <c r="E61" s="56">
        <f ca="1">OFFSET(CumulativeActive!A61,-A61,MATCH(Country_Data!D61,CumulativeActive!B61:BT61,0))</f>
        <v>43907</v>
      </c>
      <c r="F61" s="41">
        <f>MAX(CumulativeConfirmed!61:61)</f>
        <v>416</v>
      </c>
      <c r="G61" s="41">
        <f>MAX(CumulativeDead!61:61)</f>
        <v>7</v>
      </c>
      <c r="J61" s="41">
        <v>32971854</v>
      </c>
      <c r="K61" s="52">
        <v>0</v>
      </c>
      <c r="L61" s="41">
        <v>0</v>
      </c>
      <c r="M61" s="69">
        <f t="shared" si="2"/>
        <v>1.6826923076923076E-2</v>
      </c>
      <c r="N61" s="52" t="e">
        <f>VLOOKUP(C61,Deaths_since_10!H:I,2,FALSE)</f>
        <v>#N/A</v>
      </c>
      <c r="O61" s="56" t="e">
        <f ca="1">OFFSET(CumulativeDead!A61,-A61,MATCH(Country_Data!N61,CumulativeDead!B61:BT61,0))</f>
        <v>#N/A</v>
      </c>
      <c r="P61" s="52" t="e">
        <f t="shared" ca="1" si="3"/>
        <v>#N/A</v>
      </c>
    </row>
    <row r="62" spans="1:16" x14ac:dyDescent="0.3">
      <c r="A62" s="52">
        <v>61</v>
      </c>
      <c r="B62" s="55" t="s">
        <v>91</v>
      </c>
      <c r="C62" s="55" t="s">
        <v>91</v>
      </c>
      <c r="D62" s="52" t="e">
        <f>VLOOKUP(C62,Days_Since_100_active!H:I,2,FALSE)</f>
        <v>#N/A</v>
      </c>
      <c r="E62" s="56" t="e">
        <f ca="1">OFFSET(CumulativeActive!A62,-A62,MATCH(Country_Data!D62,CumulativeActive!B62:BT62,0))</f>
        <v>#N/A</v>
      </c>
      <c r="F62" s="41">
        <f>MAX(CumulativeConfirmed!62:62)</f>
        <v>81</v>
      </c>
      <c r="G62" s="41">
        <f>MAX(CumulativeDead!62:62)</f>
        <v>0</v>
      </c>
      <c r="J62" s="41">
        <v>9449323</v>
      </c>
      <c r="K62" s="52" t="s">
        <v>513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OFFSET(CumulativeDead!A62,-A62,MATCH(Country_Data!N62,CumulativeDead!B62:BT62,0))</f>
        <v>#N/A</v>
      </c>
      <c r="P62" s="52" t="e">
        <f t="shared" ca="1" si="3"/>
        <v>#N/A</v>
      </c>
    </row>
    <row r="63" spans="1:16" x14ac:dyDescent="0.3">
      <c r="A63" s="52">
        <v>62</v>
      </c>
      <c r="B63" s="55" t="s">
        <v>283</v>
      </c>
      <c r="C63" s="55" t="s">
        <v>283</v>
      </c>
      <c r="D63" s="52">
        <f>VLOOKUP(C63,Days_Since_100_active!H:I,2,FALSE)</f>
        <v>108</v>
      </c>
      <c r="E63" s="56">
        <f ca="1">OFFSET(CumulativeActive!A63,-A63,MATCH(Country_Data!D63,CumulativeActive!B63:BT63,0))</f>
        <v>43909</v>
      </c>
      <c r="F63" s="41">
        <f>MAX(CumulativeConfirmed!63:63)</f>
        <v>345</v>
      </c>
      <c r="G63" s="41">
        <f>MAX(CumulativeDead!63:63)</f>
        <v>6</v>
      </c>
      <c r="J63" s="41">
        <v>4314767</v>
      </c>
      <c r="K63" s="52" t="s">
        <v>513</v>
      </c>
      <c r="L63" s="41" t="e">
        <v>#VALUE!</v>
      </c>
      <c r="M63" s="69">
        <f t="shared" si="2"/>
        <v>1.7391304347826087E-2</v>
      </c>
      <c r="N63" s="52" t="e">
        <f>VLOOKUP(C63,Deaths_since_10!H:I,2,FALSE)</f>
        <v>#N/A</v>
      </c>
      <c r="O63" s="56" t="e">
        <f ca="1">OFFSET(CumulativeDead!A63,-A63,MATCH(Country_Data!N63,CumulativeDead!B63:BT63,0))</f>
        <v>#N/A</v>
      </c>
      <c r="P63" s="52" t="e">
        <f t="shared" ca="1" si="3"/>
        <v>#N/A</v>
      </c>
    </row>
    <row r="64" spans="1:16" x14ac:dyDescent="0.3">
      <c r="A64" s="52">
        <v>63</v>
      </c>
      <c r="B64" s="55" t="s">
        <v>75</v>
      </c>
      <c r="C64" s="55" t="s">
        <v>75</v>
      </c>
      <c r="D64" s="52">
        <f>VLOOKUP(C64,Days_Since_100_active!H:I,2,FALSE)</f>
        <v>92</v>
      </c>
      <c r="E64" s="56">
        <f ca="1">OFFSET(CumulativeActive!A64,-A64,MATCH(Country_Data!D64,CumulativeActive!B64:BT64,0))</f>
        <v>43911</v>
      </c>
      <c r="F64" s="41">
        <f>MAX(CumulativeConfirmed!64:64)</f>
        <v>264</v>
      </c>
      <c r="G64" s="41">
        <f>MAX(CumulativeDead!64:64)</f>
        <v>19</v>
      </c>
      <c r="J64" s="41">
        <v>43851044</v>
      </c>
      <c r="K64" s="52" t="s">
        <v>513</v>
      </c>
      <c r="L64" s="41" t="e">
        <v>#VALUE!</v>
      </c>
      <c r="M64" s="69">
        <f t="shared" si="2"/>
        <v>7.1969696969696975E-2</v>
      </c>
      <c r="N64" s="52">
        <f>VLOOKUP(C64,Deaths_since_10!H:I,2,FALSE)</f>
        <v>9</v>
      </c>
      <c r="O64" s="56">
        <f ca="1">OFFSET(CumulativeDead!A64,-A64,MATCH(Country_Data!N64,CumulativeDead!B64:BT64,0))</f>
        <v>43909</v>
      </c>
      <c r="P64" s="52">
        <f t="shared" ca="1" si="3"/>
        <v>-2</v>
      </c>
    </row>
    <row r="65" spans="1:16" x14ac:dyDescent="0.3">
      <c r="A65" s="52">
        <v>64</v>
      </c>
      <c r="B65" s="55" t="s">
        <v>82</v>
      </c>
      <c r="C65" s="55" t="s">
        <v>82</v>
      </c>
      <c r="D65" s="52" t="e">
        <f>VLOOKUP(C65,Days_Since_100_active!H:I,2,FALSE)</f>
        <v>#N/A</v>
      </c>
      <c r="E65" s="56" t="e">
        <f ca="1">OFFSET(CumulativeActive!A65,-A65,MATCH(Country_Data!D65,CumulativeActive!B65:BT65,0))</f>
        <v>#N/A</v>
      </c>
      <c r="F65" s="41">
        <f>MAX(CumulativeConfirmed!65:65)</f>
        <v>70</v>
      </c>
      <c r="G65" s="41">
        <f>MAX(CumulativeDead!65:65)</f>
        <v>0</v>
      </c>
      <c r="J65" s="41">
        <v>3989167</v>
      </c>
      <c r="K65" s="52" t="s">
        <v>513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OFFSET(CumulativeDead!A65,-A65,MATCH(Country_Data!N65,CumulativeDead!B65:BT65,0))</f>
        <v>#N/A</v>
      </c>
      <c r="P65" s="52" t="e">
        <f t="shared" ca="1" si="3"/>
        <v>#N/A</v>
      </c>
    </row>
    <row r="66" spans="1:16" x14ac:dyDescent="0.3">
      <c r="A66" s="52">
        <v>65</v>
      </c>
      <c r="B66" s="55" t="s">
        <v>145</v>
      </c>
      <c r="C66" s="55" t="s">
        <v>145</v>
      </c>
      <c r="D66" s="52">
        <f>VLOOKUP(C66,Days_Since_100_active!H:I,2,FALSE)</f>
        <v>116</v>
      </c>
      <c r="E66" s="56">
        <f ca="1">OFFSET(CumulativeActive!A66,-A66,MATCH(Country_Data!D66,CumulativeActive!B66:BT66,0))</f>
        <v>43908</v>
      </c>
      <c r="F66" s="41">
        <f>MAX(CumulativeConfirmed!66:66)</f>
        <v>554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OFFSET(CumulativeDead!A66,-A66,MATCH(Country_Data!N66,CumulativeDead!B66:BT66,0))</f>
        <v>#N/A</v>
      </c>
      <c r="P66" s="52" t="e">
        <f t="shared" ref="P66:P97" ca="1" si="5">O66-E66</f>
        <v>#N/A</v>
      </c>
    </row>
    <row r="67" spans="1:16" x14ac:dyDescent="0.3">
      <c r="A67" s="52">
        <v>66</v>
      </c>
      <c r="B67" s="55" t="s">
        <v>199</v>
      </c>
      <c r="C67" s="55" t="s">
        <v>199</v>
      </c>
      <c r="D67" s="52">
        <f>VLOOKUP(C67,Days_Since_100_active!H:I,2,FALSE)</f>
        <v>124</v>
      </c>
      <c r="E67" s="56">
        <f ca="1">OFFSET(CumulativeActive!A67,-A67,MATCH(Country_Data!D67,CumulativeActive!B67:BT67,0))</f>
        <v>43910</v>
      </c>
      <c r="F67" s="41">
        <f>MAX(CumulativeConfirmed!67:67)</f>
        <v>218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1.3761467889908258E-2</v>
      </c>
      <c r="N67" s="52" t="e">
        <f>VLOOKUP(C67,Deaths_since_10!H:I,2,FALSE)</f>
        <v>#N/A</v>
      </c>
      <c r="O67" s="56" t="e">
        <f ca="1">OFFSET(CumulativeDead!A67,-A67,MATCH(Country_Data!N67,CumulativeDead!B67:BT67,0))</f>
        <v>#N/A</v>
      </c>
      <c r="P67" s="52" t="e">
        <f t="shared" ca="1" si="5"/>
        <v>#N/A</v>
      </c>
    </row>
    <row r="68" spans="1:16" x14ac:dyDescent="0.3">
      <c r="A68" s="52">
        <v>67</v>
      </c>
      <c r="B68" s="55" t="s">
        <v>159</v>
      </c>
      <c r="C68" s="55" t="s">
        <v>159</v>
      </c>
      <c r="D68" s="52">
        <f>VLOOKUP(C68,Days_Since_100_active!H:I,2,FALSE)</f>
        <v>113</v>
      </c>
      <c r="E68" s="56">
        <f ca="1">OFFSET(CumulativeActive!A68,-A68,MATCH(Country_Data!D68,CumulativeActive!B68:BT68,0))</f>
        <v>43911</v>
      </c>
      <c r="F68" s="41">
        <f>MAX(CumulativeConfirmed!68:68)</f>
        <v>177</v>
      </c>
      <c r="G68" s="41">
        <f>MAX(CumulativeDead!68:68)</f>
        <v>2</v>
      </c>
      <c r="J68" s="41">
        <v>5094118</v>
      </c>
      <c r="K68" s="52" t="s">
        <v>513</v>
      </c>
      <c r="L68" s="41" t="e">
        <v>#VALUE!</v>
      </c>
      <c r="M68" s="69">
        <f t="shared" si="4"/>
        <v>1.1299435028248588E-2</v>
      </c>
      <c r="N68" s="52" t="e">
        <f>VLOOKUP(C68,Deaths_since_10!H:I,2,FALSE)</f>
        <v>#N/A</v>
      </c>
      <c r="O68" s="56" t="e">
        <f ca="1">OFFSET(CumulativeDead!A68,-A68,MATCH(Country_Data!N68,CumulativeDead!B68:BT68,0))</f>
        <v>#N/A</v>
      </c>
      <c r="P68" s="52" t="e">
        <f t="shared" ca="1" si="5"/>
        <v>#N/A</v>
      </c>
    </row>
    <row r="69" spans="1:16" x14ac:dyDescent="0.3">
      <c r="A69" s="52">
        <v>68</v>
      </c>
      <c r="B69" s="55" t="s">
        <v>132</v>
      </c>
      <c r="C69" s="55" t="s">
        <v>132</v>
      </c>
      <c r="D69" s="52">
        <f>VLOOKUP(C69,Days_Since_100_active!H:I,2,FALSE)</f>
        <v>92</v>
      </c>
      <c r="E69" s="56">
        <f ca="1">OFFSET(CumulativeActive!A69,-A69,MATCH(Country_Data!D69,CumulativeActive!B69:BT69,0))</f>
        <v>43911</v>
      </c>
      <c r="F69" s="41">
        <f>MAX(CumulativeConfirmed!69:69)</f>
        <v>187</v>
      </c>
      <c r="G69" s="41">
        <f>MAX(CumulativeDead!69:69)</f>
        <v>9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4.8128342245989303E-2</v>
      </c>
      <c r="N69" s="52">
        <f>VLOOKUP(C69,Deaths_since_10!H:I,2,FALSE)</f>
        <v>9</v>
      </c>
      <c r="O69" s="56">
        <f ca="1">OFFSET(CumulativeDead!A69,-A69,MATCH(Country_Data!N69,CumulativeDead!B69:BT69,0))</f>
        <v>43914</v>
      </c>
      <c r="P69" s="52">
        <f t="shared" ca="1" si="5"/>
        <v>3</v>
      </c>
    </row>
    <row r="70" spans="1:16" x14ac:dyDescent="0.3">
      <c r="A70" s="52">
        <v>69</v>
      </c>
      <c r="B70" s="55" t="s">
        <v>71</v>
      </c>
      <c r="C70" s="55" t="s">
        <v>71</v>
      </c>
      <c r="D70" s="52" t="e">
        <f>VLOOKUP(C70,Days_Since_100_active!H:I,2,FALSE)</f>
        <v>#N/A</v>
      </c>
      <c r="E70" s="56" t="e">
        <f ca="1">OFFSET(CumulativeActive!A70,-A70,MATCH(Country_Data!D70,CumulativeActive!B70:BT70,0))</f>
        <v>#N/A</v>
      </c>
      <c r="F70" s="41">
        <f>MAX(CumulativeConfirmed!70:70)</f>
        <v>84</v>
      </c>
      <c r="G70" s="41">
        <f>MAX(CumulativeDead!70:70)</f>
        <v>0</v>
      </c>
      <c r="J70" s="41">
        <v>5106626</v>
      </c>
      <c r="K70" s="52" t="s">
        <v>513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OFFSET(CumulativeDead!A70,-A70,MATCH(Country_Data!N70,CumulativeDead!B70:BT70,0))</f>
        <v>#N/A</v>
      </c>
      <c r="P70" s="52" t="e">
        <f t="shared" ca="1" si="5"/>
        <v>#N/A</v>
      </c>
    </row>
    <row r="71" spans="1:16" x14ac:dyDescent="0.3">
      <c r="A71" s="52">
        <v>70</v>
      </c>
      <c r="B71" s="55" t="s">
        <v>103</v>
      </c>
      <c r="C71" s="55" t="s">
        <v>103</v>
      </c>
      <c r="D71" s="52">
        <f>VLOOKUP(C71,Days_Since_100_active!H:I,2,FALSE)</f>
        <v>109</v>
      </c>
      <c r="E71" s="56">
        <f ca="1">OFFSET(CumulativeActive!A71,-A71,MATCH(Country_Data!D71,CumulativeActive!B71:BT71,0))</f>
        <v>43908</v>
      </c>
      <c r="F71" s="41">
        <f>MAX(CumulativeConfirmed!71:71)</f>
        <v>1082</v>
      </c>
      <c r="G71" s="41">
        <f>MAX(CumulativeDead!71:71)</f>
        <v>27</v>
      </c>
      <c r="J71" s="41">
        <v>17643054</v>
      </c>
      <c r="K71" s="52">
        <v>0</v>
      </c>
      <c r="L71" s="41">
        <v>0</v>
      </c>
      <c r="M71" s="69">
        <f t="shared" si="4"/>
        <v>2.4953789279112754E-2</v>
      </c>
      <c r="N71" s="52">
        <f>VLOOKUP(C71,Deaths_since_10!H:I,2,FALSE)</f>
        <v>14</v>
      </c>
      <c r="O71" s="56">
        <f ca="1">OFFSET(CumulativeDead!A71,-A71,MATCH(Country_Data!N71,CumulativeDead!B71:BT71,0))</f>
        <v>43912</v>
      </c>
      <c r="P71" s="52">
        <f t="shared" ca="1" si="5"/>
        <v>4</v>
      </c>
    </row>
    <row r="72" spans="1:16" x14ac:dyDescent="0.3">
      <c r="A72" s="52">
        <v>71</v>
      </c>
      <c r="B72" s="55" t="s">
        <v>111</v>
      </c>
      <c r="C72" s="55" t="s">
        <v>111</v>
      </c>
      <c r="D72" s="52">
        <f>VLOOKUP(C72,Days_Since_100_active!H:I,2,FALSE)</f>
        <v>110</v>
      </c>
      <c r="E72" s="56">
        <f ca="1">OFFSET(CumulativeActive!A72,-A72,MATCH(Country_Data!D72,CumulativeActive!B72:BT72,0))</f>
        <v>43910</v>
      </c>
      <c r="F72" s="41">
        <f>MAX(CumulativeConfirmed!72:72)</f>
        <v>197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OFFSET(CumulativeDead!A72,-A72,MATCH(Country_Data!N72,CumulativeDead!B72:BT72,0))</f>
        <v>#N/A</v>
      </c>
      <c r="P72" s="52" t="e">
        <f t="shared" ca="1" si="5"/>
        <v>#N/A</v>
      </c>
    </row>
    <row r="73" spans="1:16" x14ac:dyDescent="0.3">
      <c r="A73" s="52">
        <v>72</v>
      </c>
      <c r="B73" s="55" t="s">
        <v>138</v>
      </c>
      <c r="C73" s="55" t="s">
        <v>138</v>
      </c>
      <c r="D73" s="52">
        <f>VLOOKUP(C73,Days_Since_100_active!H:I,2,FALSE)</f>
        <v>110</v>
      </c>
      <c r="E73" s="56">
        <f ca="1">OFFSET(CumulativeActive!A73,-A73,MATCH(Country_Data!D73,CumulativeActive!B73:BT73,0))</f>
        <v>43914</v>
      </c>
      <c r="F73" s="41">
        <f>MAX(CumulativeConfirmed!73:73)</f>
        <v>114</v>
      </c>
      <c r="G73" s="41">
        <f>MAX(CumulativeDead!73:73)</f>
        <v>4</v>
      </c>
      <c r="J73" s="41">
        <v>11818619</v>
      </c>
      <c r="K73" s="52" t="s">
        <v>513</v>
      </c>
      <c r="L73" s="41" t="e">
        <v>#VALUE!</v>
      </c>
      <c r="M73" s="69">
        <f t="shared" si="4"/>
        <v>3.5087719298245612E-2</v>
      </c>
      <c r="N73" s="52" t="e">
        <f>VLOOKUP(C73,Deaths_since_10!H:I,2,FALSE)</f>
        <v>#N/A</v>
      </c>
      <c r="O73" s="56" t="e">
        <f ca="1">OFFSET(CumulativeDead!A73,-A73,MATCH(Country_Data!N73,CumulativeDead!B73:BT73,0))</f>
        <v>#N/A</v>
      </c>
      <c r="P73" s="52" t="e">
        <f t="shared" ca="1" si="5"/>
        <v>#N/A</v>
      </c>
    </row>
    <row r="74" spans="1:16" x14ac:dyDescent="0.3">
      <c r="A74" s="52">
        <v>73</v>
      </c>
      <c r="B74" s="55" t="s">
        <v>104</v>
      </c>
      <c r="C74" s="55" t="s">
        <v>104</v>
      </c>
      <c r="D74" s="52" t="e">
        <f>VLOOKUP(C74,Days_Since_100_active!H:I,2,FALSE)</f>
        <v>#N/A</v>
      </c>
      <c r="E74" s="56" t="e">
        <f ca="1">OFFSET(CumulativeActive!A74,-A74,MATCH(Country_Data!D74,CumulativeActive!B74:BT74,0))</f>
        <v>#N/A</v>
      </c>
      <c r="F74" s="41">
        <f>MAX(CumulativeConfirmed!74:74)</f>
        <v>87</v>
      </c>
      <c r="G74" s="41">
        <f>MAX(CumulativeDead!74:74)</f>
        <v>1</v>
      </c>
      <c r="J74" s="41">
        <v>10139177</v>
      </c>
      <c r="K74" s="52" t="s">
        <v>513</v>
      </c>
      <c r="L74" s="41" t="e">
        <v>#VALUE!</v>
      </c>
      <c r="M74" s="69">
        <f t="shared" si="4"/>
        <v>1.1494252873563218E-2</v>
      </c>
      <c r="N74" s="52" t="e">
        <f>VLOOKUP(C74,Deaths_since_10!H:I,2,FALSE)</f>
        <v>#N/A</v>
      </c>
      <c r="O74" s="56" t="e">
        <f ca="1">OFFSET(CumulativeDead!A74,-A74,MATCH(Country_Data!N74,CumulativeDead!B74:BT74,0))</f>
        <v>#N/A</v>
      </c>
      <c r="P74" s="52" t="e">
        <f t="shared" ca="1" si="5"/>
        <v>#N/A</v>
      </c>
    </row>
    <row r="75" spans="1:16" x14ac:dyDescent="0.3">
      <c r="A75" s="52">
        <v>74</v>
      </c>
      <c r="B75" s="55" t="s">
        <v>231</v>
      </c>
      <c r="C75" s="55" t="s">
        <v>231</v>
      </c>
      <c r="D75" s="52">
        <f>VLOOKUP(C75,Days_Since_100_active!H:I,2,FALSE)</f>
        <v>112</v>
      </c>
      <c r="E75" s="56">
        <f ca="1">OFFSET(CumulativeActive!A75,-A75,MATCH(Country_Data!D75,CumulativeActive!B75:BT75,0))</f>
        <v>43913</v>
      </c>
      <c r="F75" s="41">
        <f>MAX(CumulativeConfirmed!75:75)</f>
        <v>124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2.4193548387096774E-2</v>
      </c>
      <c r="N75" s="52" t="e">
        <f>VLOOKUP(C75,Deaths_since_10!H:I,2,FALSE)</f>
        <v>#N/A</v>
      </c>
      <c r="O75" s="56" t="e">
        <f ca="1">OFFSET(CumulativeDead!A75,-A75,MATCH(Country_Data!N75,CumulativeDead!B75:BT75,0))</f>
        <v>#N/A</v>
      </c>
      <c r="P75" s="52" t="e">
        <f t="shared" ca="1" si="5"/>
        <v>#N/A</v>
      </c>
    </row>
    <row r="76" spans="1:16" x14ac:dyDescent="0.3">
      <c r="A76" s="52">
        <v>75</v>
      </c>
      <c r="B76" s="55" t="s">
        <v>84</v>
      </c>
      <c r="C76" s="55" t="s">
        <v>84</v>
      </c>
      <c r="D76" s="52">
        <f>VLOOKUP(C76,Days_Since_100_active!H:I,2,FALSE)</f>
        <v>113</v>
      </c>
      <c r="E76" s="56">
        <f ca="1">OFFSET(CumulativeActive!A76,-A76,MATCH(Country_Data!D76,CumulativeActive!B76:BT76,0))</f>
        <v>43912</v>
      </c>
      <c r="F76" s="41">
        <f>MAX(CumulativeConfirmed!76:76)</f>
        <v>148</v>
      </c>
      <c r="G76" s="41">
        <f>MAX(CumulativeDead!76:76)</f>
        <v>2</v>
      </c>
      <c r="J76" s="41">
        <v>2083374</v>
      </c>
      <c r="K76" s="52" t="s">
        <v>513</v>
      </c>
      <c r="L76" s="41" t="e">
        <v>#VALUE!</v>
      </c>
      <c r="M76" s="69">
        <f t="shared" si="4"/>
        <v>1.3513513513513514E-2</v>
      </c>
      <c r="N76" s="52" t="e">
        <f>VLOOKUP(C76,Deaths_since_10!H:I,2,FALSE)</f>
        <v>#N/A</v>
      </c>
      <c r="O76" s="56" t="e">
        <f ca="1">OFFSET(CumulativeDead!A76,-A76,MATCH(Country_Data!N76,CumulativeDead!B76:BT76,0))</f>
        <v>#N/A</v>
      </c>
      <c r="P76" s="52" t="e">
        <f t="shared" ca="1" si="5"/>
        <v>#N/A</v>
      </c>
    </row>
    <row r="77" spans="1:16" x14ac:dyDescent="0.3">
      <c r="A77" s="52">
        <v>76</v>
      </c>
      <c r="B77" s="55" t="s">
        <v>140</v>
      </c>
      <c r="C77" s="55" t="s">
        <v>140</v>
      </c>
      <c r="D77" s="52">
        <f>VLOOKUP(C77,Days_Since_100_active!H:I,2,FALSE)</f>
        <v>123</v>
      </c>
      <c r="E77" s="56">
        <f ca="1">OFFSET(CumulativeActive!A77,-A77,MATCH(Country_Data!D77,CumulativeActive!B77:BT77,0))</f>
        <v>43912</v>
      </c>
      <c r="F77" s="41">
        <f>MAX(CumulativeConfirmed!77:77)</f>
        <v>166</v>
      </c>
      <c r="G77" s="41">
        <f>MAX(CumulativeDead!77:77)</f>
        <v>3</v>
      </c>
      <c r="J77" s="41">
        <v>3280819</v>
      </c>
      <c r="K77" s="52" t="s">
        <v>513</v>
      </c>
      <c r="L77" s="41" t="e">
        <v>#VALUE!</v>
      </c>
      <c r="M77" s="69">
        <f t="shared" si="4"/>
        <v>1.8072289156626505E-2</v>
      </c>
      <c r="N77" s="52" t="e">
        <f>VLOOKUP(C77,Deaths_since_10!H:I,2,FALSE)</f>
        <v>#N/A</v>
      </c>
      <c r="O77" s="56" t="e">
        <f ca="1">OFFSET(CumulativeDead!A77,-A77,MATCH(Country_Data!N77,CumulativeDead!B77:BT77,0))</f>
        <v>#N/A</v>
      </c>
      <c r="P77" s="52" t="e">
        <f t="shared" ca="1" si="5"/>
        <v>#N/A</v>
      </c>
    </row>
    <row r="78" spans="1:16" x14ac:dyDescent="0.3">
      <c r="A78" s="52">
        <v>77</v>
      </c>
      <c r="B78" s="55" t="s">
        <v>158</v>
      </c>
      <c r="C78" s="55" t="s">
        <v>158</v>
      </c>
      <c r="D78" s="52">
        <f>VLOOKUP(C78,Days_Since_100_active!H:I,2,FALSE)</f>
        <v>101</v>
      </c>
      <c r="E78" s="56">
        <f ca="1">OFFSET(CumulativeActive!A78,-A78,MATCH(Country_Data!D78,CumulativeActive!B78:BT78,0))</f>
        <v>43909</v>
      </c>
      <c r="F78" s="41">
        <f>MAX(CumulativeConfirmed!78:78)</f>
        <v>378</v>
      </c>
      <c r="G78" s="41">
        <f>MAX(CumulativeDead!78:78)</f>
        <v>3</v>
      </c>
      <c r="J78" s="41">
        <v>50882891</v>
      </c>
      <c r="K78" s="52" t="s">
        <v>513</v>
      </c>
      <c r="L78" s="41" t="e">
        <v>#VALUE!</v>
      </c>
      <c r="M78" s="69">
        <f t="shared" si="4"/>
        <v>7.9365079365079361E-3</v>
      </c>
      <c r="N78" s="52" t="e">
        <f>VLOOKUP(C78,Deaths_since_10!H:I,2,FALSE)</f>
        <v>#N/A</v>
      </c>
      <c r="O78" s="56" t="e">
        <f ca="1">OFFSET(CumulativeDead!A78,-A78,MATCH(Country_Data!N78,CumulativeDead!B78:BT78,0))</f>
        <v>#N/A</v>
      </c>
      <c r="P78" s="52" t="e">
        <f t="shared" ca="1" si="5"/>
        <v>#N/A</v>
      </c>
    </row>
    <row r="79" spans="1:16" x14ac:dyDescent="0.3">
      <c r="A79" s="52">
        <v>78</v>
      </c>
      <c r="B79" s="55" t="s">
        <v>177</v>
      </c>
      <c r="C79" s="55" t="s">
        <v>177</v>
      </c>
      <c r="D79" s="52">
        <f>VLOOKUP(C79,Days_Since_100_active!H:I,2,FALSE)</f>
        <v>105</v>
      </c>
      <c r="E79" s="56">
        <f ca="1">OFFSET(CumulativeActive!A79,-A79,MATCH(Country_Data!D79,CumulativeActive!B79:BT79,0))</f>
        <v>43913</v>
      </c>
      <c r="F79" s="41">
        <f>MAX(CumulativeConfirmed!79:79)</f>
        <v>110</v>
      </c>
      <c r="G79" s="41">
        <f>MAX(CumulativeDead!79:79)</f>
        <v>0</v>
      </c>
      <c r="J79" s="41">
        <v>441543</v>
      </c>
      <c r="K79" s="52" t="s">
        <v>513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OFFSET(CumulativeDead!A79,-A79,MATCH(Country_Data!N79,CumulativeDead!B79:BT79,0))</f>
        <v>#N/A</v>
      </c>
      <c r="P79" s="52" t="e">
        <f t="shared" ca="1" si="5"/>
        <v>#N/A</v>
      </c>
    </row>
    <row r="80" spans="1:16" x14ac:dyDescent="0.3">
      <c r="A80" s="52">
        <v>79</v>
      </c>
      <c r="B80" s="55" t="s">
        <v>94</v>
      </c>
      <c r="C80" s="55" t="s">
        <v>94</v>
      </c>
      <c r="D80" s="52">
        <f>VLOOKUP(C80,Days_Since_100_active!H:I,2,FALSE)</f>
        <v>113</v>
      </c>
      <c r="E80" s="56">
        <f ca="1">OFFSET(CumulativeActive!A80,-A80,MATCH(Country_Data!D80,CumulativeActive!B80:BT80,0))</f>
        <v>43909</v>
      </c>
      <c r="F80" s="41">
        <f>MAX(CumulativeConfirmed!80:80)</f>
        <v>367</v>
      </c>
      <c r="G80" s="41">
        <f>MAX(CumulativeDead!80:80)</f>
        <v>4</v>
      </c>
      <c r="J80" s="41">
        <v>128932753</v>
      </c>
      <c r="K80" s="52" t="s">
        <v>513</v>
      </c>
      <c r="L80" s="41" t="e">
        <v>#VALUE!</v>
      </c>
      <c r="M80" s="69">
        <f t="shared" si="4"/>
        <v>1.0899182561307902E-2</v>
      </c>
      <c r="N80" s="52" t="e">
        <f>VLOOKUP(C80,Deaths_since_10!H:I,2,FALSE)</f>
        <v>#N/A</v>
      </c>
      <c r="O80" s="56" t="e">
        <f ca="1">OFFSET(CumulativeDead!A80,-A80,MATCH(Country_Data!N80,CumulativeDead!B80:BT80,0))</f>
        <v>#N/A</v>
      </c>
      <c r="P80" s="52" t="e">
        <f t="shared" ca="1" si="5"/>
        <v>#N/A</v>
      </c>
    </row>
    <row r="81" spans="1:16" x14ac:dyDescent="0.3">
      <c r="A81" s="52">
        <v>80</v>
      </c>
      <c r="B81" s="55" t="s">
        <v>114</v>
      </c>
      <c r="C81" s="55" t="s">
        <v>114</v>
      </c>
      <c r="D81" s="52" t="e">
        <f>VLOOKUP(C81,Days_Since_100_active!H:I,2,FALSE)</f>
        <v>#N/A</v>
      </c>
      <c r="E81" s="56" t="e">
        <f ca="1">OFFSET(CumulativeActive!A81,-A81,MATCH(Country_Data!D81,CumulativeActive!B81:BT81,0))</f>
        <v>#N/A</v>
      </c>
      <c r="F81" s="41">
        <f>MAX(CumulativeConfirmed!81:81)</f>
        <v>86</v>
      </c>
      <c r="G81" s="41">
        <f>MAX(CumulativeDead!81:81)</f>
        <v>0</v>
      </c>
      <c r="J81" s="41">
        <v>16743927</v>
      </c>
      <c r="K81" s="52" t="s">
        <v>513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OFFSET(CumulativeDead!A81,-A81,MATCH(Country_Data!N81,CumulativeDead!B81:BT81,0))</f>
        <v>#N/A</v>
      </c>
      <c r="P81" s="52" t="e">
        <f t="shared" ca="1" si="5"/>
        <v>#N/A</v>
      </c>
    </row>
    <row r="82" spans="1:16" x14ac:dyDescent="0.3">
      <c r="A82" s="52">
        <v>81</v>
      </c>
      <c r="B82" s="55" t="s">
        <v>200</v>
      </c>
      <c r="C82" s="55" t="s">
        <v>200</v>
      </c>
      <c r="D82" s="52" t="e">
        <f>VLOOKUP(C82,Days_Since_100_active!H:I,2,FALSE)</f>
        <v>#N/A</v>
      </c>
      <c r="E82" s="56" t="e">
        <f ca="1">OFFSET(CumulativeActive!A82,-A82,MATCH(Country_Data!D82,CumulativeActive!B82:BT82,0))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513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OFFSET(CumulativeDead!A82,-A82,MATCH(Country_Data!N82,CumulativeDead!B82:BT82,0))</f>
        <v>#N/A</v>
      </c>
      <c r="P82" s="52" t="e">
        <f t="shared" ca="1" si="5"/>
        <v>#N/A</v>
      </c>
    </row>
    <row r="83" spans="1:16" x14ac:dyDescent="0.3">
      <c r="A83" s="52">
        <v>82</v>
      </c>
      <c r="B83" s="55" t="s">
        <v>105</v>
      </c>
      <c r="C83" s="55" t="s">
        <v>105</v>
      </c>
      <c r="D83" s="52">
        <f>VLOOKUP(C83,Days_Since_100_active!H:I,2,FALSE)</f>
        <v>114</v>
      </c>
      <c r="E83" s="56">
        <f ca="1">OFFSET(CumulativeActive!A83,-A83,MATCH(Country_Data!D83,CumulativeActive!B83:BT83,0))</f>
        <v>43909</v>
      </c>
      <c r="F83" s="41">
        <f>MAX(CumulativeConfirmed!83:83)</f>
        <v>249</v>
      </c>
      <c r="G83" s="41">
        <f>MAX(CumulativeDead!83:83)</f>
        <v>0</v>
      </c>
      <c r="J83" s="41">
        <v>2963243</v>
      </c>
      <c r="K83" s="52" t="s">
        <v>513</v>
      </c>
      <c r="L83" s="41" t="e">
        <v>#VALUE!</v>
      </c>
      <c r="M83" s="69">
        <f t="shared" si="4"/>
        <v>0</v>
      </c>
      <c r="N83" s="52" t="e">
        <f>VLOOKUP(C83,Deaths_since_10!H:I,2,FALSE)</f>
        <v>#N/A</v>
      </c>
      <c r="O83" s="56" t="e">
        <f ca="1">OFFSET(CumulativeDead!A83,-A83,MATCH(Country_Data!N83,CumulativeDead!B83:BT83,0))</f>
        <v>#N/A</v>
      </c>
      <c r="P83" s="52" t="e">
        <f t="shared" ca="1" si="5"/>
        <v>#N/A</v>
      </c>
    </row>
    <row r="84" spans="1:16" x14ac:dyDescent="0.3">
      <c r="A84" s="52">
        <v>83</v>
      </c>
      <c r="B84" s="55" t="s">
        <v>353</v>
      </c>
      <c r="C84" s="55" t="s">
        <v>353</v>
      </c>
      <c r="D84" s="52" t="e">
        <f>VLOOKUP(C84,Days_Since_100_active!H:I,2,FALSE)</f>
        <v>#N/A</v>
      </c>
      <c r="E84" s="56" t="e">
        <f ca="1">OFFSET(CumulativeActive!A84,-A84,MATCH(Country_Data!D84,CumulativeActive!B84:BT84,0))</f>
        <v>#N/A</v>
      </c>
      <c r="F84" s="41">
        <f>MAX(CumulativeConfirmed!84:84)</f>
        <v>21</v>
      </c>
      <c r="G84" s="41">
        <f>MAX(CumulativeDead!84:84)</f>
        <v>1</v>
      </c>
      <c r="J84" s="41">
        <v>2961167</v>
      </c>
      <c r="K84" s="52" t="s">
        <v>513</v>
      </c>
      <c r="L84" s="41" t="e">
        <v>#VALUE!</v>
      </c>
      <c r="M84" s="69">
        <f t="shared" si="4"/>
        <v>4.7619047619047616E-2</v>
      </c>
      <c r="N84" s="52" t="e">
        <f>VLOOKUP(C84,Deaths_since_10!H:I,2,FALSE)</f>
        <v>#N/A</v>
      </c>
      <c r="O84" s="56" t="e">
        <f ca="1">OFFSET(CumulativeDead!A84,-A84,MATCH(Country_Data!N84,CumulativeDead!B84:BT84,0))</f>
        <v>#N/A</v>
      </c>
      <c r="P84" s="52" t="e">
        <f t="shared" ca="1" si="5"/>
        <v>#N/A</v>
      </c>
    </row>
    <row r="85" spans="1:16" x14ac:dyDescent="0.3">
      <c r="A85" s="52">
        <v>84</v>
      </c>
      <c r="B85" s="55" t="s">
        <v>72</v>
      </c>
      <c r="C85" s="55" t="s">
        <v>72</v>
      </c>
      <c r="D85" s="52" t="e">
        <f>VLOOKUP(C85,Days_Since_100_active!H:I,2,FALSE)</f>
        <v>#N/A</v>
      </c>
      <c r="E85" s="56" t="e">
        <f ca="1">OFFSET(CumulativeActive!A85,-A85,MATCH(Country_Data!D85,CumulativeActive!B85:BT85,0))</f>
        <v>#N/A</v>
      </c>
      <c r="F85" s="41">
        <f>MAX(CumulativeConfirmed!85:85)</f>
        <v>74</v>
      </c>
      <c r="G85" s="41">
        <f>MAX(CumulativeDead!85:85)</f>
        <v>1</v>
      </c>
      <c r="J85" s="41">
        <v>38928346</v>
      </c>
      <c r="K85" s="52" t="s">
        <v>513</v>
      </c>
      <c r="L85" s="41" t="e">
        <v>#VALUE!</v>
      </c>
      <c r="M85" s="69">
        <f t="shared" si="4"/>
        <v>1.3513513513513514E-2</v>
      </c>
      <c r="N85" s="52" t="e">
        <f>VLOOKUP(C85,Deaths_since_10!H:I,2,FALSE)</f>
        <v>#N/A</v>
      </c>
      <c r="O85" s="56" t="e">
        <f ca="1">OFFSET(CumulativeDead!A85,-A85,MATCH(Country_Data!N85,CumulativeDead!B85:BT85,0))</f>
        <v>#N/A</v>
      </c>
      <c r="P85" s="52" t="e">
        <f t="shared" ca="1" si="5"/>
        <v>#N/A</v>
      </c>
    </row>
    <row r="86" spans="1:16" x14ac:dyDescent="0.3">
      <c r="A86" s="52">
        <v>85</v>
      </c>
      <c r="B86" s="55" t="s">
        <v>112</v>
      </c>
      <c r="C86" s="55" t="s">
        <v>112</v>
      </c>
      <c r="D86" s="52">
        <f>VLOOKUP(C86,Days_Since_100_active!H:I,2,FALSE)</f>
        <v>108</v>
      </c>
      <c r="E86" s="56">
        <f ca="1">OFFSET(CumulativeActive!A86,-A86,MATCH(Country_Data!D86,CumulativeActive!B86:BT86,0))</f>
        <v>43912</v>
      </c>
      <c r="F86" s="41">
        <f>MAX(CumulativeConfirmed!86:86)</f>
        <v>170</v>
      </c>
      <c r="G86" s="41">
        <f>MAX(CumulativeDead!86:86)</f>
        <v>5</v>
      </c>
      <c r="J86" s="41">
        <v>36910560</v>
      </c>
      <c r="K86" s="52" t="s">
        <v>513</v>
      </c>
      <c r="L86" s="41" t="e">
        <v>#VALUE!</v>
      </c>
      <c r="M86" s="69">
        <f t="shared" si="4"/>
        <v>2.9411764705882353E-2</v>
      </c>
      <c r="N86" s="52" t="e">
        <f>VLOOKUP(C86,Deaths_since_10!H:I,2,FALSE)</f>
        <v>#N/A</v>
      </c>
      <c r="O86" s="56" t="e">
        <f ca="1">OFFSET(CumulativeDead!A86,-A86,MATCH(Country_Data!N86,CumulativeDead!B86:BT86,0))</f>
        <v>#N/A</v>
      </c>
      <c r="P86" s="52" t="e">
        <f t="shared" ca="1" si="5"/>
        <v>#N/A</v>
      </c>
    </row>
    <row r="87" spans="1:16" x14ac:dyDescent="0.3">
      <c r="A87" s="52">
        <v>86</v>
      </c>
      <c r="B87" s="55" t="s">
        <v>93</v>
      </c>
      <c r="C87" s="55" t="s">
        <v>93</v>
      </c>
      <c r="D87" s="52">
        <f>VLOOKUP(C87,Days_Since_100_active!H:I,2,FALSE)</f>
        <v>141</v>
      </c>
      <c r="E87" s="56">
        <f ca="1">OFFSET(CumulativeActive!A87,-A87,MATCH(Country_Data!D87,CumulativeActive!B87:BT87,0))</f>
        <v>43912</v>
      </c>
      <c r="F87" s="41">
        <f>MAX(CumulativeConfirmed!87:87)</f>
        <v>209</v>
      </c>
      <c r="G87" s="41">
        <f>MAX(CumulativeDead!87:87)</f>
        <v>2</v>
      </c>
      <c r="J87" s="41">
        <v>2722289</v>
      </c>
      <c r="K87" s="52">
        <v>15.5</v>
      </c>
      <c r="L87" s="41">
        <v>421.95479499999999</v>
      </c>
      <c r="M87" s="69">
        <f t="shared" si="4"/>
        <v>9.5693779904306216E-3</v>
      </c>
      <c r="N87" s="52" t="e">
        <f>VLOOKUP(C87,Deaths_since_10!H:I,2,FALSE)</f>
        <v>#N/A</v>
      </c>
      <c r="O87" s="56" t="e">
        <f ca="1">OFFSET(CumulativeDead!A87,-A87,MATCH(Country_Data!N87,CumulativeDead!B87:BT87,0))</f>
        <v>#N/A</v>
      </c>
      <c r="P87" s="52" t="e">
        <f t="shared" ca="1" si="5"/>
        <v>#N/A</v>
      </c>
    </row>
    <row r="88" spans="1:16" x14ac:dyDescent="0.3">
      <c r="A88" s="52">
        <v>87</v>
      </c>
      <c r="B88" s="55" t="s">
        <v>345</v>
      </c>
      <c r="C88" s="55" t="s">
        <v>345</v>
      </c>
      <c r="D88" s="52">
        <f>VLOOKUP(C88,Days_Since_100_active!H:I,2,FALSE)</f>
        <v>107</v>
      </c>
      <c r="E88" s="56">
        <f ca="1">OFFSET(CumulativeActive!A88,-A88,MATCH(Country_Data!D88,CumulativeActive!B88:BT88,0))</f>
        <v>43913</v>
      </c>
      <c r="F88" s="41">
        <f>MAX(CumulativeConfirmed!88:88)</f>
        <v>125</v>
      </c>
      <c r="G88" s="41">
        <f>MAX(CumulativeDead!88:88)</f>
        <v>1</v>
      </c>
      <c r="J88" s="41">
        <v>4033963</v>
      </c>
      <c r="K88" s="52" t="s">
        <v>513</v>
      </c>
      <c r="L88" s="41" t="e">
        <v>#VALUE!</v>
      </c>
      <c r="M88" s="69">
        <f t="shared" si="4"/>
        <v>8.0000000000000002E-3</v>
      </c>
      <c r="N88" s="52" t="e">
        <f>VLOOKUP(C88,Deaths_since_10!H:I,2,FALSE)</f>
        <v>#N/A</v>
      </c>
      <c r="O88" s="56" t="e">
        <f ca="1">OFFSET(CumulativeDead!A88,-A88,MATCH(Country_Data!N88,CumulativeDead!B88:BT88,0))</f>
        <v>#N/A</v>
      </c>
      <c r="P88" s="52" t="e">
        <f t="shared" ca="1" si="5"/>
        <v>#N/A</v>
      </c>
    </row>
    <row r="89" spans="1:16" x14ac:dyDescent="0.3">
      <c r="A89" s="52">
        <v>88</v>
      </c>
      <c r="B89" s="55" t="s">
        <v>206</v>
      </c>
      <c r="C89" s="55" t="s">
        <v>206</v>
      </c>
      <c r="D89" s="52" t="e">
        <f>VLOOKUP(C89,Days_Since_100_active!H:I,2,FALSE)</f>
        <v>#N/A</v>
      </c>
      <c r="E89" s="56" t="e">
        <f ca="1">OFFSET(CumulativeActive!A89,-A89,MATCH(Country_Data!D89,CumulativeActive!B89:BT89,0))</f>
        <v>#N/A</v>
      </c>
      <c r="F89" s="41">
        <f>MAX(CumulativeConfirmed!89:89)</f>
        <v>27</v>
      </c>
      <c r="G89" s="41">
        <f>MAX(CumulativeDead!89:89)</f>
        <v>2</v>
      </c>
      <c r="J89" s="41">
        <v>7132538</v>
      </c>
      <c r="K89" s="52" t="s">
        <v>513</v>
      </c>
      <c r="L89" s="41" t="e">
        <v>#VALUE!</v>
      </c>
      <c r="M89" s="69">
        <f t="shared" si="4"/>
        <v>7.407407407407407E-2</v>
      </c>
      <c r="N89" s="52" t="e">
        <f>VLOOKUP(C89,Deaths_since_10!H:I,2,FALSE)</f>
        <v>#N/A</v>
      </c>
      <c r="O89" s="56" t="e">
        <f ca="1">OFFSET(CumulativeDead!A89,-A89,MATCH(Country_Data!N89,CumulativeDead!B89:BT89,0))</f>
        <v>#N/A</v>
      </c>
      <c r="P89" s="52" t="e">
        <f t="shared" ca="1" si="5"/>
        <v>#N/A</v>
      </c>
    </row>
    <row r="90" spans="1:16" x14ac:dyDescent="0.3">
      <c r="A90" s="52">
        <v>89</v>
      </c>
      <c r="B90" s="55" t="s">
        <v>52</v>
      </c>
      <c r="C90" s="55" t="s">
        <v>52</v>
      </c>
      <c r="D90" s="52">
        <f>VLOOKUP(C90,Days_Since_100_active!H:I,2,FALSE)</f>
        <v>102</v>
      </c>
      <c r="E90" s="56">
        <f ca="1">OFFSET(CumulativeActive!A90,-A90,MATCH(Country_Data!D90,CumulativeActive!B90:BT90,0))</f>
        <v>43914</v>
      </c>
      <c r="F90" s="41">
        <f>MAX(CumulativeConfirmed!90:90)</f>
        <v>102</v>
      </c>
      <c r="G90" s="41">
        <f>MAX(CumulativeDead!90:90)</f>
        <v>0</v>
      </c>
      <c r="J90" s="41">
        <v>21413249</v>
      </c>
      <c r="K90" s="52" t="s">
        <v>513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OFFSET(CumulativeDead!A90,-A90,MATCH(Country_Data!N90,CumulativeDead!B90:BT90,0))</f>
        <v>#N/A</v>
      </c>
      <c r="P90" s="52" t="e">
        <f t="shared" ca="1" si="5"/>
        <v>#N/A</v>
      </c>
    </row>
    <row r="91" spans="1:16" x14ac:dyDescent="0.3">
      <c r="A91" s="52">
        <v>90</v>
      </c>
      <c r="B91" s="55" t="s">
        <v>51</v>
      </c>
      <c r="C91" s="55" t="s">
        <v>51</v>
      </c>
      <c r="D91" s="52" t="e">
        <f>VLOOKUP(C91,Days_Since_100_active!H:I,2,FALSE)</f>
        <v>#N/A</v>
      </c>
      <c r="E91" s="56" t="e">
        <f ca="1">OFFSET(CumulativeActive!A91,-A91,MATCH(Country_Data!D91,CumulativeActive!B91:BT91,0))</f>
        <v>#N/A</v>
      </c>
      <c r="F91" s="41">
        <f>MAX(CumulativeConfirmed!91:91)</f>
        <v>91</v>
      </c>
      <c r="G91" s="41">
        <f>MAX(CumulativeDead!91:91)</f>
        <v>0</v>
      </c>
      <c r="J91" s="41">
        <v>16718965</v>
      </c>
      <c r="K91" s="52" t="s">
        <v>513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OFFSET(CumulativeDead!A91,-A91,MATCH(Country_Data!N91,CumulativeDead!B91:BT91,0))</f>
        <v>#N/A</v>
      </c>
      <c r="P91" s="52" t="e">
        <f t="shared" ca="1" si="5"/>
        <v>#N/A</v>
      </c>
    </row>
    <row r="92" spans="1:16" x14ac:dyDescent="0.3">
      <c r="A92" s="52">
        <v>91</v>
      </c>
      <c r="B92" s="55" t="s">
        <v>106</v>
      </c>
      <c r="C92" s="55" t="s">
        <v>106</v>
      </c>
      <c r="D92" s="52">
        <f>VLOOKUP(C92,Days_Since_100_active!H:I,2,FALSE)</f>
        <v>110</v>
      </c>
      <c r="E92" s="56">
        <f ca="1">OFFSET(CumulativeActive!A92,-A92,MATCH(Country_Data!D92,CumulativeActive!B92:BT92,0))</f>
        <v>43911</v>
      </c>
      <c r="F92" s="41">
        <f>MAX(CumulativeConfirmed!92:92)</f>
        <v>312</v>
      </c>
      <c r="G92" s="41">
        <f>MAX(CumulativeDead!92:92)</f>
        <v>6</v>
      </c>
      <c r="J92" s="41">
        <v>10847910</v>
      </c>
      <c r="K92" s="52" t="s">
        <v>513</v>
      </c>
      <c r="L92" s="41" t="e">
        <v>#VALUE!</v>
      </c>
      <c r="M92" s="69">
        <f t="shared" si="4"/>
        <v>1.9230769230769232E-2</v>
      </c>
      <c r="N92" s="52" t="e">
        <f>VLOOKUP(C92,Deaths_since_10!H:I,2,FALSE)</f>
        <v>#N/A</v>
      </c>
      <c r="O92" s="56" t="e">
        <f ca="1">OFFSET(CumulativeDead!A92,-A92,MATCH(Country_Data!N92,CumulativeDead!B92:BT92,0))</f>
        <v>#N/A</v>
      </c>
      <c r="P92" s="52" t="e">
        <f t="shared" ca="1" si="5"/>
        <v>#N/A</v>
      </c>
    </row>
    <row r="93" spans="1:16" x14ac:dyDescent="0.3">
      <c r="A93" s="52">
        <v>92</v>
      </c>
      <c r="B93" s="55" t="s">
        <v>176</v>
      </c>
      <c r="C93" s="55" t="s">
        <v>176</v>
      </c>
      <c r="D93" s="52" t="e">
        <f>VLOOKUP(C93,Days_Since_100_active!H:I,2,FALSE)</f>
        <v>#N/A</v>
      </c>
      <c r="E93" s="56" t="e">
        <f ca="1">OFFSET(CumulativeActive!A93,-A93,MATCH(Country_Data!D93,CumulativeActive!B93:BT93,0))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513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OFFSET(CumulativeDead!A93,-A93,MATCH(Country_Data!N93,CumulativeDead!B93:BT93,0))</f>
        <v>#N/A</v>
      </c>
      <c r="P93" s="52" t="e">
        <f t="shared" ca="1" si="5"/>
        <v>#N/A</v>
      </c>
    </row>
    <row r="94" spans="1:16" x14ac:dyDescent="0.3">
      <c r="A94" s="52">
        <v>93</v>
      </c>
      <c r="B94" s="55" t="s">
        <v>95</v>
      </c>
      <c r="C94" s="55" t="s">
        <v>95</v>
      </c>
      <c r="D94" s="52">
        <f>VLOOKUP(C94,Days_Since_100_active!H:I,2,FALSE)</f>
        <v>102</v>
      </c>
      <c r="E94" s="56">
        <f ca="1">OFFSET(CumulativeActive!A94,-A94,MATCH(Country_Data!D94,CumulativeActive!B94:BT94,0))</f>
        <v>43912</v>
      </c>
      <c r="F94" s="41">
        <f>MAX(CumulativeConfirmed!94:94)</f>
        <v>155</v>
      </c>
      <c r="G94" s="41">
        <f>MAX(CumulativeDead!94:94)</f>
        <v>0</v>
      </c>
      <c r="J94" s="41">
        <v>4822233</v>
      </c>
      <c r="K94" s="52" t="s">
        <v>513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OFFSET(CumulativeDead!A94,-A94,MATCH(Country_Data!N94,CumulativeDead!B94:BT94,0))</f>
        <v>#N/A</v>
      </c>
      <c r="P94" s="52" t="e">
        <f t="shared" ca="1" si="5"/>
        <v>#N/A</v>
      </c>
    </row>
    <row r="95" spans="1:16" x14ac:dyDescent="0.3">
      <c r="A95" s="52">
        <v>94</v>
      </c>
      <c r="B95" s="55" t="s">
        <v>354</v>
      </c>
      <c r="C95" s="55" t="s">
        <v>354</v>
      </c>
      <c r="D95" s="52" t="e">
        <f>VLOOKUP(C95,Days_Since_100_active!H:I,2,FALSE)</f>
        <v>#N/A</v>
      </c>
      <c r="E95" s="56" t="e">
        <f ca="1">OFFSET(CumulativeActive!A95,-A95,MATCH(Country_Data!D95,CumulativeActive!B95:BT95,0))</f>
        <v>#N/A</v>
      </c>
      <c r="F95" s="41">
        <f>MAX(CumulativeConfirmed!95:95)</f>
        <v>0</v>
      </c>
      <c r="G95" s="41">
        <f>MAX(CumulativeDead!95:95)</f>
        <v>0</v>
      </c>
      <c r="J95" s="41" t="e">
        <v>#N/A</v>
      </c>
      <c r="K95" s="52" t="s">
        <v>513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OFFSET(CumulativeDead!A95,-A95,MATCH(Country_Data!N95,CumulativeDead!B95:BT95,0))</f>
        <v>#N/A</v>
      </c>
      <c r="P95" s="52" t="e">
        <f t="shared" ca="1" si="5"/>
        <v>#N/A</v>
      </c>
    </row>
    <row r="96" spans="1:16" x14ac:dyDescent="0.3">
      <c r="A96" s="52">
        <v>95</v>
      </c>
      <c r="B96" s="55" t="s">
        <v>355</v>
      </c>
      <c r="C96" s="55" t="s">
        <v>355</v>
      </c>
      <c r="D96" s="52">
        <f>VLOOKUP(C96,Days_Since_100_active!H:I,2,FALSE)</f>
        <v>189</v>
      </c>
      <c r="E96" s="56">
        <f ca="1">OFFSET(CumulativeActive!A96,-A96,MATCH(Country_Data!D96,CumulativeActive!B96:BT96,0))</f>
        <v>43909</v>
      </c>
      <c r="F96" s="41">
        <f>MAX(CumulativeConfirmed!96:96)</f>
        <v>1872</v>
      </c>
      <c r="G96" s="41">
        <f>MAX(CumulativeDead!96:96)</f>
        <v>44</v>
      </c>
      <c r="J96" s="41">
        <v>84339067</v>
      </c>
      <c r="K96" s="52" t="s">
        <v>513</v>
      </c>
      <c r="L96" s="41" t="e">
        <v>#VALUE!</v>
      </c>
      <c r="M96" s="69">
        <f t="shared" si="4"/>
        <v>2.3504273504273504E-2</v>
      </c>
      <c r="N96" s="52">
        <f>VLOOKUP(C96,Deaths_since_10!H:I,2,FALSE)</f>
        <v>9</v>
      </c>
      <c r="O96" s="56">
        <f ca="1">OFFSET(CumulativeDead!A96,-A96,MATCH(Country_Data!N96,CumulativeDead!B96:BT96,0))</f>
        <v>43911</v>
      </c>
      <c r="P96" s="52">
        <f t="shared" ca="1" si="5"/>
        <v>2</v>
      </c>
    </row>
    <row r="97" spans="1:16" x14ac:dyDescent="0.3">
      <c r="A97" s="52">
        <v>96</v>
      </c>
      <c r="B97" s="55" t="s">
        <v>410</v>
      </c>
      <c r="C97" s="55" t="s">
        <v>410</v>
      </c>
      <c r="D97" s="52" t="e">
        <f>VLOOKUP(C97,Days_Since_100_active!H:I,2,FALSE)</f>
        <v>#N/A</v>
      </c>
      <c r="E97" s="56" t="e">
        <f ca="1">OFFSET(CumulativeActive!A97,-A97,MATCH(Country_Data!D97,CumulativeActive!B97:BT97,0))</f>
        <v>#N/A</v>
      </c>
      <c r="F97" s="41">
        <f>MAX(CumulativeConfirmed!97:97)</f>
        <v>48</v>
      </c>
      <c r="G97" s="41">
        <f>MAX(CumulativeDead!97:97)</f>
        <v>1</v>
      </c>
      <c r="J97" s="41">
        <v>11326616</v>
      </c>
      <c r="K97" s="52" t="s">
        <v>513</v>
      </c>
      <c r="L97" s="41" t="e">
        <v>#VALUE!</v>
      </c>
      <c r="M97" s="69">
        <f t="shared" si="4"/>
        <v>2.0833333333333332E-2</v>
      </c>
      <c r="N97" s="52" t="e">
        <f>VLOOKUP(C97,Deaths_since_10!H:I,2,FALSE)</f>
        <v>#N/A</v>
      </c>
      <c r="O97" s="56" t="e">
        <f ca="1">OFFSET(CumulativeDead!A97,-A97,MATCH(Country_Data!N97,CumulativeDead!B97:BT97,0))</f>
        <v>#N/A</v>
      </c>
      <c r="P97" s="52" t="e">
        <f t="shared" ca="1" si="5"/>
        <v>#N/A</v>
      </c>
    </row>
    <row r="98" spans="1:16" x14ac:dyDescent="0.3">
      <c r="A98" s="52">
        <v>97</v>
      </c>
      <c r="B98" s="55" t="s">
        <v>413</v>
      </c>
      <c r="C98" s="55" t="s">
        <v>413</v>
      </c>
      <c r="D98" s="52" t="e">
        <f>VLOOKUP(C98,Days_Since_100_active!H:I,2,FALSE)</f>
        <v>#N/A</v>
      </c>
      <c r="E98" s="56" t="e">
        <f ca="1">OFFSET(CumulativeActive!A98,-A98,MATCH(Country_Data!D98,CumulativeActive!B98:BT98,0))</f>
        <v>#N/A</v>
      </c>
      <c r="F98" s="41">
        <f>MAX(CumulativeConfirmed!98:98)</f>
        <v>72</v>
      </c>
      <c r="G98" s="41">
        <f>MAX(CumulativeDead!98:98)</f>
        <v>3</v>
      </c>
      <c r="J98" s="41">
        <v>18776707</v>
      </c>
      <c r="K98" s="52" t="s">
        <v>513</v>
      </c>
      <c r="L98" s="41" t="e">
        <v>#VALUE!</v>
      </c>
      <c r="M98" s="69">
        <f t="shared" ref="M98:M127" si="6">G98/F98</f>
        <v>4.1666666666666664E-2</v>
      </c>
      <c r="N98" s="52" t="e">
        <f>VLOOKUP(C98,Deaths_since_10!H:I,2,FALSE)</f>
        <v>#N/A</v>
      </c>
      <c r="O98" s="56" t="e">
        <f ca="1">OFFSET(CumulativeDead!A98,-A98,MATCH(Country_Data!N98,CumulativeDead!B98:BT98,0))</f>
        <v>#N/A</v>
      </c>
      <c r="P98" s="52" t="e">
        <f t="shared" ref="P98:P127" ca="1" si="7">O98-E98</f>
        <v>#N/A</v>
      </c>
    </row>
    <row r="99" spans="1:16" x14ac:dyDescent="0.3">
      <c r="A99" s="52">
        <v>98</v>
      </c>
      <c r="B99" s="55" t="s">
        <v>202</v>
      </c>
      <c r="C99" s="55" t="s">
        <v>202</v>
      </c>
      <c r="D99" s="52" t="e">
        <f>VLOOKUP(C99,Days_Since_100_active!H:I,2,FALSE)</f>
        <v>#N/A</v>
      </c>
      <c r="E99" s="56" t="e">
        <f ca="1">OFFSET(CumulativeActive!A99,-A99,MATCH(Country_Data!D99,CumulativeActive!B99:BT99,0))</f>
        <v>#N/A</v>
      </c>
      <c r="F99" s="41">
        <f>MAX(CumulativeConfirmed!99:99)</f>
        <v>39</v>
      </c>
      <c r="G99" s="41">
        <f>MAX(CumulativeDead!99:99)</f>
        <v>4</v>
      </c>
      <c r="J99" s="41">
        <v>164689383</v>
      </c>
      <c r="K99" s="52" t="s">
        <v>513</v>
      </c>
      <c r="L99" s="41" t="e">
        <v>#VALUE!</v>
      </c>
      <c r="M99" s="69">
        <f t="shared" si="6"/>
        <v>0.10256410256410256</v>
      </c>
      <c r="N99" s="52" t="e">
        <f>VLOOKUP(C99,Deaths_since_10!H:I,2,FALSE)</f>
        <v>#N/A</v>
      </c>
      <c r="O99" s="56" t="e">
        <f ca="1">OFFSET(CumulativeDead!A99,-A99,MATCH(Country_Data!N99,CumulativeDead!B99:BT99,0))</f>
        <v>#N/A</v>
      </c>
      <c r="P99" s="52" t="e">
        <f t="shared" ca="1" si="7"/>
        <v>#N/A</v>
      </c>
    </row>
    <row r="100" spans="1:16" x14ac:dyDescent="0.3">
      <c r="A100" s="52">
        <v>99</v>
      </c>
      <c r="B100" s="55" t="s">
        <v>346</v>
      </c>
      <c r="C100" s="55" t="s">
        <v>346</v>
      </c>
      <c r="D100" s="52" t="e">
        <f>VLOOKUP(C100,Days_Since_100_active!H:I,2,FALSE)</f>
        <v>#N/A</v>
      </c>
      <c r="E100" s="56" t="e">
        <f ca="1">OFFSET(CumulativeActive!A100,-A100,MATCH(Country_Data!D100,CumulativeActive!B100:BT100,0))</f>
        <v>#N/A</v>
      </c>
      <c r="F100" s="41">
        <f>MAX(CumulativeConfirmed!100:100)</f>
        <v>29</v>
      </c>
      <c r="G100" s="41">
        <f>MAX(CumulativeDead!100:100)</f>
        <v>0</v>
      </c>
      <c r="J100" s="41">
        <v>11673021</v>
      </c>
      <c r="K100" s="52" t="s">
        <v>513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OFFSET(CumulativeDead!A100,-A100,MATCH(Country_Data!N100,CumulativeDead!B100:BT100,0))</f>
        <v>#N/A</v>
      </c>
      <c r="P100" s="52" t="e">
        <f t="shared" ca="1" si="7"/>
        <v>#N/A</v>
      </c>
    </row>
    <row r="101" spans="1:16" x14ac:dyDescent="0.3">
      <c r="A101" s="52">
        <v>100</v>
      </c>
      <c r="B101" s="55" t="s">
        <v>180</v>
      </c>
      <c r="C101" s="55" t="s">
        <v>180</v>
      </c>
      <c r="D101" s="52" t="e">
        <f>VLOOKUP(C101,Days_Since_100_active!H:I,2,FALSE)</f>
        <v>#N/A</v>
      </c>
      <c r="E101" s="56" t="e">
        <f ca="1">OFFSET(CumulativeActive!A101,-A101,MATCH(Country_Data!D101,CumulativeActive!B101:BT101,0))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513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OFFSET(CumulativeDead!A101,-A101,MATCH(Country_Data!N101,CumulativeDead!B101:BT101,0))</f>
        <v>#N/A</v>
      </c>
      <c r="P101" s="52" t="e">
        <f t="shared" ca="1" si="7"/>
        <v>#N/A</v>
      </c>
    </row>
    <row r="102" spans="1:16" x14ac:dyDescent="0.3">
      <c r="A102" s="52">
        <v>101</v>
      </c>
      <c r="B102" s="55" t="s">
        <v>129</v>
      </c>
      <c r="C102" s="55" t="s">
        <v>129</v>
      </c>
      <c r="D102" s="52" t="e">
        <f>VLOOKUP(C102,Days_Since_100_active!H:I,2,FALSE)</f>
        <v>#N/A</v>
      </c>
      <c r="E102" s="56" t="e">
        <f ca="1">OFFSET(CumulativeActive!A102,-A102,MATCH(Country_Data!D102,CumulativeActive!B102:BT102,0))</f>
        <v>#N/A</v>
      </c>
      <c r="F102" s="41">
        <f>MAX(CumulativeConfirmed!102:102)</f>
        <v>97</v>
      </c>
      <c r="G102" s="41">
        <f>MAX(CumulativeDead!102:102)</f>
        <v>3</v>
      </c>
      <c r="J102" s="41">
        <v>43733762</v>
      </c>
      <c r="K102" s="52" t="s">
        <v>513</v>
      </c>
      <c r="L102" s="41" t="e">
        <v>#VALUE!</v>
      </c>
      <c r="M102" s="69">
        <f t="shared" si="6"/>
        <v>3.0927835051546393E-2</v>
      </c>
      <c r="N102" s="52" t="e">
        <f>VLOOKUP(C102,Deaths_since_10!H:I,2,FALSE)</f>
        <v>#N/A</v>
      </c>
      <c r="O102" s="56" t="e">
        <f ca="1">OFFSET(CumulativeDead!A102,-A102,MATCH(Country_Data!N102,CumulativeDead!B102:BT102,0))</f>
        <v>#N/A</v>
      </c>
      <c r="P102" s="52" t="e">
        <f t="shared" ca="1" si="7"/>
        <v>#N/A</v>
      </c>
    </row>
    <row r="103" spans="1:16" x14ac:dyDescent="0.3">
      <c r="A103" s="52">
        <v>102</v>
      </c>
      <c r="B103" s="55" t="s">
        <v>422</v>
      </c>
      <c r="C103" s="55" t="s">
        <v>422</v>
      </c>
      <c r="D103" s="52" t="e">
        <f>VLOOKUP(C103,Days_Since_100_active!H:I,2,FALSE)</f>
        <v>#N/A</v>
      </c>
      <c r="E103" s="56" t="e">
        <f ca="1">OFFSET(CumulativeActive!A103,-A103,MATCH(Country_Data!D103,CumulativeActive!B103:BT103,0))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513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OFFSET(CumulativeDead!A103,-A103,MATCH(Country_Data!N103,CumulativeDead!B103:BT103,0))</f>
        <v>#N/A</v>
      </c>
      <c r="P103" s="52" t="e">
        <f t="shared" ca="1" si="7"/>
        <v>#N/A</v>
      </c>
    </row>
    <row r="104" spans="1:16" x14ac:dyDescent="0.3">
      <c r="A104" s="52">
        <v>103</v>
      </c>
      <c r="B104" s="55" t="s">
        <v>279</v>
      </c>
      <c r="C104" s="55" t="s">
        <v>279</v>
      </c>
      <c r="D104" s="52">
        <f>VLOOKUP(C104,Days_Since_100_active!H:I,2,FALSE)</f>
        <v>110</v>
      </c>
      <c r="E104" s="56">
        <f ca="1">OFFSET(CumulativeActive!A104,-A104,MATCH(Country_Data!D104,CumulativeActive!B104:BT104,0))</f>
        <v>43914</v>
      </c>
      <c r="F104" s="41">
        <f>MAX(CumulativeConfirmed!104:104)</f>
        <v>114</v>
      </c>
      <c r="G104" s="41">
        <f>MAX(CumulativeDead!104:104)</f>
        <v>4</v>
      </c>
      <c r="J104" s="41">
        <v>20903273</v>
      </c>
      <c r="K104" s="52" t="s">
        <v>513</v>
      </c>
      <c r="L104" s="41" t="e">
        <v>#VALUE!</v>
      </c>
      <c r="M104" s="69">
        <f t="shared" si="6"/>
        <v>3.5087719298245612E-2</v>
      </c>
      <c r="N104" s="52" t="e">
        <f>VLOOKUP(C104,Deaths_since_10!H:I,2,FALSE)</f>
        <v>#N/A</v>
      </c>
      <c r="O104" s="56" t="e">
        <f ca="1">OFFSET(CumulativeDead!A104,-A104,MATCH(Country_Data!N104,CumulativeDead!B104:BT104,0))</f>
        <v>#N/A</v>
      </c>
      <c r="P104" s="52" t="e">
        <f t="shared" ca="1" si="7"/>
        <v>#N/A</v>
      </c>
    </row>
    <row r="105" spans="1:16" x14ac:dyDescent="0.3">
      <c r="A105" s="52">
        <v>104</v>
      </c>
      <c r="B105" s="55" t="s">
        <v>157</v>
      </c>
      <c r="C105" s="55" t="s">
        <v>157</v>
      </c>
      <c r="D105" s="52" t="e">
        <f>VLOOKUP(C105,Days_Since_100_active!H:I,2,FALSE)</f>
        <v>#N/A</v>
      </c>
      <c r="E105" s="56" t="e">
        <f ca="1">OFFSET(CumulativeActive!A105,-A105,MATCH(Country_Data!D105,CumulativeActive!B105:BT105,0))</f>
        <v>#N/A</v>
      </c>
      <c r="F105" s="41">
        <f>MAX(CumulativeConfirmed!105:105)</f>
        <v>66</v>
      </c>
      <c r="G105" s="41">
        <f>MAX(CumulativeDead!105:105)</f>
        <v>0</v>
      </c>
      <c r="J105" s="41">
        <v>26545863</v>
      </c>
      <c r="K105" s="52" t="s">
        <v>513</v>
      </c>
      <c r="L105" s="41" t="e">
        <v>#VALUE!</v>
      </c>
      <c r="M105" s="69">
        <f t="shared" si="6"/>
        <v>0</v>
      </c>
      <c r="N105" s="52" t="e">
        <f>VLOOKUP(C105,Deaths_since_10!H:I,2,FALSE)</f>
        <v>#N/A</v>
      </c>
      <c r="O105" s="56" t="e">
        <f ca="1">OFFSET(CumulativeDead!A105,-A105,MATCH(Country_Data!N105,CumulativeDead!B105:BT105,0))</f>
        <v>#N/A</v>
      </c>
      <c r="P105" s="52" t="e">
        <f t="shared" ca="1" si="7"/>
        <v>#N/A</v>
      </c>
    </row>
    <row r="106" spans="1:16" x14ac:dyDescent="0.3">
      <c r="A106" s="52">
        <v>105</v>
      </c>
      <c r="B106" s="55" t="s">
        <v>351</v>
      </c>
      <c r="C106" s="55" t="s">
        <v>351</v>
      </c>
      <c r="D106" s="52" t="e">
        <f>VLOOKUP(C106,Days_Since_100_active!H:I,2,FALSE)</f>
        <v>#N/A</v>
      </c>
      <c r="E106" s="56" t="e">
        <f ca="1">OFFSET(CumulativeActive!A106,-A106,MATCH(Country_Data!D106,CumulativeActive!B106:BT106,0))</f>
        <v>#N/A</v>
      </c>
      <c r="F106" s="41">
        <f>MAX(CumulativeConfirmed!106:106)</f>
        <v>45</v>
      </c>
      <c r="G106" s="41">
        <f>MAX(CumulativeDead!106:106)</f>
        <v>2</v>
      </c>
      <c r="J106" s="41" t="e">
        <v>#N/A</v>
      </c>
      <c r="K106" s="52" t="s">
        <v>513</v>
      </c>
      <c r="L106" s="41" t="e">
        <v>#N/A</v>
      </c>
      <c r="M106" s="69">
        <f t="shared" si="6"/>
        <v>4.4444444444444446E-2</v>
      </c>
      <c r="N106" s="52" t="e">
        <f>VLOOKUP(C106,Deaths_since_10!H:I,2,FALSE)</f>
        <v>#N/A</v>
      </c>
      <c r="O106" s="56" t="e">
        <f ca="1">OFFSET(CumulativeDead!A106,-A106,MATCH(Country_Data!N106,CumulativeDead!B106:BT106,0))</f>
        <v>#N/A</v>
      </c>
      <c r="P106" s="52" t="e">
        <f t="shared" ca="1" si="7"/>
        <v>#N/A</v>
      </c>
    </row>
    <row r="107" spans="1:16" x14ac:dyDescent="0.3">
      <c r="A107" s="52">
        <v>106</v>
      </c>
      <c r="B107" s="55" t="s">
        <v>348</v>
      </c>
      <c r="C107" s="55" t="s">
        <v>348</v>
      </c>
      <c r="D107" s="52" t="e">
        <f>VLOOKUP(C107,Days_Since_100_active!H:I,2,FALSE)</f>
        <v>#N/A</v>
      </c>
      <c r="E107" s="56" t="e">
        <f ca="1">OFFSET(CumulativeActive!A107,-A107,MATCH(Country_Data!D107,CumulativeActive!B107:BT107,0))</f>
        <v>#N/A</v>
      </c>
      <c r="F107" s="41">
        <f>MAX(CumulativeConfirmed!107:107)</f>
        <v>30</v>
      </c>
      <c r="G107" s="41">
        <f>MAX(CumulativeDead!107:107)</f>
        <v>0</v>
      </c>
      <c r="J107" s="41">
        <v>9904607</v>
      </c>
      <c r="K107" s="52" t="s">
        <v>513</v>
      </c>
      <c r="L107" s="41" t="e">
        <v>#VALUE!</v>
      </c>
      <c r="M107" s="69">
        <f t="shared" si="6"/>
        <v>0</v>
      </c>
      <c r="N107" s="52" t="e">
        <f>VLOOKUP(C107,Deaths_since_10!H:I,2,FALSE)</f>
        <v>#N/A</v>
      </c>
      <c r="O107" s="56" t="e">
        <f ca="1">OFFSET(CumulativeDead!A107,-A107,MATCH(Country_Data!N107,CumulativeDead!B107:BT107,0))</f>
        <v>#N/A</v>
      </c>
      <c r="P107" s="52" t="e">
        <f t="shared" ca="1" si="7"/>
        <v>#N/A</v>
      </c>
    </row>
    <row r="108" spans="1:16" x14ac:dyDescent="0.3">
      <c r="A108" s="52">
        <v>107</v>
      </c>
      <c r="B108" s="55" t="s">
        <v>100</v>
      </c>
      <c r="C108" s="55" t="s">
        <v>100</v>
      </c>
      <c r="D108" s="52" t="e">
        <f>VLOOKUP(C108,Days_Since_100_active!H:I,2,FALSE)</f>
        <v>#N/A</v>
      </c>
      <c r="E108" s="56" t="e">
        <f ca="1">OFFSET(CumulativeActive!A108,-A108,MATCH(Country_Data!D108,CumulativeActive!B108:BT108,0))</f>
        <v>#N/A</v>
      </c>
      <c r="F108" s="41">
        <f>MAX(CumulativeConfirmed!108:108)</f>
        <v>23</v>
      </c>
      <c r="G108" s="41">
        <f>MAX(CumulativeDead!108:108)</f>
        <v>0</v>
      </c>
      <c r="J108" s="41">
        <v>39242</v>
      </c>
      <c r="K108" s="52" t="s">
        <v>513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OFFSET(CumulativeDead!A108,-A108,MATCH(Country_Data!N108,CumulativeDead!B108:BT108,0))</f>
        <v>#N/A</v>
      </c>
      <c r="P108" s="52" t="e">
        <f t="shared" ca="1" si="7"/>
        <v>#N/A</v>
      </c>
    </row>
    <row r="109" spans="1:16" x14ac:dyDescent="0.3">
      <c r="A109" s="52">
        <v>108</v>
      </c>
      <c r="B109" s="55" t="s">
        <v>96</v>
      </c>
      <c r="C109" s="55" t="s">
        <v>96</v>
      </c>
      <c r="D109" s="52" t="e">
        <f>VLOOKUP(C109,Days_Since_100_active!H:I,2,FALSE)</f>
        <v>#N/A</v>
      </c>
      <c r="E109" s="56" t="e">
        <f ca="1">OFFSET(CumulativeActive!A109,-A109,MATCH(Country_Data!D109,CumulativeActive!B109:BT109,0))</f>
        <v>#N/A</v>
      </c>
      <c r="F109" s="41">
        <f>MAX(CumulativeConfirmed!109:109)</f>
        <v>44</v>
      </c>
      <c r="G109" s="41">
        <f>MAX(CumulativeDead!109:109)</f>
        <v>1</v>
      </c>
      <c r="J109" s="41">
        <v>206139589</v>
      </c>
      <c r="K109" s="52" t="s">
        <v>513</v>
      </c>
      <c r="L109" s="41" t="e">
        <v>#VALUE!</v>
      </c>
      <c r="M109" s="69">
        <f t="shared" si="6"/>
        <v>2.2727272727272728E-2</v>
      </c>
      <c r="N109" s="52" t="e">
        <f>VLOOKUP(C109,Deaths_since_10!H:I,2,FALSE)</f>
        <v>#N/A</v>
      </c>
      <c r="O109" s="56" t="e">
        <f ca="1">OFFSET(CumulativeDead!A109,-A109,MATCH(Country_Data!N109,CumulativeDead!B109:BT109,0))</f>
        <v>#N/A</v>
      </c>
      <c r="P109" s="52" t="e">
        <f t="shared" ca="1" si="7"/>
        <v>#N/A</v>
      </c>
    </row>
    <row r="110" spans="1:16" x14ac:dyDescent="0.3">
      <c r="A110" s="52">
        <v>109</v>
      </c>
      <c r="B110" s="55" t="s">
        <v>109</v>
      </c>
      <c r="C110" s="55" t="s">
        <v>109</v>
      </c>
      <c r="D110" s="52">
        <f>VLOOKUP(C110,Days_Since_100_active!H:I,2,FALSE)</f>
        <v>111</v>
      </c>
      <c r="E110" s="56">
        <f ca="1">OFFSET(CumulativeActive!A110,-A110,MATCH(Country_Data!D110,CumulativeActive!B110:BT110,0))</f>
        <v>43912</v>
      </c>
      <c r="F110" s="41">
        <f>MAX(CumulativeConfirmed!110:110)</f>
        <v>164</v>
      </c>
      <c r="G110" s="41">
        <f>MAX(CumulativeDead!110:110)</f>
        <v>1</v>
      </c>
      <c r="J110" s="41">
        <v>77265</v>
      </c>
      <c r="K110" s="52" t="s">
        <v>513</v>
      </c>
      <c r="L110" s="41" t="e">
        <v>#VALUE!</v>
      </c>
      <c r="M110" s="69">
        <f t="shared" si="6"/>
        <v>6.0975609756097563E-3</v>
      </c>
      <c r="N110" s="52" t="e">
        <f>VLOOKUP(C110,Deaths_since_10!H:I,2,FALSE)</f>
        <v>#N/A</v>
      </c>
      <c r="O110" s="56" t="e">
        <f ca="1">OFFSET(CumulativeDead!A110,-A110,MATCH(Country_Data!N110,CumulativeDead!B110:BT110,0))</f>
        <v>#N/A</v>
      </c>
      <c r="P110" s="52" t="e">
        <f t="shared" ca="1" si="7"/>
        <v>#N/A</v>
      </c>
    </row>
    <row r="111" spans="1:16" x14ac:dyDescent="0.3">
      <c r="A111" s="52">
        <v>110</v>
      </c>
      <c r="B111" s="55" t="s">
        <v>424</v>
      </c>
      <c r="C111" s="55" t="s">
        <v>424</v>
      </c>
      <c r="D111" s="52" t="e">
        <f>VLOOKUP(C111,Days_Since_100_active!H:I,2,FALSE)</f>
        <v>#N/A</v>
      </c>
      <c r="E111" s="56" t="e">
        <f ca="1">OFFSET(CumulativeActive!A111,-A111,MATCH(Country_Data!D111,CumulativeActive!B111:BT111,0))</f>
        <v>#N/A</v>
      </c>
      <c r="F111" s="41">
        <f>MAX(CumulativeConfirmed!111:111)</f>
        <v>3</v>
      </c>
      <c r="G111" s="41">
        <f>MAX(CumulativeDead!111:111)</f>
        <v>0</v>
      </c>
      <c r="J111" s="41">
        <v>97929</v>
      </c>
      <c r="K111" s="52" t="s">
        <v>513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OFFSET(CumulativeDead!A111,-A111,MATCH(Country_Data!N111,CumulativeDead!B111:BT111,0))</f>
        <v>#N/A</v>
      </c>
      <c r="P111" s="52" t="e">
        <f t="shared" ca="1" si="7"/>
        <v>#N/A</v>
      </c>
    </row>
    <row r="112" spans="1:16" x14ac:dyDescent="0.3">
      <c r="A112" s="52">
        <v>111</v>
      </c>
      <c r="B112" s="55" t="s">
        <v>156</v>
      </c>
      <c r="C112" s="55" t="s">
        <v>156</v>
      </c>
      <c r="D112" s="52" t="e">
        <f>VLOOKUP(C112,Days_Since_100_active!H:I,2,FALSE)</f>
        <v>#N/A</v>
      </c>
      <c r="E112" s="56" t="e">
        <f ca="1">OFFSET(CumulativeActive!A112,-A112,MATCH(Country_Data!D112,CumulativeActive!B112:BT112,0))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513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OFFSET(CumulativeDead!A112,-A112,MATCH(Country_Data!N112,CumulativeDead!B112:BT112,0))</f>
        <v>#N/A</v>
      </c>
      <c r="P112" s="52" t="e">
        <f t="shared" ca="1" si="7"/>
        <v>#N/A</v>
      </c>
    </row>
    <row r="113" spans="1:16" x14ac:dyDescent="0.3">
      <c r="A113" s="52">
        <v>112</v>
      </c>
      <c r="B113" s="55" t="s">
        <v>415</v>
      </c>
      <c r="C113" s="55" t="s">
        <v>415</v>
      </c>
      <c r="D113" s="52" t="e">
        <f>VLOOKUP(C113,Days_Since_100_active!H:I,2,FALSE)</f>
        <v>#N/A</v>
      </c>
      <c r="E113" s="56" t="e">
        <f ca="1">OFFSET(CumulativeActive!A113,-A113,MATCH(Country_Data!D113,CumulativeActive!B113:BT113,0))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513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OFFSET(CumulativeDead!A113,-A113,MATCH(Country_Data!N113,CumulativeDead!B113:BT113,0))</f>
        <v>#N/A</v>
      </c>
      <c r="P113" s="52" t="e">
        <f t="shared" ca="1" si="7"/>
        <v>#N/A</v>
      </c>
    </row>
    <row r="114" spans="1:16" x14ac:dyDescent="0.3">
      <c r="A114" s="52">
        <v>113</v>
      </c>
      <c r="B114" s="55" t="s">
        <v>352</v>
      </c>
      <c r="C114" s="55" t="s">
        <v>352</v>
      </c>
      <c r="D114" s="52" t="e">
        <f>VLOOKUP(C114,Days_Since_100_active!H:I,2,FALSE)</f>
        <v>#N/A</v>
      </c>
      <c r="E114" s="56" t="e">
        <f ca="1">OFFSET(CumulativeActive!A114,-A114,MATCH(Country_Data!D114,CumulativeActive!B114:BT114,0))</f>
        <v>#N/A</v>
      </c>
      <c r="F114" s="41">
        <f>MAX(CumulativeConfirmed!114:114)</f>
        <v>73</v>
      </c>
      <c r="G114" s="41">
        <f>MAX(CumulativeDead!114:114)</f>
        <v>0</v>
      </c>
      <c r="J114" s="41" t="e">
        <v>#N/A</v>
      </c>
      <c r="K114" s="52" t="s">
        <v>513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OFFSET(CumulativeDead!A114,-A114,MATCH(Country_Data!N114,CumulativeDead!B114:BT114,0))</f>
        <v>#N/A</v>
      </c>
      <c r="P114" s="52" t="e">
        <f t="shared" ca="1" si="7"/>
        <v>#N/A</v>
      </c>
    </row>
    <row r="115" spans="1:16" x14ac:dyDescent="0.3">
      <c r="A115" s="52">
        <v>114</v>
      </c>
      <c r="B115" s="55" t="s">
        <v>419</v>
      </c>
      <c r="C115" s="55" t="s">
        <v>419</v>
      </c>
      <c r="D115" s="52" t="e">
        <f>VLOOKUP(C115,Days_Since_100_active!H:I,2,FALSE)</f>
        <v>#N/A</v>
      </c>
      <c r="E115" s="56" t="e">
        <f ca="1">OFFSET(CumulativeActive!A115,-A115,MATCH(Country_Data!D115,CumulativeActive!B115:BT115,0))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513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OFFSET(CumulativeDead!A115,-A115,MATCH(Country_Data!N115,CumulativeDead!B115:BT115,0))</f>
        <v>#N/A</v>
      </c>
      <c r="P115" s="52" t="e">
        <f t="shared" ca="1" si="7"/>
        <v>#N/A</v>
      </c>
    </row>
    <row r="116" spans="1:16" x14ac:dyDescent="0.3">
      <c r="A116" s="52">
        <v>115</v>
      </c>
      <c r="B116" s="55" t="s">
        <v>416</v>
      </c>
      <c r="C116" s="55" t="s">
        <v>416</v>
      </c>
      <c r="D116" s="52" t="e">
        <f>VLOOKUP(C116,Days_Since_100_active!H:I,2,FALSE)</f>
        <v>#N/A</v>
      </c>
      <c r="E116" s="56" t="e">
        <f ca="1">OFFSET(CumulativeActive!A116,-A116,MATCH(Country_Data!D116,CumulativeActive!B116:BT116,0))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513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OFFSET(CumulativeDead!A116,-A116,MATCH(Country_Data!N116,CumulativeDead!B116:BT116,0))</f>
        <v>#N/A</v>
      </c>
      <c r="P116" s="52" t="e">
        <f t="shared" ca="1" si="7"/>
        <v>#N/A</v>
      </c>
    </row>
    <row r="117" spans="1:16" x14ac:dyDescent="0.3">
      <c r="A117" s="52">
        <v>116</v>
      </c>
      <c r="B117" s="55" t="s">
        <v>421</v>
      </c>
      <c r="C117" s="55" t="s">
        <v>421</v>
      </c>
      <c r="D117" s="52" t="e">
        <f>VLOOKUP(C117,Days_Since_100_active!H:I,2,FALSE)</f>
        <v>#N/A</v>
      </c>
      <c r="E117" s="56" t="e">
        <f ca="1">OFFSET(CumulativeActive!A117,-A117,MATCH(Country_Data!D117,CumulativeActive!B117:BT117,0))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513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OFFSET(CumulativeDead!A117,-A117,MATCH(Country_Data!N117,CumulativeDead!B117:BT117,0))</f>
        <v>#N/A</v>
      </c>
      <c r="P117" s="52" t="e">
        <f t="shared" ca="1" si="7"/>
        <v>#N/A</v>
      </c>
    </row>
    <row r="118" spans="1:16" x14ac:dyDescent="0.3">
      <c r="A118" s="52">
        <v>117</v>
      </c>
      <c r="B118" s="55" t="s">
        <v>411</v>
      </c>
      <c r="C118" s="55" t="s">
        <v>411</v>
      </c>
      <c r="D118" s="52" t="e">
        <f>VLOOKUP(C118,Days_Since_100_active!H:I,2,FALSE)</f>
        <v>#N/A</v>
      </c>
      <c r="E118" s="56" t="e">
        <f ca="1">OFFSET(CumulativeActive!A118,-A118,MATCH(Country_Data!D118,CumulativeActive!B118:BT118,0))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513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OFFSET(CumulativeDead!A118,-A118,MATCH(Country_Data!N118,CumulativeDead!B118:BT118,0))</f>
        <v>#N/A</v>
      </c>
      <c r="P118" s="52" t="e">
        <f t="shared" ca="1" si="7"/>
        <v>#N/A</v>
      </c>
    </row>
    <row r="119" spans="1:16" x14ac:dyDescent="0.3">
      <c r="A119" s="52">
        <v>118</v>
      </c>
      <c r="B119" s="55" t="s">
        <v>281</v>
      </c>
      <c r="C119" s="55" t="s">
        <v>281</v>
      </c>
      <c r="D119" s="52" t="e">
        <f>VLOOKUP(C119,Days_Since_100_active!H:I,2,FALSE)</f>
        <v>#N/A</v>
      </c>
      <c r="E119" s="56" t="e">
        <f ca="1">OFFSET(CumulativeActive!A119,-A119,MATCH(Country_Data!D119,CumulativeActive!B119:BT119,0))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513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OFFSET(CumulativeDead!A119,-A119,MATCH(Country_Data!N119,CumulativeDead!B119:BT119,0))</f>
        <v>#N/A</v>
      </c>
      <c r="P119" s="52" t="e">
        <f t="shared" ca="1" si="7"/>
        <v>#N/A</v>
      </c>
    </row>
    <row r="120" spans="1:16" x14ac:dyDescent="0.3">
      <c r="A120" s="52">
        <v>119</v>
      </c>
      <c r="B120" s="55" t="s">
        <v>125</v>
      </c>
      <c r="C120" s="55" t="s">
        <v>125</v>
      </c>
      <c r="D120" s="52">
        <f>VLOOKUP(C120,Days_Since_100_active!H:I,2,FALSE)</f>
        <v>111</v>
      </c>
      <c r="E120" s="56">
        <f ca="1">OFFSET(CumulativeActive!A120,-A120,MATCH(Country_Data!D120,CumulativeActive!B120:BT120,0))</f>
        <v>43912</v>
      </c>
      <c r="F120" s="41">
        <f>MAX(CumulativeConfirmed!120:120)</f>
        <v>154</v>
      </c>
      <c r="G120" s="41">
        <f>MAX(CumulativeDead!120:120)</f>
        <v>0</v>
      </c>
      <c r="J120" s="41">
        <v>10203134</v>
      </c>
      <c r="K120" s="52" t="s">
        <v>513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OFFSET(CumulativeDead!A120,-A120,MATCH(Country_Data!N120,CumulativeDead!B120:BT120,0))</f>
        <v>#N/A</v>
      </c>
      <c r="P120" s="52" t="e">
        <f t="shared" ca="1" si="7"/>
        <v>#N/A</v>
      </c>
    </row>
    <row r="121" spans="1:16" x14ac:dyDescent="0.3">
      <c r="A121" s="52">
        <v>120</v>
      </c>
      <c r="B121" s="55" t="s">
        <v>423</v>
      </c>
      <c r="C121" s="55" t="s">
        <v>423</v>
      </c>
      <c r="D121" s="52" t="e">
        <f>VLOOKUP(C121,Days_Since_100_active!H:I,2,FALSE)</f>
        <v>#N/A</v>
      </c>
      <c r="E121" s="56" t="e">
        <f ca="1">OFFSET(CumulativeActive!A121,-A121,MATCH(Country_Data!D121,CumulativeActive!B121:BT121,0))</f>
        <v>#N/A</v>
      </c>
      <c r="F121" s="41">
        <f>MAX(CumulativeConfirmed!121:121)</f>
        <v>25</v>
      </c>
      <c r="G121" s="41">
        <f>MAX(CumulativeDead!121:121)</f>
        <v>0</v>
      </c>
      <c r="J121" s="41">
        <v>53771296</v>
      </c>
      <c r="K121" s="52" t="s">
        <v>513</v>
      </c>
      <c r="L121" s="41" t="e">
        <v>#VALUE!</v>
      </c>
      <c r="M121" s="69">
        <f t="shared" si="6"/>
        <v>0</v>
      </c>
      <c r="N121" s="52" t="e">
        <f>VLOOKUP(C121,Deaths_since_10!H:I,2,FALSE)</f>
        <v>#N/A</v>
      </c>
      <c r="O121" s="56" t="e">
        <f ca="1">OFFSET(CumulativeDead!A121,-A121,MATCH(Country_Data!N121,CumulativeDead!B121:BT121,0))</f>
        <v>#N/A</v>
      </c>
      <c r="P121" s="52" t="e">
        <f t="shared" ca="1" si="7"/>
        <v>#N/A</v>
      </c>
    </row>
    <row r="122" spans="1:16" x14ac:dyDescent="0.3">
      <c r="A122" s="52">
        <v>121</v>
      </c>
      <c r="B122" s="55" t="s">
        <v>136</v>
      </c>
      <c r="C122" s="55" t="s">
        <v>136</v>
      </c>
      <c r="D122" s="52" t="e">
        <f>VLOOKUP(C122,Days_Since_100_active!H:I,2,FALSE)</f>
        <v>#N/A</v>
      </c>
      <c r="E122" s="56" t="e">
        <f ca="1">OFFSET(CumulativeActive!A122,-A122,MATCH(Country_Data!D122,CumulativeActive!B122:BT122,0))</f>
        <v>#N/A</v>
      </c>
      <c r="F122" s="41">
        <f>MAX(CumulativeConfirmed!122:122)</f>
        <v>51</v>
      </c>
      <c r="G122" s="41">
        <f>MAX(CumulativeDead!122:122)</f>
        <v>0</v>
      </c>
      <c r="J122" s="41">
        <v>38128</v>
      </c>
      <c r="K122" s="52" t="s">
        <v>513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OFFSET(CumulativeDead!A122,-A122,MATCH(Country_Data!N122,CumulativeDead!B122:BT122,0))</f>
        <v>#N/A</v>
      </c>
      <c r="P122" s="52" t="e">
        <f t="shared" ca="1" si="7"/>
        <v>#N/A</v>
      </c>
    </row>
    <row r="123" spans="1:16" x14ac:dyDescent="0.3">
      <c r="A123" s="52">
        <v>122</v>
      </c>
      <c r="B123" s="55" t="s">
        <v>282</v>
      </c>
      <c r="C123" s="55" t="s">
        <v>282</v>
      </c>
      <c r="D123" s="52" t="e">
        <f>VLOOKUP(C123,Days_Since_100_active!H:I,2,FALSE)</f>
        <v>#N/A</v>
      </c>
      <c r="E123" s="56" t="e">
        <f ca="1">OFFSET(CumulativeActive!A123,-A123,MATCH(Country_Data!D123,CumulativeActive!B123:BT123,0))</f>
        <v>#N/A</v>
      </c>
      <c r="F123" s="41">
        <f>MAX(CumulativeConfirmed!123:123)</f>
        <v>10</v>
      </c>
      <c r="G123" s="41">
        <f>MAX(CumulativeDead!123:123)</f>
        <v>0</v>
      </c>
      <c r="J123" s="41">
        <v>3278290</v>
      </c>
      <c r="K123" s="52" t="s">
        <v>513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OFFSET(CumulativeDead!A123,-A123,MATCH(Country_Data!N123,CumulativeDead!B123:BT123,0))</f>
        <v>#N/A</v>
      </c>
      <c r="P123" s="52" t="e">
        <f t="shared" ca="1" si="7"/>
        <v>#N/A</v>
      </c>
    </row>
    <row r="124" spans="1:16" x14ac:dyDescent="0.3">
      <c r="A124" s="52">
        <v>123</v>
      </c>
      <c r="B124" s="55" t="s">
        <v>42</v>
      </c>
      <c r="C124" s="55" t="s">
        <v>42</v>
      </c>
      <c r="D124" s="52" t="e">
        <f>VLOOKUP(C124,Days_Since_100_active!H:I,2,FALSE)</f>
        <v>#N/A</v>
      </c>
      <c r="E124" s="56" t="e">
        <f ca="1">OFFSET(CumulativeActive!A124,-A124,MATCH(Country_Data!D124,CumulativeActive!B124:BT124,0))</f>
        <v>#N/A</v>
      </c>
      <c r="F124" s="41">
        <f>MAX(CumulativeConfirmed!124:124)</f>
        <v>2</v>
      </c>
      <c r="G124" s="41">
        <f>MAX(CumulativeDead!124:124)</f>
        <v>0</v>
      </c>
      <c r="J124" s="41">
        <v>29136808</v>
      </c>
      <c r="K124" s="52" t="s">
        <v>513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OFFSET(CumulativeDead!A124,-A124,MATCH(Country_Data!N124,CumulativeDead!B124:BT124,0))</f>
        <v>#N/A</v>
      </c>
      <c r="P124" s="52" t="e">
        <f t="shared" ca="1" si="7"/>
        <v>#N/A</v>
      </c>
    </row>
    <row r="125" spans="1:16" x14ac:dyDescent="0.3">
      <c r="A125" s="52">
        <v>124</v>
      </c>
      <c r="B125" s="55" t="s">
        <v>420</v>
      </c>
      <c r="C125" s="55" t="s">
        <v>420</v>
      </c>
      <c r="D125" s="52" t="e">
        <f>VLOOKUP(C125,Days_Since_100_active!H:I,2,FALSE)</f>
        <v>#N/A</v>
      </c>
      <c r="E125" s="56" t="e">
        <f ca="1">OFFSET(CumulativeActive!A125,-A125,MATCH(Country_Data!D125,CumulativeActive!B125:BT125,0))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513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OFFSET(CumulativeDead!A125,-A125,MATCH(Country_Data!N125,CumulativeDead!B125:BT125,0))</f>
        <v>#N/A</v>
      </c>
      <c r="P125" s="52" t="e">
        <f t="shared" ca="1" si="7"/>
        <v>#N/A</v>
      </c>
    </row>
    <row r="126" spans="1:16" x14ac:dyDescent="0.3">
      <c r="A126" s="52">
        <v>125</v>
      </c>
      <c r="B126" s="52" t="e">
        <f>VLOOKUP(A125,Days_Since_100!G:H,2,FALSE)</f>
        <v>#N/A</v>
      </c>
      <c r="C126" s="52" t="e">
        <f>VLOOKUP(B127,Days_Since_100!H:I,2,FALSE)</f>
        <v>#N/A</v>
      </c>
      <c r="D126" s="52" t="e">
        <f>VLOOKUP(C126,Days_Since_100_active!H:I,2,FALSE)</f>
        <v>#N/A</v>
      </c>
      <c r="E126" s="56" t="e">
        <f ca="1">OFFSET(CumulativeActive!A126,-A126,MATCH(Country_Data!D126,CumulativeActive!B126:BT126,0))</f>
        <v>#N/A</v>
      </c>
      <c r="G126" s="41">
        <f>MAX(CumulativeDead!126:126)</f>
        <v>0</v>
      </c>
      <c r="J126" s="41" t="e">
        <v>#N/A</v>
      </c>
      <c r="K126" s="52" t="s">
        <v>513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OFFSET(CumulativeDead!A126,-A126,MATCH(Country_Data!N126,CumulativeDead!B126:BT126,0))</f>
        <v>#N/A</v>
      </c>
      <c r="P126" s="52" t="e">
        <f t="shared" ca="1" si="7"/>
        <v>#N/A</v>
      </c>
    </row>
    <row r="127" spans="1:16" x14ac:dyDescent="0.3">
      <c r="B127" s="55" t="s">
        <v>163</v>
      </c>
      <c r="G127" s="41">
        <f>MAX(CumulativeDead!127:127)</f>
        <v>0</v>
      </c>
      <c r="J127" s="41">
        <v>8278724</v>
      </c>
      <c r="K127" s="52" t="s">
        <v>513</v>
      </c>
      <c r="L127" s="41" t="e">
        <v>#VALUE!</v>
      </c>
      <c r="M127" s="69" t="e">
        <f t="shared" si="6"/>
        <v>#DIV/0!</v>
      </c>
      <c r="N127" s="52" t="e">
        <f>VLOOKUP(C127,Deaths_since_10!H:I,2,FALSE)</f>
        <v>#N/A</v>
      </c>
      <c r="O127" s="56" t="e">
        <f ca="1">OFFSET(CumulativeDead!A127,-A127,MATCH(Country_Data!N127,CumulativeDead!B127:BT127,0))</f>
        <v>#N/A</v>
      </c>
      <c r="P127" s="52" t="e">
        <f t="shared" ca="1" si="7"/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X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81435</v>
      </c>
      <c r="BK2">
        <f>SUMIF(ConfirmedRaw!$B:$B,$A2,ConfirmedRaw!BN:BN)</f>
        <v>81498</v>
      </c>
      <c r="BL2">
        <f>SUMIF(ConfirmedRaw!$B:$B,$A2,ConfirmedRaw!BO:BO)</f>
        <v>81591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v>15113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63927</v>
      </c>
      <c r="BL3">
        <f>SUMIF(ConfirmedRaw!$B:$B,$A3,ConfirmedRaw!BO:BO)</f>
        <v>69176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23049</v>
      </c>
      <c r="BL4">
        <f>SUMIF(ConfirmedRaw!$B:$B,$A4,ConfirmedRaw!BO:BO)</f>
        <v>24811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8961</v>
      </c>
      <c r="BK5">
        <f>SUMIF(ConfirmedRaw!$B:$B,$A5,ConfirmedRaw!BN:BN)</f>
        <v>8961</v>
      </c>
      <c r="BL5">
        <f>SUMIF(ConfirmedRaw!$B:$B,$A5,ConfirmedRaw!BO:BO)</f>
        <v>9037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v>3146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35136</v>
      </c>
      <c r="BL6">
        <f>SUMIF(ConfirmedRaw!$B:$B,$A6,ConfirmedRaw!BO:BO)</f>
        <v>39885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29056</v>
      </c>
      <c r="BL7">
        <f>SUMIF(ConfirmedRaw!$B:$B,$A7,ConfirmedRaw!BO:BO)</f>
        <v>32986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959</v>
      </c>
      <c r="AV8">
        <f>SUMIF(ConfirmedRaw!$B:$B,$A8,ConfirmedRaw!AY:AY)</f>
        <v>1136</v>
      </c>
      <c r="AW8">
        <f>SUMIF(ConfirmedRaw!$B:$B,$A8,ConfirmedRaw!AZ:AZ)</f>
        <v>1219</v>
      </c>
      <c r="AX8">
        <f>SUMIF(ConfirmedRaw!$B:$B,$A8,ConfirmedRaw!BA:BA)</f>
        <v>1794</v>
      </c>
      <c r="AY8">
        <f>SUMIF(ConfirmedRaw!$B:$B,$A8,ConfirmedRaw!BB:BB)</f>
        <v>2293</v>
      </c>
      <c r="AZ8">
        <f>SUMIF(ConfirmedRaw!$B:$B,$A8,ConfirmedRaw!BC:BC)</f>
        <v>2293</v>
      </c>
      <c r="BA8">
        <f>SUMIF(ConfirmedRaw!$B:$B,$A8,ConfirmedRaw!BD:BD)</f>
        <v>3681</v>
      </c>
      <c r="BB8">
        <f>SUMIF(ConfirmedRaw!$B:$B,$A8,ConfirmedRaw!BE:BE)</f>
        <v>4496</v>
      </c>
      <c r="BC8">
        <f>SUMIF(ConfirmedRaw!$B:$B,$A8,ConfirmedRaw!BF:BF)</f>
        <v>4532</v>
      </c>
      <c r="BD8">
        <f>SUMIF(ConfirmedRaw!$B:$B,$A8,ConfirmedRaw!BG:BG)</f>
        <v>6683</v>
      </c>
      <c r="BE8">
        <f>SUMIF(ConfirmedRaw!$B:$B,$A8,ConfirmedRaw!BH:BH)</f>
        <v>7715</v>
      </c>
      <c r="BF8">
        <f>SUMIF(ConfirmedRaw!$B:$B,$A8,ConfirmedRaw!BI:BI)</f>
        <v>9124</v>
      </c>
      <c r="BG8">
        <f>SUMIF(ConfirmedRaw!$B:$B,$A8,ConfirmedRaw!BJ:BJ)</f>
        <v>10970</v>
      </c>
      <c r="BH8">
        <f>SUMIF(ConfirmedRaw!$B:$B,$A8,ConfirmedRaw!BK:BK)</f>
        <v>12758</v>
      </c>
      <c r="BI8">
        <f>SUMIF(ConfirmedRaw!$B:$B,$A8,ConfirmedRaw!BL:BL)</f>
        <v>14463</v>
      </c>
      <c r="BJ8">
        <f>SUMIF(ConfirmedRaw!$B:$B,$A8,ConfirmedRaw!BM:BM)</f>
        <v>16243</v>
      </c>
      <c r="BK8">
        <f>SUMIF(ConfirmedRaw!$B:$B,$A8,ConfirmedRaw!BN:BN)</f>
        <v>20123</v>
      </c>
      <c r="BL8">
        <f>SUMIF(ConfirmedRaw!$B:$B,$A8,ConfirmedRaw!BO:BO)</f>
        <v>22622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33276</v>
      </c>
      <c r="BK9">
        <f>SUMIF(ConfirmedRaw!$B:$B,$A9,ConfirmedRaw!BN:BN)</f>
        <v>43847</v>
      </c>
      <c r="BL9">
        <f>SUMIF(ConfirmedRaw!$B:$B,$A9,ConfirmedRaw!BO:BO)</f>
        <v>53740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7474</v>
      </c>
      <c r="BK10">
        <f>SUMIF(ConfirmedRaw!$B:$B,$A10,ConfirmedRaw!BN:BN)</f>
        <v>8795</v>
      </c>
      <c r="BL10">
        <f>SUMIF(ConfirmedRaw!$B:$B,$A10,ConfirmedRaw!BO:BO)</f>
        <v>9877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2385</v>
      </c>
      <c r="BK11">
        <f>SUMIF(ConfirmedRaw!$B:$B,$A11,ConfirmedRaw!BN:BN)</f>
        <v>2621</v>
      </c>
      <c r="BL11">
        <f>SUMIF(ConfirmedRaw!$B:$B,$A11,ConfirmedRaw!BO:BO)</f>
        <v>2863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2046</v>
      </c>
      <c r="BL12">
        <f>SUMIF(ConfirmedRaw!$B:$B,$A12,ConfirmedRaw!BO:BO)</f>
        <v>2286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1572</v>
      </c>
      <c r="BL13">
        <f>SUMIF(ConfirmedRaw!$B:$B,$A13,ConfirmedRaw!BO:BO)</f>
        <v>1718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4217</v>
      </c>
      <c r="BK14">
        <f>SUMIF(ConfirmedRaw!$B:$B,$A14,ConfirmedRaw!BN:BN)</f>
        <v>4764</v>
      </c>
      <c r="BL14">
        <f>SUMIF(ConfirmedRaw!$B:$B,$A14,ConfirmedRaw!BO:BO)</f>
        <v>5580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5745</v>
      </c>
      <c r="BK15">
        <f>SUMIF(ConfirmedRaw!$B:$B,$A15,ConfirmedRaw!BN:BN)</f>
        <v>6726</v>
      </c>
      <c r="BL15">
        <f>SUMIF(ConfirmedRaw!$B:$B,$A15,ConfirmedRaw!BO:BO)</f>
        <v>8164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2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22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839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1101</v>
      </c>
      <c r="BK16">
        <f>SUMIF(ConfirmedRaw!$B:$B,$A16,ConfirmedRaw!BN:BN)</f>
        <v>1128</v>
      </c>
      <c r="BL16">
        <f>SUMIF(ConfirmedRaw!$B:$B,$A16,ConfirmedRaw!BO:BO)</f>
        <v>1193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0</v>
      </c>
      <c r="S17">
        <f>SUMIF(ConfirmedRaw!$B:$B,$A17,ConfirmedRaw!V:V)</f>
        <v>0</v>
      </c>
      <c r="T17">
        <f>SUMIF(ConfirmedRaw!$B:$B,$A17,ConfirmedRaw!W:W)</f>
        <v>0</v>
      </c>
      <c r="U17">
        <f>SUMIF(ConfirmedRaw!$B:$B,$A17,ConfirmedRaw!X:X)</f>
        <v>0</v>
      </c>
      <c r="V17">
        <f>SUMIF(ConfirmedRaw!$B:$B,$A17,ConfirmedRaw!Y:Y)</f>
        <v>0</v>
      </c>
      <c r="W17">
        <f>SUMIF(ConfirmedRaw!$B:$B,$A17,ConfirmedRaw!Z:Z)</f>
        <v>0</v>
      </c>
      <c r="X17">
        <f>SUMIF(ConfirmedRaw!$B:$B,$A17,ConfirmedRaw!AA:AA)</f>
        <v>0</v>
      </c>
      <c r="Y17">
        <f>SUMIF(ConfirmedRaw!$B:$B,$A17,ConfirmedRaw!AB:AB)</f>
        <v>0</v>
      </c>
      <c r="Z17">
        <f>SUMIF(ConfirmedRaw!$B:$B,$A17,ConfirmedRaw!AC:AC)</f>
        <v>0</v>
      </c>
      <c r="AA17">
        <f>SUMIF(ConfirmedRaw!$B:$B,$A17,ConfirmedRaw!AD:AD)</f>
        <v>0</v>
      </c>
      <c r="AB17">
        <f>SUMIF(ConfirmedRaw!$B:$B,$A17,ConfirmedRaw!AE:AE)</f>
        <v>0</v>
      </c>
      <c r="AC17">
        <f>SUMIF(ConfirmedRaw!$B:$B,$A17,ConfirmedRaw!AF:AF)</f>
        <v>0</v>
      </c>
      <c r="AD17">
        <f>SUMIF(ConfirmedRaw!$B:$B,$A17,ConfirmedRaw!AG:AG)</f>
        <v>0</v>
      </c>
      <c r="AE17">
        <f>SUMIF(ConfirmedRaw!$B:$B,$A17,ConfirmedRaw!AH:AH)</f>
        <v>0</v>
      </c>
      <c r="AF17">
        <f>SUMIF(ConfirmedRaw!$B:$B,$A17,ConfirmedRaw!AI:AI)</f>
        <v>0</v>
      </c>
      <c r="AG17">
        <f>SUMIF(ConfirmedRaw!$B:$B,$A17,ConfirmedRaw!AJ:AJ)</f>
        <v>0</v>
      </c>
      <c r="AH17">
        <f>SUMIF(ConfirmedRaw!$B:$B,$A17,ConfirmedRaw!AK:AK)</f>
        <v>0</v>
      </c>
      <c r="AI17">
        <f>SUMIF(ConfirmedRaw!$B:$B,$A17,ConfirmedRaw!AL:AL)</f>
        <v>0</v>
      </c>
      <c r="AJ17">
        <f>SUMIF(ConfirmedRaw!$B:$B,$A17,ConfirmedRaw!AM:AM)</f>
        <v>0</v>
      </c>
      <c r="AK17">
        <f>SUMIF(ConfirmedRaw!$B:$B,$A17,ConfirmedRaw!AN:AN)</f>
        <v>0</v>
      </c>
      <c r="AL17">
        <f>SUMIF(ConfirmedRaw!$B:$B,$A17,ConfirmedRaw!AO:AO)</f>
        <v>0</v>
      </c>
      <c r="AM17">
        <f>SUMIF(ConfirmedRaw!$B:$B,$A17,ConfirmedRaw!AP:AP)</f>
        <v>0</v>
      </c>
      <c r="AN17">
        <f>SUMIF(ConfirmedRaw!$B:$B,$A17,ConfirmedRaw!AQ:AQ)</f>
        <v>0</v>
      </c>
      <c r="AO17">
        <f>SUMIF(ConfirmedRaw!$B:$B,$A17,ConfirmedRaw!AR:AR)</f>
        <v>0</v>
      </c>
      <c r="AP17">
        <f>SUMIF(ConfirmedRaw!$B:$B,$A17,ConfirmedRaw!AS:AS)</f>
        <v>0</v>
      </c>
      <c r="AQ17">
        <f>SUMIF(ConfirmedRaw!$B:$B,$A17,ConfirmedRaw!AT:AT)</f>
        <v>0</v>
      </c>
      <c r="AR17">
        <f>SUMIF(ConfirmedRaw!$B:$B,$A17,ConfirmedRaw!AU:AU)</f>
        <v>0</v>
      </c>
      <c r="AS17">
        <f>SUMIF(ConfirmedRaw!$B:$B,$A17,ConfirmedRaw!AV:AV)</f>
        <v>0</v>
      </c>
      <c r="AT17">
        <f>SUMIF(ConfirmedRaw!$B:$B,$A17,ConfirmedRaw!AW:AW)</f>
        <v>0</v>
      </c>
      <c r="AU17">
        <f>SUMIF(ConfirmedRaw!$B:$B,$A17,ConfirmedRaw!AX:AX)</f>
        <v>0</v>
      </c>
      <c r="AV17">
        <f>SUMIF(ConfirmedRaw!$B:$B,$A17,ConfirmedRaw!AY:AY)</f>
        <v>0</v>
      </c>
      <c r="AW17">
        <f>SUMIF(ConfirmedRaw!$B:$B,$A17,ConfirmedRaw!AZ:AZ)</f>
        <v>0</v>
      </c>
      <c r="AX17">
        <f>SUMIF(ConfirmedRaw!$B:$B,$A17,ConfirmedRaw!BA:BA)</f>
        <v>0</v>
      </c>
      <c r="AY17">
        <f>SUMIF(ConfirmedRaw!$B:$B,$A17,ConfirmedRaw!BB:BB)</f>
        <v>0</v>
      </c>
      <c r="AZ17">
        <f>SUMIF(ConfirmedRaw!$B:$B,$A17,ConfirmedRaw!BC:BC)</f>
        <v>0</v>
      </c>
      <c r="BA17">
        <f>SUMIF(ConfirmedRaw!$B:$B,$A17,ConfirmedRaw!BD:BD)</f>
        <v>0</v>
      </c>
      <c r="BB17">
        <f>SUMIF(ConfirmedRaw!$B:$B,$A17,ConfirmedRaw!BE:BE)</f>
        <v>0</v>
      </c>
      <c r="BC17">
        <f>SUMIF(ConfirmedRaw!$B:$B,$A17,ConfirmedRaw!BF:BF)</f>
        <v>0</v>
      </c>
      <c r="BD17">
        <f>SUMIF(ConfirmedRaw!$B:$B,$A17,ConfirmedRaw!BG:BG)</f>
        <v>0</v>
      </c>
      <c r="BE17">
        <f>SUMIF(ConfirmedRaw!$B:$B,$A17,ConfirmedRaw!BH:BH)</f>
        <v>0</v>
      </c>
      <c r="BF17">
        <f>SUMIF(ConfirmedRaw!$B:$B,$A17,ConfirmedRaw!BI:BI)</f>
        <v>0</v>
      </c>
      <c r="BG17">
        <f>SUMIF(ConfirmedRaw!$B:$B,$A17,ConfirmedRaw!BJ:BJ)</f>
        <v>0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3743</v>
      </c>
      <c r="BL18">
        <f>SUMIF(ConfirmedRaw!$B:$B,$A18,ConfirmedRaw!BO:BO)</f>
        <v>4269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3582</v>
      </c>
      <c r="BK19">
        <f>SUMIF(ConfirmedRaw!$B:$B,$A19,ConfirmedRaw!BN:BN)</f>
        <v>4474</v>
      </c>
      <c r="BL19">
        <f>SUMIF(ConfirmedRaw!$B:$B,$A19,ConfirmedRaw!BO:BO)</f>
        <v>5283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501</v>
      </c>
      <c r="BL20">
        <f>SUMIF(ConfirmedRaw!$B:$B,$A20,ConfirmedRaw!BO:BO)</f>
        <v>526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15</v>
      </c>
      <c r="AG21">
        <f>SUMIF(ConfirmedRaw!$B:$B,$A21,ConfirmedRaw!AJ:AJ)</f>
        <v>15</v>
      </c>
      <c r="AH21">
        <f>SUMIF(ConfirmedRaw!$B:$B,$A21,ConfirmedRaw!AK:AK)</f>
        <v>15</v>
      </c>
      <c r="AI21">
        <f>SUMIF(ConfirmedRaw!$B:$B,$A21,ConfirmedRaw!AL:AL)</f>
        <v>15</v>
      </c>
      <c r="AJ21">
        <f>SUMIF(ConfirmedRaw!$B:$B,$A21,ConfirmedRaw!AM:AM)</f>
        <v>15</v>
      </c>
      <c r="AK21">
        <f>SUMIF(ConfirmedRaw!$B:$B,$A21,ConfirmedRaw!AN:AN)</f>
        <v>15</v>
      </c>
      <c r="AL21">
        <f>SUMIF(ConfirmedRaw!$B:$B,$A21,ConfirmedRaw!AO:AO)</f>
        <v>15</v>
      </c>
      <c r="AM21">
        <f>SUMIF(ConfirmedRaw!$B:$B,$A21,ConfirmedRaw!AP:AP)</f>
        <v>15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1549</v>
      </c>
      <c r="BK21">
        <f>SUMIF(ConfirmedRaw!$B:$B,$A21,ConfirmedRaw!BN:BN)</f>
        <v>1682</v>
      </c>
      <c r="BL21">
        <f>SUMIF(ConfirmedRaw!$B:$B,$A21,ConfirmedRaw!BO:BO)</f>
        <v>2044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509</v>
      </c>
      <c r="BL22">
        <f>SUMIF(ConfirmedRaw!$B:$B,$A22,ConfirmedRaw!BO:BO)</f>
        <v>558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1518</v>
      </c>
      <c r="BL23">
        <f>SUMIF(ConfirmedRaw!$B:$B,$A23,ConfirmedRaw!BO:BO)</f>
        <v>1624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1277</v>
      </c>
      <c r="BJ24">
        <f>SUMIF(ConfirmedRaw!$B:$B,$A24,ConfirmedRaw!BM:BM)</f>
        <v>1469</v>
      </c>
      <c r="BK24">
        <f>SUMIF(ConfirmedRaw!$B:$B,$A24,ConfirmedRaw!BN:BN)</f>
        <v>2088</v>
      </c>
      <c r="BL24">
        <f>SUMIF(ConfirmedRaw!$B:$B,$A24,ConfirmedRaw!BO:BO)</f>
        <v>2790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695</v>
      </c>
      <c r="BL25">
        <f>SUMIF(ConfirmedRaw!$B:$B,$A25,ConfirmedRaw!BO:BO)</f>
        <v>743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195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334</v>
      </c>
      <c r="BK26">
        <f>SUMIF(ConfirmedRaw!$B:$B,$A26,ConfirmedRaw!BN:BN)</f>
        <v>377</v>
      </c>
      <c r="BL26">
        <f>SUMIF(ConfirmedRaw!$B:$B,$A26,ConfirmedRaw!BO:BO)</f>
        <v>392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1071</v>
      </c>
      <c r="BK27">
        <f>SUMIF(ConfirmedRaw!$B:$B,$A27,ConfirmedRaw!BN:BN)</f>
        <v>1442</v>
      </c>
      <c r="BL27">
        <f>SUMIF(ConfirmedRaw!$B:$B,$A27,ConfirmedRaw!BO:BO)</f>
        <v>1930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700</v>
      </c>
      <c r="BL28">
        <f>SUMIF(ConfirmedRaw!$B:$B,$A28,ConfirmedRaw!BO:BO)</f>
        <v>792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1546</v>
      </c>
      <c r="BK29">
        <f>SUMIF(ConfirmedRaw!$B:$B,$A29,ConfirmedRaw!BN:BN)</f>
        <v>1924</v>
      </c>
      <c r="BL29">
        <f>SUMIF(ConfirmedRaw!$B:$B,$A29,ConfirmedRaw!BO:BO)</f>
        <v>2247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1236</v>
      </c>
      <c r="BL30">
        <f>SUMIF(ConfirmedRaw!$B:$B,$A30,ConfirmedRaw!BO:BO)</f>
        <v>1394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442</v>
      </c>
      <c r="BL31">
        <f>SUMIF(ConfirmedRaw!$B:$B,$A31,ConfirmedRaw!BO:BO)</f>
        <v>480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588</v>
      </c>
      <c r="BL32">
        <f>SUMIF(ConfirmedRaw!$B:$B,$A32,ConfirmedRaw!BO:BO)</f>
        <v>648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2060</v>
      </c>
      <c r="BL33">
        <f>SUMIF(ConfirmedRaw!$B:$B,$A33,ConfirmedRaw!BO:BO)</f>
        <v>2362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266</v>
      </c>
      <c r="BL34">
        <f>SUMIF(ConfirmedRaw!$B:$B,$A34,ConfirmedRaw!BO:BO)</f>
        <v>316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1125</v>
      </c>
      <c r="BL35">
        <f>SUMIF(ConfirmedRaw!$B:$B,$A35,ConfirmedRaw!BO:BO)</f>
        <v>1329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576</v>
      </c>
      <c r="BL36">
        <f>SUMIF(ConfirmedRaw!$B:$B,$A36,ConfirmedRaw!BO:BO)</f>
        <v>794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562</v>
      </c>
      <c r="BL37">
        <f>SUMIF(ConfirmedRaw!$B:$B,$A37,ConfirmedRaw!BO:BO)</f>
        <v>767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198</v>
      </c>
      <c r="BL38">
        <f>SUMIF(ConfirmedRaw!$B:$B,$A38,ConfirmedRaw!BO:BO)</f>
        <v>248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499</v>
      </c>
      <c r="BL39">
        <f>SUMIF(ConfirmedRaw!$B:$B,$A39,ConfirmedRaw!BO:BO)</f>
        <v>536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366</v>
      </c>
      <c r="BL40">
        <f>SUMIF(ConfirmedRaw!$B:$B,$A40,ConfirmedRaw!BO:BO)</f>
        <v>402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189</v>
      </c>
      <c r="BL41">
        <f>SUMIF(ConfirmedRaw!$B:$B,$A41,ConfirmedRaw!BO:BO)</f>
        <v>191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175</v>
      </c>
      <c r="BK42">
        <f>SUMIF(ConfirmedRaw!$B:$B,$A42,ConfirmedRaw!BN:BN)</f>
        <v>187</v>
      </c>
      <c r="BL42">
        <f>SUMIF(ConfirmedRaw!$B:$B,$A42,ConfirmedRaw!BO:BO)</f>
        <v>187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352</v>
      </c>
      <c r="BL43">
        <f>SUMIF(ConfirmedRaw!$B:$B,$A43,ConfirmedRaw!BO:BO)</f>
        <v>369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110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267</v>
      </c>
      <c r="BL44">
        <f>SUMIF(ConfirmedRaw!$B:$B,$A44,ConfirmedRaw!BO:BO)</f>
        <v>318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721</v>
      </c>
      <c r="BL45">
        <f>SUMIF(ConfirmedRaw!$B:$B,$A45,ConfirmedRaw!BO:BO)</f>
        <v>827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579</v>
      </c>
      <c r="BL46">
        <f>SUMIF(ConfirmedRaw!$B:$B,$A46,ConfirmedRaw!BO:BO)</f>
        <v>686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749</v>
      </c>
      <c r="BL47">
        <f>SUMIF(ConfirmedRaw!$B:$B,$A47,ConfirmedRaw!BO:BO)</f>
        <v>901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462</v>
      </c>
      <c r="BL48">
        <f>SUMIF(ConfirmedRaw!$B:$B,$A48,ConfirmedRaw!BO:BO)</f>
        <v>552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195</v>
      </c>
      <c r="BL49">
        <f>SUMIF(ConfirmedRaw!$B:$B,$A49,ConfirmedRaw!BO:BO)</f>
        <v>215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123</v>
      </c>
      <c r="BL50">
        <f>SUMIF(ConfirmedRaw!$B:$B,$A50,ConfirmedRaw!BO:BO)</f>
        <v>134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438</v>
      </c>
      <c r="BL51">
        <f>SUMIF(ConfirmedRaw!$B:$B,$A51,ConfirmedRaw!BO:BO)</f>
        <v>495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746</v>
      </c>
      <c r="BL52">
        <f>SUMIF(ConfirmedRaw!$B:$B,$A52,ConfirmedRaw!BO:BO)</f>
        <v>922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91</v>
      </c>
      <c r="BL53">
        <f>SUMIF(ConfirmedRaw!$B:$B,$A53,ConfirmedRaw!BO:BO)</f>
        <v>104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249</v>
      </c>
      <c r="BL54">
        <f>SUMIF(ConfirmedRaw!$B:$B,$A54,ConfirmedRaw!BO:BO)</f>
        <v>303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875</v>
      </c>
      <c r="BL55">
        <f>SUMIF(ConfirmedRaw!$B:$B,$A55,ConfirmedRaw!BO:BO)</f>
        <v>1099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104</v>
      </c>
      <c r="BL56">
        <f>SUMIF(ConfirmedRaw!$B:$B,$A56,ConfirmedRaw!BO:BO)</f>
        <v>123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315</v>
      </c>
      <c r="BL57">
        <f>SUMIF(ConfirmedRaw!$B:$B,$A57,ConfirmedRaw!BO:BO)</f>
        <v>382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186</v>
      </c>
      <c r="BL58">
        <f>SUMIF(ConfirmedRaw!$B:$B,$A58,ConfirmedRaw!BO:BO)</f>
        <v>204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266</v>
      </c>
      <c r="BK59">
        <f>SUMIF(ConfirmedRaw!$B:$B,$A59,ConfirmedRaw!BN:BN)</f>
        <v>301</v>
      </c>
      <c r="BL59">
        <f>SUMIF(ConfirmedRaw!$B:$B,$A59,ConfirmedRaw!BO:BO)</f>
        <v>387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875</v>
      </c>
      <c r="BL60">
        <f>SUMIF(ConfirmedRaw!$B:$B,$A60,ConfirmedRaw!BO:BO)</f>
        <v>972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395</v>
      </c>
      <c r="BL61">
        <f>SUMIF(ConfirmedRaw!$B:$B,$A61,ConfirmedRaw!BO:BO)</f>
        <v>416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81</v>
      </c>
      <c r="BL62">
        <f>SUMIF(ConfirmedRaw!$B:$B,$A62,ConfirmedRaw!BO:BO)</f>
        <v>81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313</v>
      </c>
      <c r="BK63">
        <f>SUMIF(ConfirmedRaw!$B:$B,$A63,ConfirmedRaw!BN:BN)</f>
        <v>345</v>
      </c>
      <c r="BL63">
        <f>SUMIF(ConfirmedRaw!$B:$B,$A63,ConfirmedRaw!BO:BO)</f>
        <v>345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230</v>
      </c>
      <c r="BL64">
        <f>SUMIF(ConfirmedRaw!$B:$B,$A64,ConfirmedRaw!BO:BO)</f>
        <v>264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61</v>
      </c>
      <c r="BL65">
        <f>SUMIF(ConfirmedRaw!$B:$B,$A65,ConfirmedRaw!BO:BO)</f>
        <v>70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402</v>
      </c>
      <c r="BL66">
        <f>SUMIF(ConfirmedRaw!$B:$B,$A66,ConfirmedRaw!BO:BO)</f>
        <v>554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201</v>
      </c>
      <c r="BL67">
        <f>SUMIF(ConfirmedRaw!$B:$B,$A67,ConfirmedRaw!BO:BO)</f>
        <v>218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158</v>
      </c>
      <c r="BL68">
        <f>SUMIF(ConfirmedRaw!$B:$B,$A68,ConfirmedRaw!BO:BO)</f>
        <v>177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167</v>
      </c>
      <c r="BL69">
        <f>SUMIF(ConfirmedRaw!$B:$B,$A69,ConfirmedRaw!BO:BO)</f>
        <v>187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66</v>
      </c>
      <c r="BL70">
        <f>SUMIF(ConfirmedRaw!$B:$B,$A70,ConfirmedRaw!BO:BO)</f>
        <v>84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981</v>
      </c>
      <c r="BL71">
        <f>SUMIF(ConfirmedRaw!$B:$B,$A71,ConfirmedRaw!BO:BO)</f>
        <v>1082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180</v>
      </c>
      <c r="BL72">
        <f>SUMIF(ConfirmedRaw!$B:$B,$A72,ConfirmedRaw!BO:BO)</f>
        <v>197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89</v>
      </c>
      <c r="BL73">
        <f>SUMIF(ConfirmedRaw!$B:$B,$A73,ConfirmedRaw!BO:BO)</f>
        <v>114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28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72</v>
      </c>
      <c r="BL74">
        <f>SUMIF(ConfirmedRaw!$B:$B,$A74,ConfirmedRaw!BO:BO)</f>
        <v>87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116</v>
      </c>
      <c r="BL75">
        <f>SUMIF(ConfirmedRaw!$B:$B,$A75,ConfirmedRaw!BO:BO)</f>
        <v>124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115</v>
      </c>
      <c r="BK76">
        <f>SUMIF(ConfirmedRaw!$B:$B,$A76,ConfirmedRaw!BN:BN)</f>
        <v>136</v>
      </c>
      <c r="BL76">
        <f>SUMIF(ConfirmedRaw!$B:$B,$A76,ConfirmedRaw!BO:BO)</f>
        <v>148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136</v>
      </c>
      <c r="BL77">
        <f>SUMIF(ConfirmedRaw!$B:$B,$A77,ConfirmedRaw!BO:BO)</f>
        <v>166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277</v>
      </c>
      <c r="BL78">
        <f>SUMIF(ConfirmedRaw!$B:$B,$A78,ConfirmedRaw!BO:BO)</f>
        <v>378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107</v>
      </c>
      <c r="BL79">
        <f>SUMIF(ConfirmedRaw!$B:$B,$A79,ConfirmedRaw!BO:BO)</f>
        <v>110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316</v>
      </c>
      <c r="BL80">
        <f>SUMIF(ConfirmedRaw!$B:$B,$A80,ConfirmedRaw!BO:BO)</f>
        <v>367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79</v>
      </c>
      <c r="BL81">
        <f>SUMIF(ConfirmedRaw!$B:$B,$A81,ConfirmedRaw!BO:BO)</f>
        <v>86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13</v>
      </c>
      <c r="BL82">
        <f>SUMIF(ConfirmedRaw!$B:$B,$A82,ConfirmedRaw!BO:BO)</f>
        <v>13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235</v>
      </c>
      <c r="BL83">
        <f>SUMIF(ConfirmedRaw!$B:$B,$A83,ConfirmedRaw!BO:BO)</f>
        <v>249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19</v>
      </c>
      <c r="BK84">
        <f>SUMIF(ConfirmedRaw!$B:$B,$A84,ConfirmedRaw!BN:BN)</f>
        <v>19</v>
      </c>
      <c r="BL84">
        <f>SUMIF(ConfirmedRaw!$B:$B,$A84,ConfirmedRaw!BO:BO)</f>
        <v>21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40</v>
      </c>
      <c r="BL85">
        <f>SUMIF(ConfirmedRaw!$B:$B,$A85,ConfirmedRaw!BO:BO)</f>
        <v>74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143</v>
      </c>
      <c r="BL86">
        <f>SUMIF(ConfirmedRaw!$B:$B,$A86,ConfirmedRaw!BO:BO)</f>
        <v>170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143</v>
      </c>
      <c r="BK87">
        <f>SUMIF(ConfirmedRaw!$B:$B,$A87,ConfirmedRaw!BN:BN)</f>
        <v>179</v>
      </c>
      <c r="BL87">
        <f>SUMIF(ConfirmedRaw!$B:$B,$A87,ConfirmedRaw!BO:BO)</f>
        <v>209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109</v>
      </c>
      <c r="BL88">
        <f>SUMIF(ConfirmedRaw!$B:$B,$A88,ConfirmedRaw!BO:BO)</f>
        <v>125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22</v>
      </c>
      <c r="BL89">
        <f>SUMIF(ConfirmedRaw!$B:$B,$A89,ConfirmedRaw!BO:BO)</f>
        <v>27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97</v>
      </c>
      <c r="BL90">
        <f>SUMIF(ConfirmedRaw!$B:$B,$A90,ConfirmedRaw!BO:BO)</f>
        <v>102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87</v>
      </c>
      <c r="BL91">
        <f>SUMIF(ConfirmedRaw!$B:$B,$A91,ConfirmedRaw!BO:BO)</f>
        <v>91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245</v>
      </c>
      <c r="BL92">
        <f>SUMIF(ConfirmedRaw!$B:$B,$A92,ConfirmedRaw!BO:BO)</f>
        <v>312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102</v>
      </c>
      <c r="BK94">
        <f>SUMIF(ConfirmedRaw!$B:$B,$A94,ConfirmedRaw!BN:BN)</f>
        <v>102</v>
      </c>
      <c r="BL94">
        <f>SUMIF(ConfirmedRaw!$B:$B,$A94,ConfirmedRaw!BO:BO)</f>
        <v>155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1529</v>
      </c>
      <c r="BL96">
        <f>SUMIF(ConfirmedRaw!$B:$B,$A96,ConfirmedRaw!BO:BO)</f>
        <v>1872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40</v>
      </c>
      <c r="BL97">
        <f>SUMIF(ConfirmedRaw!$B:$B,$A97,ConfirmedRaw!BO:BO)</f>
        <v>48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62</v>
      </c>
      <c r="BL98">
        <f>SUMIF(ConfirmedRaw!$B:$B,$A98,ConfirmedRaw!BO:BO)</f>
        <v>72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33</v>
      </c>
      <c r="BL99">
        <f>SUMIF(ConfirmedRaw!$B:$B,$A99,ConfirmedRaw!BO:BO)</f>
        <v>39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27</v>
      </c>
      <c r="BL100">
        <f>SUMIF(ConfirmedRaw!$B:$B,$A100,ConfirmedRaw!BO:BO)</f>
        <v>29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0</v>
      </c>
      <c r="AV101">
        <f>SUMIF(ConfirmedRaw!$B:$B,$A101,ConfirmedRaw!AY:AY)</f>
        <v>0</v>
      </c>
      <c r="AW101">
        <f>SUMIF(ConfirmedRaw!$B:$B,$A101,ConfirmedRaw!AZ:AZ)</f>
        <v>0</v>
      </c>
      <c r="AX101">
        <f>SUMIF(ConfirmedRaw!$B:$B,$A101,ConfirmedRaw!BA:BA)</f>
        <v>0</v>
      </c>
      <c r="AY101">
        <f>SUMIF(ConfirmedRaw!$B:$B,$A101,ConfirmedRaw!BB:BB)</f>
        <v>0</v>
      </c>
      <c r="AZ101">
        <f>SUMIF(ConfirmedRaw!$B:$B,$A101,ConfirmedRaw!BC:BC)</f>
        <v>0</v>
      </c>
      <c r="BA101">
        <f>SUMIF(ConfirmedRaw!$B:$B,$A101,ConfirmedRaw!BD:BD)</f>
        <v>0</v>
      </c>
      <c r="BB101">
        <f>SUMIF(ConfirmedRaw!$B:$B,$A101,ConfirmedRaw!BE:BE)</f>
        <v>0</v>
      </c>
      <c r="BC101">
        <f>SUMIF(ConfirmedRaw!$B:$B,$A101,ConfirmedRaw!BF:BF)</f>
        <v>0</v>
      </c>
      <c r="BD101">
        <f>SUMIF(ConfirmedRaw!$B:$B,$A101,ConfirmedRaw!BG:BG)</f>
        <v>0</v>
      </c>
      <c r="BE101">
        <f>SUMIF(ConfirmedRaw!$B:$B,$A101,ConfirmedRaw!BH:BH)</f>
        <v>0</v>
      </c>
      <c r="BF101">
        <f>SUMIF(ConfirmedRaw!$B:$B,$A101,ConfirmedRaw!BI:BI)</f>
        <v>0</v>
      </c>
      <c r="BG101">
        <f>SUMIF(ConfirmedRaw!$B:$B,$A101,ConfirmedRaw!BJ:BJ)</f>
        <v>0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73</v>
      </c>
      <c r="BL102">
        <f>SUMIF(ConfirmedRaw!$B:$B,$A102,ConfirmedRaw!BO:BO)</f>
        <v>97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99</v>
      </c>
      <c r="BL104">
        <f>SUMIF(ConfirmedRaw!$B:$B,$A104,ConfirmedRaw!BO:BO)</f>
        <v>114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56</v>
      </c>
      <c r="BL105">
        <f>SUMIF(ConfirmedRaw!$B:$B,$A105,ConfirmedRaw!BO:BO)</f>
        <v>66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36</v>
      </c>
      <c r="BL106">
        <f>SUMIF(ConfirmedRaw!$B:$B,$A106,ConfirmedRaw!BO:BO)</f>
        <v>45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30</v>
      </c>
      <c r="BL107">
        <f>SUMIF(ConfirmedRaw!$B:$B,$A107,ConfirmedRaw!BO:BO)</f>
        <v>30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23</v>
      </c>
      <c r="BL108">
        <f>SUMIF(ConfirmedRaw!$B:$B,$A108,ConfirmedRaw!BO:BO)</f>
        <v>23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40</v>
      </c>
      <c r="BL109">
        <f>SUMIF(ConfirmedRaw!$B:$B,$A109,ConfirmedRaw!BO:BO)</f>
        <v>44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133</v>
      </c>
      <c r="BL110">
        <f>SUMIF(ConfirmedRaw!$B:$B,$A110,ConfirmedRaw!BO:BO)</f>
        <v>164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3</v>
      </c>
      <c r="BL111">
        <f>SUMIF(ConfirmedRaw!$B:$B,$A111,ConfirmedRaw!BO:BO)</f>
        <v>3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2</v>
      </c>
      <c r="BL112">
        <f>SUMIF(ConfirmedRaw!$B:$B,$A112,ConfirmedRaw!BO:BO)</f>
        <v>2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25</v>
      </c>
      <c r="BL114">
        <f>SUMIF(ConfirmedRaw!$B:$B,$A114,ConfirmedRaw!BO:BO)</f>
        <v>73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11</v>
      </c>
      <c r="BL115">
        <f>SUMIF(ConfirmedRaw!$B:$B,$A115,ConfirmedRaw!BO:BO)</f>
        <v>12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4</v>
      </c>
      <c r="BL117">
        <f>SUMIF(ConfirmedRaw!$B:$B,$A117,ConfirmedRaw!BO:BO)</f>
        <v>4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19</v>
      </c>
      <c r="BK118">
        <f>SUMIF(ConfirmedRaw!$B:$B,$A118,ConfirmedRaw!BN:BN)</f>
        <v>20</v>
      </c>
      <c r="BL118">
        <f>SUMIF(ConfirmedRaw!$B:$B,$A118,ConfirmedRaw!BO:BO)</f>
        <v>5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1</v>
      </c>
      <c r="BL119">
        <f>SUMIF(ConfirmedRaw!$B:$B,$A119,ConfirmedRaw!BO:BO)</f>
        <v>4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127</v>
      </c>
      <c r="BL120">
        <f>SUMIF(ConfirmedRaw!$B:$B,$A120,ConfirmedRaw!BO:BO)</f>
        <v>154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16</v>
      </c>
      <c r="BL121">
        <f>SUMIF(ConfirmedRaw!$B:$B,$A121,ConfirmedRaw!BO:BO)</f>
        <v>25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51</v>
      </c>
      <c r="BL122">
        <f>SUMIF(ConfirmedRaw!$B:$B,$A122,ConfirmedRaw!BO:BO)</f>
        <v>51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10</v>
      </c>
      <c r="BL123">
        <f>SUMIF(ConfirmedRaw!$B:$B,$A123,ConfirmedRaw!BO:BO)</f>
        <v>10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1</v>
      </c>
      <c r="BK124">
        <f>SUMIF(ConfirmedRaw!$B:$B,$A124,ConfirmedRaw!BN:BN)</f>
        <v>2</v>
      </c>
      <c r="BL124">
        <f>SUMIF(ConfirmedRaw!$B:$B,$A124,ConfirmedRaw!BO:BO)</f>
        <v>2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2</v>
      </c>
      <c r="BL125">
        <f>SUMIF(ConfirmedRaw!$B:$B,$A125,ConfirmedRaw!BO:BO)</f>
        <v>3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18</v>
      </c>
      <c r="BL126">
        <f>SUMIF(ConfirmedRaw!$B:$B,$A126,ConfirmedRaw!BO:BO)</f>
        <v>20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5799</v>
      </c>
      <c r="BK2">
        <f>CumulativeConfirmed!BK2-CumulativeRecovered!BK2-CumulativeDead!BK2</f>
        <v>5410</v>
      </c>
      <c r="BL2">
        <f>CumulativeConfirmed!BL2-CumulativeRecovered!BL2-CumulativeDead!BL2</f>
        <v>78310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13052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50826</v>
      </c>
      <c r="BL3">
        <f>CumulativeConfirmed!BL3-CumulativeRecovered!BL3-CumulativeDead!BL3</f>
        <v>62356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13306</v>
      </c>
      <c r="BL4">
        <f>CumulativeConfirmed!BL4-CumulativeRecovered!BL4-CumulativeDead!BL4</f>
        <v>22877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5941</v>
      </c>
      <c r="BK5">
        <f>CumulativeConfirmed!BK5-CumulativeRecovered!BK5-CumulativeDead!BK5</f>
        <v>5941</v>
      </c>
      <c r="BL5">
        <f>CumulativeConfirmed!BL5-CumulativeRecovered!BL5-CumulativeDead!BL5</f>
        <v>8917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2877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30250</v>
      </c>
      <c r="BL6">
        <f>CumulativeConfirmed!BL6-CumulativeRecovered!BL6-CumulativeDead!BL6</f>
        <v>37077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28667</v>
      </c>
      <c r="BL7">
        <f>CumulativeConfirmed!BL7-CumulativeRecovered!BL7-CumulativeDead!BL7</f>
        <v>32829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936</v>
      </c>
      <c r="AV8">
        <f>CumulativeConfirmed!AV8-CumulativeRecovered!AV8-CumulativeDead!AV8</f>
        <v>1105</v>
      </c>
      <c r="AW8">
        <f>CumulativeConfirmed!AW8-CumulativeRecovered!AW8-CumulativeDead!AW8</f>
        <v>1188</v>
      </c>
      <c r="AX8">
        <f>CumulativeConfirmed!AX8-CumulativeRecovered!AX8-CumulativeDead!AX8</f>
        <v>1749</v>
      </c>
      <c r="AY8">
        <f>CumulativeConfirmed!AY8-CumulativeRecovered!AY8-CumulativeDead!AY8</f>
        <v>2233</v>
      </c>
      <c r="AZ8">
        <f>CumulativeConfirmed!AZ8-CumulativeRecovered!AZ8-CumulativeDead!AZ8</f>
        <v>2233</v>
      </c>
      <c r="BA8">
        <f>CumulativeConfirmed!BA8-CumulativeRecovered!BA8-CumulativeDead!BA8</f>
        <v>3590</v>
      </c>
      <c r="BB8">
        <f>CumulativeConfirmed!BB8-CumulativeRecovered!BB8-CumulativeDead!BB8</f>
        <v>4393</v>
      </c>
      <c r="BC8">
        <f>CumulativeConfirmed!BC8-CumulativeRecovered!BC8-CumulativeDead!BC8</f>
        <v>4429</v>
      </c>
      <c r="BD8">
        <f>CumulativeConfirmed!BD8-CumulativeRecovered!BD8-CumulativeDead!BD8</f>
        <v>6522</v>
      </c>
      <c r="BE8">
        <f>CumulativeConfirmed!BE8-CumulativeRecovered!BE8-CumulativeDead!BE8</f>
        <v>7528</v>
      </c>
      <c r="BF8">
        <f>CumulativeConfirmed!BF8-CumulativeRecovered!BF8-CumulativeDead!BF8</f>
        <v>8848</v>
      </c>
      <c r="BG8">
        <f>CumulativeConfirmed!BG8-CumulativeRecovered!BG8-CumulativeDead!BG8</f>
        <v>10586</v>
      </c>
      <c r="BH8">
        <f>CumulativeConfirmed!BH8-CumulativeRecovered!BH8-CumulativeDead!BH8</f>
        <v>12295</v>
      </c>
      <c r="BI8">
        <f>CumulativeConfirmed!BI8-CumulativeRecovered!BI8-CumulativeDead!BI8</f>
        <v>13888</v>
      </c>
      <c r="BJ8">
        <f>CumulativeConfirmed!BJ8-CumulativeRecovered!BJ8-CumulativeDead!BJ8</f>
        <v>13361</v>
      </c>
      <c r="BK8">
        <f>CumulativeConfirmed!BK8-CumulativeRecovered!BK8-CumulativeDead!BK8</f>
        <v>17061</v>
      </c>
      <c r="BL8">
        <f>CumulativeConfirmed!BL8-CumulativeRecovered!BL8-CumulativeDead!BL8</f>
        <v>21520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32859</v>
      </c>
      <c r="BK9">
        <f>CumulativeConfirmed!BK9-CumulativeRecovered!BK9-CumulativeDead!BK9</f>
        <v>43112</v>
      </c>
      <c r="BL9">
        <f>CumulativeConfirmed!BL9-CumulativeRecovered!BL9-CumulativeDead!BL9</f>
        <v>53034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7245</v>
      </c>
      <c r="BK10">
        <f>CumulativeConfirmed!BK10-CumulativeRecovered!BK10-CumulativeDead!BK10</f>
        <v>8544</v>
      </c>
      <c r="BL10">
        <f>CumulativeConfirmed!BL10-CumulativeRecovered!BL10-CumulativeDead!BL10</f>
        <v>9755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2377</v>
      </c>
      <c r="BK11">
        <f>CumulativeConfirmed!BK11-CumulativeRecovered!BK11-CumulativeDead!BK11</f>
        <v>2610</v>
      </c>
      <c r="BL11">
        <f>CumulativeConfirmed!BL11-CumulativeRecovered!BL11-CumulativeDead!BL11</f>
        <v>2851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2005</v>
      </c>
      <c r="BL12">
        <f>CumulativeConfirmed!BL12-CumulativeRecovered!BL12-CumulativeDead!BL12</f>
        <v>2250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1547</v>
      </c>
      <c r="BL13">
        <f>CumulativeConfirmed!BL13-CumulativeRecovered!BL13-CumulativeDead!BL13</f>
        <v>1686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4035</v>
      </c>
      <c r="BK14">
        <f>CumulativeConfirmed!BK14-CumulativeRecovered!BK14-CumulativeDead!BK14</f>
        <v>4548</v>
      </c>
      <c r="BL14">
        <f>CumulativeConfirmed!BL14-CumulativeRecovered!BL14-CumulativeDead!BL14</f>
        <v>5303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561</v>
      </c>
      <c r="BA15">
        <f>CumulativeConfirmed!BA15-CumulativeRecovered!BA15-CumulativeDead!BA15</f>
        <v>772</v>
      </c>
      <c r="BB15">
        <f>CumulativeConfirmed!BB15-CumulativeRecovered!BB15-CumulativeDead!BB15</f>
        <v>1104</v>
      </c>
      <c r="BC15">
        <f>CumulativeConfirmed!BC15-CumulativeRecovered!BC15-CumulativeDead!BC15</f>
        <v>1301</v>
      </c>
      <c r="BD15">
        <f>CumulativeConfirmed!BD15-CumulativeRecovered!BD15-CumulativeDead!BD15</f>
        <v>1474</v>
      </c>
      <c r="BE15">
        <f>CumulativeConfirmed!BE15-CumulativeRecovered!BE15-CumulativeDead!BE15</f>
        <v>1836</v>
      </c>
      <c r="BF15">
        <f>CumulativeConfirmed!BF15-CumulativeRecovered!BF15-CumulativeDead!BF15</f>
        <v>2471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5396</v>
      </c>
      <c r="BK15">
        <f>CumulativeConfirmed!BK15-CumulativeRecovered!BK15-CumulativeDead!BK15</f>
        <v>6323</v>
      </c>
      <c r="BL15">
        <f>CumulativeConfirmed!BL15-CumulativeRecovered!BL15-CumulativeDead!BL15</f>
        <v>7741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2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21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668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825</v>
      </c>
      <c r="BK16">
        <f>CumulativeConfirmed!BK16-CumulativeRecovered!BK16-CumulativeDead!BK16</f>
        <v>851</v>
      </c>
      <c r="BL16">
        <f>CumulativeConfirmed!BL16-CumulativeRecovered!BL16-CumulativeDead!BL16</f>
        <v>1150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0</v>
      </c>
      <c r="S17">
        <f>CumulativeConfirmed!S17-CumulativeRecovered!S17-CumulativeDead!S17</f>
        <v>0</v>
      </c>
      <c r="T17">
        <f>CumulativeConfirmed!T17-CumulativeRecovered!T17-CumulativeDead!T17</f>
        <v>0</v>
      </c>
      <c r="U17">
        <f>CumulativeConfirmed!U17-CumulativeRecovered!U17-CumulativeDead!U17</f>
        <v>0</v>
      </c>
      <c r="V17">
        <f>CumulativeConfirmed!V17-CumulativeRecovered!V17-CumulativeDead!V17</f>
        <v>0</v>
      </c>
      <c r="W17">
        <f>CumulativeConfirmed!W17-CumulativeRecovered!W17-CumulativeDead!W17</f>
        <v>0</v>
      </c>
      <c r="X17">
        <f>CumulativeConfirmed!X17-CumulativeRecovered!X17-CumulativeDead!X17</f>
        <v>0</v>
      </c>
      <c r="Y17">
        <f>CumulativeConfirmed!Y17-CumulativeRecovered!Y17-CumulativeDead!Y17</f>
        <v>0</v>
      </c>
      <c r="Z17">
        <f>CumulativeConfirmed!Z17-CumulativeRecovered!Z17-CumulativeDead!Z17</f>
        <v>0</v>
      </c>
      <c r="AA17">
        <f>CumulativeConfirmed!AA17-CumulativeRecovered!AA17-CumulativeDead!AA17</f>
        <v>0</v>
      </c>
      <c r="AB17">
        <f>CumulativeConfirmed!AB17-CumulativeRecovered!AB17-CumulativeDead!AB17</f>
        <v>0</v>
      </c>
      <c r="AC17">
        <f>CumulativeConfirmed!AC17-CumulativeRecovered!AC17-CumulativeDead!AC17</f>
        <v>0</v>
      </c>
      <c r="AD17">
        <f>CumulativeConfirmed!AD17-CumulativeRecovered!AD17-CumulativeDead!AD17</f>
        <v>-1</v>
      </c>
      <c r="AE17">
        <f>CumulativeConfirmed!AE17-CumulativeRecovered!AE17-CumulativeDead!AE17</f>
        <v>-1</v>
      </c>
      <c r="AF17">
        <f>CumulativeConfirmed!AF17-CumulativeRecovered!AF17-CumulativeDead!AF17</f>
        <v>-1</v>
      </c>
      <c r="AG17">
        <f>CumulativeConfirmed!AG17-CumulativeRecovered!AG17-CumulativeDead!AG17</f>
        <v>-1</v>
      </c>
      <c r="AH17">
        <f>CumulativeConfirmed!AH17-CumulativeRecovered!AH17-CumulativeDead!AH17</f>
        <v>0</v>
      </c>
      <c r="AI17">
        <f>CumulativeConfirmed!AI17-CumulativeRecovered!AI17-CumulativeDead!AI17</f>
        <v>0</v>
      </c>
      <c r="AJ17">
        <f>CumulativeConfirmed!AJ17-CumulativeRecovered!AJ17-CumulativeDead!AJ17</f>
        <v>0</v>
      </c>
      <c r="AK17">
        <f>CumulativeConfirmed!AK17-CumulativeRecovered!AK17-CumulativeDead!AK17</f>
        <v>-10</v>
      </c>
      <c r="AL17">
        <f>CumulativeConfirmed!AL17-CumulativeRecovered!AL17-CumulativeDead!AL17</f>
        <v>-10</v>
      </c>
      <c r="AM17">
        <f>CumulativeConfirmed!AM17-CumulativeRecovered!AM17-CumulativeDead!AM17</f>
        <v>-10</v>
      </c>
      <c r="AN17">
        <f>CumulativeConfirmed!AN17-CumulativeRecovered!AN17-CumulativeDead!AN17</f>
        <v>-10</v>
      </c>
      <c r="AO17">
        <f>CumulativeConfirmed!AO17-CumulativeRecovered!AO17-CumulativeDead!AO17</f>
        <v>-10</v>
      </c>
      <c r="AP17">
        <f>CumulativeConfirmed!AP17-CumulativeRecovered!AP17-CumulativeDead!AP17</f>
        <v>-10</v>
      </c>
      <c r="AQ17">
        <f>CumulativeConfirmed!AQ17-CumulativeRecovered!AQ17-CumulativeDead!AQ17</f>
        <v>-10</v>
      </c>
      <c r="AR17">
        <f>CumulativeConfirmed!AR17-CumulativeRecovered!AR17-CumulativeDead!AR17</f>
        <v>-10</v>
      </c>
      <c r="AS17">
        <f>CumulativeConfirmed!AS17-CumulativeRecovered!AS17-CumulativeDead!AS17</f>
        <v>-10</v>
      </c>
      <c r="AT17">
        <f>CumulativeConfirmed!AT17-CumulativeRecovered!AT17-CumulativeDead!AT17</f>
        <v>-40</v>
      </c>
      <c r="AU17">
        <f>CumulativeConfirmed!AU17-CumulativeRecovered!AU17-CumulativeDead!AU17</f>
        <v>-40</v>
      </c>
      <c r="AV17">
        <f>CumulativeConfirmed!AV17-CumulativeRecovered!AV17-CumulativeDead!AV17</f>
        <v>-40</v>
      </c>
      <c r="AW17">
        <f>CumulativeConfirmed!AW17-CumulativeRecovered!AW17-CumulativeDead!AW17</f>
        <v>-40</v>
      </c>
      <c r="AX17">
        <f>CumulativeConfirmed!AX17-CumulativeRecovered!AX17-CumulativeDead!AX17</f>
        <v>-40</v>
      </c>
      <c r="AY17">
        <f>CumulativeConfirmed!AY17-CumulativeRecovered!AY17-CumulativeDead!AY17</f>
        <v>-325</v>
      </c>
      <c r="AZ17">
        <f>CumulativeConfirmed!AZ17-CumulativeRecovered!AZ17-CumulativeDead!AZ17</f>
        <v>-325</v>
      </c>
      <c r="BA17">
        <f>CumulativeConfirmed!BA17-CumulativeRecovered!BA17-CumulativeDead!BA17</f>
        <v>-325</v>
      </c>
      <c r="BB17">
        <f>CumulativeConfirmed!BB17-CumulativeRecovered!BB17-CumulativeDead!BB17</f>
        <v>-325</v>
      </c>
      <c r="BC17">
        <f>CumulativeConfirmed!BC17-CumulativeRecovered!BC17-CumulativeDead!BC17</f>
        <v>-325</v>
      </c>
      <c r="BD17">
        <f>CumulativeConfirmed!BD17-CumulativeRecovered!BD17-CumulativeDead!BD17</f>
        <v>-325</v>
      </c>
      <c r="BE17">
        <f>CumulativeConfirmed!BE17-CumulativeRecovered!BE17-CumulativeDead!BE17</f>
        <v>-325</v>
      </c>
      <c r="BF17">
        <f>CumulativeConfirmed!BF17-CumulativeRecovered!BF17-CumulativeDead!BF17</f>
        <v>-325</v>
      </c>
      <c r="BG17">
        <f>CumulativeConfirmed!BG17-CumulativeRecovered!BG17-CumulativeDead!BG17</f>
        <v>-325</v>
      </c>
      <c r="BH17">
        <f>CumulativeConfirmed!BH17-CumulativeRecovered!BH17-CumulativeDead!BH17</f>
        <v>-325</v>
      </c>
      <c r="BI17">
        <f>CumulativeConfirmed!BI17-CumulativeRecovered!BI17-CumulativeDead!BI17</f>
        <v>-325</v>
      </c>
      <c r="BJ17">
        <f>CumulativeConfirmed!BJ17-CumulativeRecovered!BJ17-CumulativeDead!BJ17</f>
        <v>-325</v>
      </c>
      <c r="BK17">
        <f>CumulativeConfirmed!BK17-CumulativeRecovered!BK17-CumulativeDead!BK17</f>
        <v>-325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3392</v>
      </c>
      <c r="BL18">
        <f>CumulativeConfirmed!BL18-CumulativeRecovered!BL18-CumulativeDead!BL18</f>
        <v>4147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3557</v>
      </c>
      <c r="BK19">
        <f>CumulativeConfirmed!BK19-CumulativeRecovered!BK19-CumulativeDead!BK19</f>
        <v>4444</v>
      </c>
      <c r="BL19">
        <f>CumulativeConfirmed!BL19-CumulativeRecovered!BL19-CumulativeDead!BL19</f>
        <v>5255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468</v>
      </c>
      <c r="BL20">
        <f>CumulativeConfirmed!BL20-CumulativeRecovered!BL20-CumulativeDead!BL20</f>
        <v>526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4</v>
      </c>
      <c r="AG21">
        <f>CumulativeConfirmed!AG21-CumulativeRecovered!AG21-CumulativeDead!AG21</f>
        <v>4</v>
      </c>
      <c r="AH21">
        <f>CumulativeConfirmed!AH21-CumulativeRecovered!AH21-CumulativeDead!AH21</f>
        <v>4</v>
      </c>
      <c r="AI21">
        <f>CumulativeConfirmed!AI21-CumulativeRecovered!AI21-CumulativeDead!AI21</f>
        <v>4</v>
      </c>
      <c r="AJ21">
        <f>CumulativeConfirmed!AJ21-CumulativeRecovered!AJ21-CumulativeDead!AJ21</f>
        <v>4</v>
      </c>
      <c r="AK21">
        <f>CumulativeConfirmed!AK21-CumulativeRecovered!AK21-CumulativeDead!AK21</f>
        <v>4</v>
      </c>
      <c r="AL21">
        <f>CumulativeConfirmed!AL21-CumulativeRecovered!AL21-CumulativeDead!AL21</f>
        <v>4</v>
      </c>
      <c r="AM21">
        <f>CumulativeConfirmed!AM21-CumulativeRecovered!AM21-CumulativeDead!AM21</f>
        <v>4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1454</v>
      </c>
      <c r="BK21">
        <f>CumulativeConfirmed!BK21-CumulativeRecovered!BK21-CumulativeDead!BK21</f>
        <v>1587</v>
      </c>
      <c r="BL21">
        <f>CumulativeConfirmed!BL21-CumulativeRecovered!BL21-CumulativeDead!BL21</f>
        <v>2036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363</v>
      </c>
      <c r="BL22">
        <f>CumulativeConfirmed!BL22-CumulativeRecovered!BL22-CumulativeDead!BL22</f>
        <v>556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1365</v>
      </c>
      <c r="BL23">
        <f>CumulativeConfirmed!BL23-CumulativeRecovered!BL23-CumulativeDead!BL23</f>
        <v>1608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1248</v>
      </c>
      <c r="BJ24">
        <f>CumulativeConfirmed!BJ24-CumulativeRecovered!BJ24-CumulativeDead!BJ24</f>
        <v>1438</v>
      </c>
      <c r="BK24">
        <f>CumulativeConfirmed!BK24-CumulativeRecovered!BK24-CumulativeDead!BK24</f>
        <v>2053</v>
      </c>
      <c r="BL24">
        <f>CumulativeConfirmed!BL24-CumulativeRecovered!BL24-CumulativeDead!BL24</f>
        <v>2764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659</v>
      </c>
      <c r="BL25">
        <f>CumulativeConfirmed!BL25-CumulativeRecovered!BL25-CumulativeDead!BL25</f>
        <v>723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151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183</v>
      </c>
      <c r="BK26">
        <f>CumulativeConfirmed!BK26-CumulativeRecovered!BK26-CumulativeDead!BK26</f>
        <v>226</v>
      </c>
      <c r="BL26">
        <f>CumulativeConfirmed!BL26-CumulativeRecovered!BL26-CumulativeDead!BL26</f>
        <v>389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1033</v>
      </c>
      <c r="BK27">
        <f>CumulativeConfirmed!BK27-CumulativeRecovered!BK27-CumulativeDead!BK27</f>
        <v>1404</v>
      </c>
      <c r="BL27">
        <f>CumulativeConfirmed!BL27-CumulativeRecovered!BL27-CumulativeDead!BL27</f>
        <v>1927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689</v>
      </c>
      <c r="BL28">
        <f>CumulativeConfirmed!BL28-CumulativeRecovered!BL28-CumulativeDead!BL28</f>
        <v>791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1519</v>
      </c>
      <c r="BK29">
        <f>CumulativeConfirmed!BK29-CumulativeRecovered!BK29-CumulativeDead!BK29</f>
        <v>1888</v>
      </c>
      <c r="BL29">
        <f>CumulativeConfirmed!BL29-CumulativeRecovered!BL29-CumulativeDead!BL29</f>
        <v>2201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1229</v>
      </c>
      <c r="BL30">
        <f>CumulativeConfirmed!BL30-CumulativeRecovered!BL30-CumulativeDead!BL30</f>
        <v>1391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439</v>
      </c>
      <c r="BL31">
        <f>CumulativeConfirmed!BL31-CumulativeRecovered!BL31-CumulativeDead!BL31</f>
        <v>476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551</v>
      </c>
      <c r="BL32">
        <f>CumulativeConfirmed!BL32-CumulativeRecovered!BL32-CumulativeDead!BL32</f>
        <v>646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2032</v>
      </c>
      <c r="BL33">
        <f>CumulativeConfirmed!BL33-CumulativeRecovered!BL33-CumulativeDead!BL33</f>
        <v>2329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186</v>
      </c>
      <c r="BL34">
        <f>CumulativeConfirmed!BL34-CumulativeRecovered!BL34-CumulativeDead!BL34</f>
        <v>289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1114</v>
      </c>
      <c r="BL35">
        <f>CumulativeConfirmed!BL35-CumulativeRecovered!BL35-CumulativeDead!BL35</f>
        <v>1322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505</v>
      </c>
      <c r="BL36">
        <f>CumulativeConfirmed!BL36-CumulativeRecovered!BL36-CumulativeDead!BL36</f>
        <v>783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546</v>
      </c>
      <c r="BL37">
        <f>CumulativeConfirmed!BL37-CumulativeRecovered!BL37-CumulativeDead!BL37</f>
        <v>766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158</v>
      </c>
      <c r="BL38">
        <f>CumulativeConfirmed!BL38-CumulativeRecovered!BL38-CumulativeDead!BL38</f>
        <v>246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462</v>
      </c>
      <c r="BL39">
        <f>CumulativeConfirmed!BL39-CumulativeRecovered!BL39-CumulativeDead!BL39</f>
        <v>526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291</v>
      </c>
      <c r="BL40">
        <f>CumulativeConfirmed!BL40-CumulativeRecovered!BL40-CumulativeDead!BL40</f>
        <v>382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162</v>
      </c>
      <c r="BL41">
        <f>CumulativeConfirmed!BL41-CumulativeRecovered!BL41-CumulativeDead!BL41</f>
        <v>191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151</v>
      </c>
      <c r="BK42">
        <f>CumulativeConfirmed!BK42-CumulativeRecovered!BK42-CumulativeDead!BK42</f>
        <v>163</v>
      </c>
      <c r="BL42">
        <f>CumulativeConfirmed!BL42-CumulativeRecovered!BL42-CumulativeDead!BL42</f>
        <v>166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350</v>
      </c>
      <c r="BL43">
        <f>CumulativeConfirmed!BL43-CumulativeRecovered!BL43-CumulativeDead!BL43</f>
        <v>369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106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255</v>
      </c>
      <c r="BL44">
        <f>CumulativeConfirmed!BL44-CumulativeRecovered!BL44-CumulativeDead!BL44</f>
        <v>314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676</v>
      </c>
      <c r="BL45">
        <f>CumulativeConfirmed!BL45-CumulativeRecovered!BL45-CumulativeDead!BL45</f>
        <v>823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501</v>
      </c>
      <c r="BL46">
        <f>CumulativeConfirmed!BL46-CumulativeRecovered!BL46-CumulativeDead!BL46</f>
        <v>631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740</v>
      </c>
      <c r="BL47">
        <f>CumulativeConfirmed!BL47-CumulativeRecovered!BL47-CumulativeDead!BL47</f>
        <v>891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412</v>
      </c>
      <c r="BL48">
        <f>CumulativeConfirmed!BL48-CumulativeRecovered!BL48-CumulativeDead!BL48</f>
        <v>517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165</v>
      </c>
      <c r="BL49">
        <f>CumulativeConfirmed!BL49-CumulativeRecovered!BL49-CumulativeDead!BL49</f>
        <v>213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106</v>
      </c>
      <c r="BL50">
        <f>CumulativeConfirmed!BL50-CumulativeRecovered!BL50-CumulativeDead!BL50</f>
        <v>134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350</v>
      </c>
      <c r="BK51">
        <f>CumulativeConfirmed!BK51-CumulativeRecovered!BK51-CumulativeDead!BK51</f>
        <v>421</v>
      </c>
      <c r="BL51">
        <f>CumulativeConfirmed!BL51-CumulativeRecovered!BL51-CumulativeDead!BL51</f>
        <v>494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736</v>
      </c>
      <c r="BL52">
        <f>CumulativeConfirmed!BL52-CumulativeRecovered!BL52-CumulativeDead!BL52</f>
        <v>920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89</v>
      </c>
      <c r="BL53">
        <f>CumulativeConfirmed!BL53-CumulativeRecovered!BL53-CumulativeDead!BL53</f>
        <v>104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245</v>
      </c>
      <c r="BL54">
        <f>CumulativeConfirmed!BL54-CumulativeRecovered!BL54-CumulativeDead!BL54</f>
        <v>300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861</v>
      </c>
      <c r="BL55">
        <f>CumulativeConfirmed!BL55-CumulativeRecovered!BL55-CumulativeDead!BL55</f>
        <v>1091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98</v>
      </c>
      <c r="BL56">
        <f>CumulativeConfirmed!BL56-CumulativeRecovered!BL56-CumulativeDead!BL56</f>
        <v>118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309</v>
      </c>
      <c r="BL57">
        <f>CumulativeConfirmed!BL57-CumulativeRecovered!BL57-CumulativeDead!BL57</f>
        <v>381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178</v>
      </c>
      <c r="BK58">
        <f>CumulativeConfirmed!BK58-CumulativeRecovered!BK58-CumulativeDead!BK58</f>
        <v>179</v>
      </c>
      <c r="BL58">
        <f>CumulativeConfirmed!BL58-CumulativeRecovered!BL58-CumulativeDead!BL58</f>
        <v>204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259</v>
      </c>
      <c r="BK59">
        <f>CumulativeConfirmed!BK59-CumulativeRecovered!BK59-CumulativeDead!BK59</f>
        <v>294</v>
      </c>
      <c r="BL59">
        <f>CumulativeConfirmed!BL59-CumulativeRecovered!BL59-CumulativeDead!BL59</f>
        <v>381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864</v>
      </c>
      <c r="BL60">
        <f>CumulativeConfirmed!BL60-CumulativeRecovered!BL60-CumulativeDead!BL60</f>
        <v>965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389</v>
      </c>
      <c r="BL61">
        <f>CumulativeConfirmed!BL61-CumulativeRecovered!BL61-CumulativeDead!BL61</f>
        <v>409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66</v>
      </c>
      <c r="BL62">
        <f>CumulativeConfirmed!BL62-CumulativeRecovered!BL62-CumulativeDead!BL62</f>
        <v>81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310</v>
      </c>
      <c r="BK63">
        <f>CumulativeConfirmed!BK63-CumulativeRecovered!BK63-CumulativeDead!BK63</f>
        <v>339</v>
      </c>
      <c r="BL63">
        <f>CumulativeConfirmed!BL63-CumulativeRecovered!BL63-CumulativeDead!BL63</f>
        <v>339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148</v>
      </c>
      <c r="BL64">
        <f>CumulativeConfirmed!BL64-CumulativeRecovered!BL64-CumulativeDead!BL64</f>
        <v>245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58</v>
      </c>
      <c r="BL65">
        <f>CumulativeConfirmed!BL65-CumulativeRecovered!BL65-CumulativeDead!BL65</f>
        <v>70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402</v>
      </c>
      <c r="BL66">
        <f>CumulativeConfirmed!BL66-CumulativeRecovered!BL66-CumulativeDead!BL66</f>
        <v>554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195</v>
      </c>
      <c r="BL67">
        <f>CumulativeConfirmed!BL67-CumulativeRecovered!BL67-CumulativeDead!BL67</f>
        <v>215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154</v>
      </c>
      <c r="BL68">
        <f>CumulativeConfirmed!BL68-CumulativeRecovered!BL68-CumulativeDead!BL68</f>
        <v>175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144</v>
      </c>
      <c r="BL69">
        <f>CumulativeConfirmed!BL69-CumulativeRecovered!BL69-CumulativeDead!BL69</f>
        <v>178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49</v>
      </c>
      <c r="BL70">
        <f>CumulativeConfirmed!BL70-CumulativeRecovered!BL70-CumulativeDead!BL70</f>
        <v>84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960</v>
      </c>
      <c r="BL71">
        <f>CumulativeConfirmed!BL71-CumulativeRecovered!BL71-CumulativeDead!BL71</f>
        <v>1055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179</v>
      </c>
      <c r="BL72">
        <f>CumulativeConfirmed!BL72-CumulativeRecovered!BL72-CumulativeDead!BL72</f>
        <v>197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85</v>
      </c>
      <c r="BL73">
        <f>CumulativeConfirmed!BL73-CumulativeRecovered!BL73-CumulativeDead!BL73</f>
        <v>110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21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61</v>
      </c>
      <c r="BL74">
        <f>CumulativeConfirmed!BL74-CumulativeRecovered!BL74-CumulativeDead!BL74</f>
        <v>86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112</v>
      </c>
      <c r="BL75">
        <f>CumulativeConfirmed!BL75-CumulativeRecovered!BL75-CumulativeDead!BL75</f>
        <v>121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113</v>
      </c>
      <c r="BK76">
        <f>CumulativeConfirmed!BK76-CumulativeRecovered!BK76-CumulativeDead!BK76</f>
        <v>133</v>
      </c>
      <c r="BL76">
        <f>CumulativeConfirmed!BL76-CumulativeRecovered!BL76-CumulativeDead!BL76</f>
        <v>146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133</v>
      </c>
      <c r="BL77">
        <f>CumulativeConfirmed!BL77-CumulativeRecovered!BL77-CumulativeDead!BL77</f>
        <v>163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271</v>
      </c>
      <c r="BL78">
        <f>CumulativeConfirmed!BL78-CumulativeRecovered!BL78-CumulativeDead!BL78</f>
        <v>375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105</v>
      </c>
      <c r="BL79">
        <f>CumulativeConfirmed!BL79-CumulativeRecovered!BL79-CumulativeDead!BL79</f>
        <v>110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309</v>
      </c>
      <c r="BL80">
        <f>CumulativeConfirmed!BL80-CumulativeRecovered!BL80-CumulativeDead!BL80</f>
        <v>363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74</v>
      </c>
      <c r="BL81">
        <f>CumulativeConfirmed!BL81-CumulativeRecovered!BL81-CumulativeDead!BL81</f>
        <v>86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13</v>
      </c>
      <c r="BL82">
        <f>CumulativeConfirmed!BL82-CumulativeRecovered!BL82-CumulativeDead!BL82</f>
        <v>13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233</v>
      </c>
      <c r="BL83">
        <f>CumulativeConfirmed!BL83-CumulativeRecovered!BL83-CumulativeDead!BL83</f>
        <v>249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16</v>
      </c>
      <c r="BK84">
        <f>CumulativeConfirmed!BK84-CumulativeRecovered!BK84-CumulativeDead!BK84</f>
        <v>16</v>
      </c>
      <c r="BL84">
        <f>CumulativeConfirmed!BL84-CumulativeRecovered!BL84-CumulativeDead!BL84</f>
        <v>20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38</v>
      </c>
      <c r="BL85">
        <f>CumulativeConfirmed!BL85-CumulativeRecovered!BL85-CumulativeDead!BL85</f>
        <v>73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136</v>
      </c>
      <c r="BL86">
        <f>CumulativeConfirmed!BL86-CumulativeRecovered!BL86-CumulativeDead!BL86</f>
        <v>165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141</v>
      </c>
      <c r="BK87">
        <f>CumulativeConfirmed!BK87-CumulativeRecovered!BK87-CumulativeDead!BK87</f>
        <v>177</v>
      </c>
      <c r="BL87">
        <f>CumulativeConfirmed!BL87-CumulativeRecovered!BL87-CumulativeDead!BL87</f>
        <v>207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107</v>
      </c>
      <c r="BL88">
        <f>CumulativeConfirmed!BL88-CumulativeRecovered!BL88-CumulativeDead!BL88</f>
        <v>124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21</v>
      </c>
      <c r="BL89">
        <f>CumulativeConfirmed!BL89-CumulativeRecovered!BL89-CumulativeDead!BL89</f>
        <v>25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94</v>
      </c>
      <c r="BL90">
        <f>CumulativeConfirmed!BL90-CumulativeRecovered!BL90-CumulativeDead!BL90</f>
        <v>102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86</v>
      </c>
      <c r="BL91">
        <f>CumulativeConfirmed!BL91-CumulativeRecovered!BL91-CumulativeDead!BL91</f>
        <v>91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242</v>
      </c>
      <c r="BL92">
        <f>CumulativeConfirmed!BL92-CumulativeRecovered!BL92-CumulativeDead!BL92</f>
        <v>306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-6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102</v>
      </c>
      <c r="BK94">
        <f>CumulativeConfirmed!BK94-CumulativeRecovered!BK94-CumulativeDead!BK94</f>
        <v>102</v>
      </c>
      <c r="BL94">
        <f>CumulativeConfirmed!BL94-CumulativeRecovered!BL94-CumulativeDead!BL94</f>
        <v>155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1492</v>
      </c>
      <c r="BL96">
        <f>CumulativeConfirmed!BL96-CumulativeRecovered!BL96-CumulativeDead!BL96</f>
        <v>1828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39</v>
      </c>
      <c r="BL97">
        <f>CumulativeConfirmed!BL97-CumulativeRecovered!BL97-CumulativeDead!BL97</f>
        <v>47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62</v>
      </c>
      <c r="BL98">
        <f>CumulativeConfirmed!BL98-CumulativeRecovered!BL98-CumulativeDead!BL98</f>
        <v>72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27</v>
      </c>
      <c r="BL99">
        <f>CumulativeConfirmed!BL99-CumulativeRecovered!BL99-CumulativeDead!BL99</f>
        <v>35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27</v>
      </c>
      <c r="BL100">
        <f>CumulativeConfirmed!BL100-CumulativeRecovered!BL100-CumulativeDead!BL100</f>
        <v>29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0</v>
      </c>
      <c r="AV101">
        <f>CumulativeConfirmed!AV101-CumulativeRecovered!AV101-CumulativeDead!AV101</f>
        <v>0</v>
      </c>
      <c r="AW101">
        <f>CumulativeConfirmed!AW101-CumulativeRecovered!AW101-CumulativeDead!AW101</f>
        <v>0</v>
      </c>
      <c r="AX101">
        <f>CumulativeConfirmed!AX101-CumulativeRecovered!AX101-CumulativeDead!AX101</f>
        <v>0</v>
      </c>
      <c r="AY101">
        <f>CumulativeConfirmed!AY101-CumulativeRecovered!AY101-CumulativeDead!AY101</f>
        <v>0</v>
      </c>
      <c r="AZ101">
        <f>CumulativeConfirmed!AZ101-CumulativeRecovered!AZ101-CumulativeDead!AZ101</f>
        <v>0</v>
      </c>
      <c r="BA101">
        <f>CumulativeConfirmed!BA101-CumulativeRecovered!BA101-CumulativeDead!BA101</f>
        <v>0</v>
      </c>
      <c r="BB101">
        <f>CumulativeConfirmed!BB101-CumulativeRecovered!BB101-CumulativeDead!BB101</f>
        <v>0</v>
      </c>
      <c r="BC101">
        <f>CumulativeConfirmed!BC101-CumulativeRecovered!BC101-CumulativeDead!BC101</f>
        <v>0</v>
      </c>
      <c r="BD101">
        <f>CumulativeConfirmed!BD101-CumulativeRecovered!BD101-CumulativeDead!BD101</f>
        <v>0</v>
      </c>
      <c r="BE101">
        <f>CumulativeConfirmed!BE101-CumulativeRecovered!BE101-CumulativeDead!BE101</f>
        <v>0</v>
      </c>
      <c r="BF101">
        <f>CumulativeConfirmed!BF101-CumulativeRecovered!BF101-CumulativeDead!BF101</f>
        <v>0</v>
      </c>
      <c r="BG101">
        <f>CumulativeConfirmed!BG101-CumulativeRecovered!BG101-CumulativeDead!BG101</f>
        <v>0</v>
      </c>
      <c r="BH101">
        <f>CumulativeConfirmed!BH101-CumulativeRecovered!BH101-CumulativeDead!BH101</f>
        <v>0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69</v>
      </c>
      <c r="BL102">
        <f>CumulativeConfirmed!BL102-CumulativeRecovered!BL102-CumulativeDead!BL102</f>
        <v>94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90</v>
      </c>
      <c r="BL104">
        <f>CumulativeConfirmed!BL104-CumulativeRecovered!BL104-CumulativeDead!BL104</f>
        <v>110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56</v>
      </c>
      <c r="BL105">
        <f>CumulativeConfirmed!BL105-CumulativeRecovered!BL105-CumulativeDead!BL105</f>
        <v>66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35</v>
      </c>
      <c r="BL106">
        <f>CumulativeConfirmed!BL106-CumulativeRecovered!BL106-CumulativeDead!BL106</f>
        <v>43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30</v>
      </c>
      <c r="BL107">
        <f>CumulativeConfirmed!BL107-CumulativeRecovered!BL107-CumulativeDead!BL107</f>
        <v>30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22</v>
      </c>
      <c r="BL108">
        <f>CumulativeConfirmed!BL108-CumulativeRecovered!BL108-CumulativeDead!BL108</f>
        <v>23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37</v>
      </c>
      <c r="BL109">
        <f>CumulativeConfirmed!BL109-CumulativeRecovered!BL109-CumulativeDead!BL109</f>
        <v>43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131</v>
      </c>
      <c r="BL110">
        <f>CumulativeConfirmed!BL110-CumulativeRecovered!BL110-CumulativeDead!BL110</f>
        <v>163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3</v>
      </c>
      <c r="BL111">
        <f>CumulativeConfirmed!BL111-CumulativeRecovered!BL111-CumulativeDead!BL111</f>
        <v>3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2</v>
      </c>
      <c r="BL112">
        <f>CumulativeConfirmed!BL112-CumulativeRecovered!BL112-CumulativeDead!BL112</f>
        <v>2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24</v>
      </c>
      <c r="BL114">
        <f>CumulativeConfirmed!BL114-CumulativeRecovered!BL114-CumulativeDead!BL114</f>
        <v>73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7</v>
      </c>
      <c r="BL115">
        <f>CumulativeConfirmed!BL115-CumulativeRecovered!BL115-CumulativeDead!BL115</f>
        <v>12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4</v>
      </c>
      <c r="BL117">
        <f>CumulativeConfirmed!BL117-CumulativeRecovered!BL117-CumulativeDead!BL117</f>
        <v>4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18</v>
      </c>
      <c r="BK118">
        <f>CumulativeConfirmed!BK118-CumulativeRecovered!BK118-CumulativeDead!BK118</f>
        <v>19</v>
      </c>
      <c r="BL118">
        <f>CumulativeConfirmed!BL118-CumulativeRecovered!BL118-CumulativeDead!BL118</f>
        <v>4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1</v>
      </c>
      <c r="BL119">
        <f>CumulativeConfirmed!BL119-CumulativeRecovered!BL119-CumulativeDead!BL119</f>
        <v>4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126</v>
      </c>
      <c r="BL120">
        <f>CumulativeConfirmed!BL120-CumulativeRecovered!BL120-CumulativeDead!BL120</f>
        <v>154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16</v>
      </c>
      <c r="BL121">
        <f>CumulativeConfirmed!BL121-CumulativeRecovered!BL121-CumulativeDead!BL121</f>
        <v>25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51</v>
      </c>
      <c r="BL122">
        <f>CumulativeConfirmed!BL122-CumulativeRecovered!BL122-CumulativeDead!BL122</f>
        <v>51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10</v>
      </c>
      <c r="BL123">
        <f>CumulativeConfirmed!BL123-CumulativeRecovered!BL123-CumulativeDead!BL123</f>
        <v>10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1</v>
      </c>
      <c r="BL124">
        <f>CumulativeConfirmed!BL124-CumulativeRecovered!BL124-CumulativeDead!BL124</f>
        <v>2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1</v>
      </c>
      <c r="BL125">
        <f>CumulativeConfirmed!BL125-CumulativeRecovered!BL125-CumulativeDead!BL125</f>
        <v>2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17</v>
      </c>
      <c r="BL126">
        <f>CumulativeConfirmed!BL126-CumulativeRecovered!BL126-CumulativeDead!BL126</f>
        <v>20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Y2" activePane="bottomRight" state="frozen"/>
      <selection pane="topRight" activeCell="B1" sqref="B1"/>
      <selection pane="bottomLeft" activeCell="A2" sqref="A2"/>
      <selection pane="bottomRight" activeCell="BK2" sqref="BK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72814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7024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7931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2909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2575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266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2200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178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131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1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16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1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2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67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235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325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263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9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33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88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144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139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10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19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149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37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10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2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6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36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5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57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5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64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16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38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27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56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27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4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2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8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44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29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1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17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28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17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16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8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2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1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6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2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5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7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3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5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1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15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65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3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3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2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16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17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3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1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1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10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3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1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2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3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2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4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5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2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2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1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3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1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1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3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1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6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3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1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5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1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2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1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1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4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1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1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1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pane xSplit="1" ySplit="1" topLeftCell="AR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3274</v>
      </c>
      <c r="BK2">
        <f>SUMIF(DeadRaw!$B:$B,$A2,DeadRaw!BN:BN)</f>
        <v>3274</v>
      </c>
      <c r="BL2">
        <f>SUMIF(DeadRaw!$B:$B,$A2,DeadRaw!BO:BO)</f>
        <v>3281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v>1016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6077</v>
      </c>
      <c r="BL3">
        <f>SUMIF(DeadRaw!$B:$B,$A3,DeadRaw!BO:BO)</f>
        <v>6820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1812</v>
      </c>
      <c r="BL4">
        <f>SUMIF(DeadRaw!$B:$B,$A4,DeadRaw!BO:BO)</f>
        <v>1934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111</v>
      </c>
      <c r="BK5">
        <f>SUMIF(DeadRaw!$B:$B,$A5,DeadRaw!BN:BN)</f>
        <v>111</v>
      </c>
      <c r="BL5">
        <f>SUMIF(DeadRaw!$B:$B,$A5,DeadRaw!BO:BO)</f>
        <v>120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v>86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2311</v>
      </c>
      <c r="BL6">
        <f>SUMIF(DeadRaw!$B:$B,$A6,DeadRaw!BO:BO)</f>
        <v>2808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123</v>
      </c>
      <c r="BL7">
        <f>SUMIF(DeadRaw!$B:$B,$A7,DeadRaw!BO:BO)</f>
        <v>157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149</v>
      </c>
      <c r="BE8">
        <v>175</v>
      </c>
      <c r="BF8">
        <v>264</v>
      </c>
      <c r="BG8">
        <v>372</v>
      </c>
      <c r="BH8">
        <f>SUMIF(DeadRaw!$B:$B,$A8,DeadRaw!BK:BK)</f>
        <v>451</v>
      </c>
      <c r="BI8">
        <f>SUMIF(DeadRaw!$B:$B,$A8,DeadRaw!BL:BL)</f>
        <v>563</v>
      </c>
      <c r="BJ8">
        <f>SUMIF(DeadRaw!$B:$B,$A8,DeadRaw!BM:BM)</f>
        <v>676</v>
      </c>
      <c r="BK8">
        <f>SUMIF(DeadRaw!$B:$B,$A8,DeadRaw!BN:BN)</f>
        <v>862</v>
      </c>
      <c r="BL8">
        <f>SUMIF(DeadRaw!$B:$B,$A8,DeadRaw!BO:BO)</f>
        <v>1102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557</v>
      </c>
      <c r="BL9">
        <f>SUMIF(DeadRaw!$B:$B,$A9,DeadRaw!BO:BO)</f>
        <v>706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120</v>
      </c>
      <c r="BL10">
        <f>SUMIF(DeadRaw!$B:$B,$A10,DeadRaw!BO:BO)</f>
        <v>122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10</v>
      </c>
      <c r="BL11">
        <f>SUMIF(DeadRaw!$B:$B,$A11,DeadRaw!BO:BO)</f>
        <v>12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25</v>
      </c>
      <c r="BL12">
        <f>SUMIF(DeadRaw!$B:$B,$A12,DeadRaw!BO:BO)</f>
        <v>36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24</v>
      </c>
      <c r="BL13">
        <f>SUMIF(DeadRaw!$B:$B,$A13,DeadRaw!BO:BO)</f>
        <v>32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214</v>
      </c>
      <c r="BL14">
        <f>SUMIF(DeadRaw!$B:$B,$A14,DeadRaw!BO:BO)</f>
        <v>277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v>10</v>
      </c>
      <c r="BA15">
        <v>11</v>
      </c>
      <c r="BB15">
        <f>SUMIF(DeadRaw!$B:$B,$A15,DeadRaw!BE:BE)</f>
        <v>21</v>
      </c>
      <c r="BC15">
        <v>35</v>
      </c>
      <c r="BD15">
        <f>SUMIF(DeadRaw!$B:$B,$A15,DeadRaw!BG:BG)</f>
        <v>56</v>
      </c>
      <c r="BE15">
        <v>71</v>
      </c>
      <c r="BF15">
        <v>104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336</v>
      </c>
      <c r="BL15">
        <f>SUMIF(DeadRaw!$B:$B,$A15,DeadRaw!BO:BO)</f>
        <v>423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41</v>
      </c>
      <c r="BK16">
        <f>SUMIF(DeadRaw!$B:$B,$A16,DeadRaw!BN:BN)</f>
        <v>42</v>
      </c>
      <c r="BL16">
        <f>SUMIF(DeadRaw!$B:$B,$A16,DeadRaw!BO:BO)</f>
        <v>43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0</v>
      </c>
      <c r="AF17">
        <f>SUMIF(DeadRaw!$B:$B,$A17,DeadRaw!AI:AI)</f>
        <v>0</v>
      </c>
      <c r="AG17">
        <f>SUMIF(DeadRaw!$B:$B,$A17,DeadRaw!AJ:AJ)</f>
        <v>0</v>
      </c>
      <c r="AH17">
        <f>SUMIF(DeadRaw!$B:$B,$A17,DeadRaw!AK:AK)</f>
        <v>0</v>
      </c>
      <c r="AI17">
        <f>SUMIF(DeadRaw!$B:$B,$A17,DeadRaw!AL:AL)</f>
        <v>0</v>
      </c>
      <c r="AJ17">
        <f>SUMIF(DeadRaw!$B:$B,$A17,DeadRaw!AM:AM)</f>
        <v>0</v>
      </c>
      <c r="AK17">
        <f>SUMIF(DeadRaw!$B:$B,$A17,DeadRaw!AN:AN)</f>
        <v>0</v>
      </c>
      <c r="AL17">
        <f>SUMIF(DeadRaw!$B:$B,$A17,DeadRaw!AO:AO)</f>
        <v>0</v>
      </c>
      <c r="AM17">
        <f>SUMIF(DeadRaw!$B:$B,$A17,DeadRaw!AP:AP)</f>
        <v>0</v>
      </c>
      <c r="AN17">
        <f>SUMIF(DeadRaw!$B:$B,$A17,DeadRaw!AQ:AQ)</f>
        <v>0</v>
      </c>
      <c r="AO17">
        <f>SUMIF(DeadRaw!$B:$B,$A17,DeadRaw!AR:AR)</f>
        <v>0</v>
      </c>
      <c r="AP17">
        <f>SUMIF(DeadRaw!$B:$B,$A17,DeadRaw!AS:AS)</f>
        <v>0</v>
      </c>
      <c r="AQ17">
        <f>SUMIF(DeadRaw!$B:$B,$A17,DeadRaw!AT:AT)</f>
        <v>0</v>
      </c>
      <c r="AR17">
        <f>SUMIF(DeadRaw!$B:$B,$A17,DeadRaw!AU:AU)</f>
        <v>0</v>
      </c>
      <c r="AS17">
        <f>SUMIF(DeadRaw!$B:$B,$A17,DeadRaw!AV:AV)</f>
        <v>0</v>
      </c>
      <c r="AT17">
        <f>SUMIF(DeadRaw!$B:$B,$A17,DeadRaw!AW:AW)</f>
        <v>0</v>
      </c>
      <c r="AU17">
        <f>SUMIF(DeadRaw!$B:$B,$A17,DeadRaw!AX:AX)</f>
        <v>0</v>
      </c>
      <c r="AV17">
        <f>SUMIF(DeadRaw!$B:$B,$A17,DeadRaw!AY:AY)</f>
        <v>0</v>
      </c>
      <c r="AW17">
        <f>SUMIF(DeadRaw!$B:$B,$A17,DeadRaw!AZ:AZ)</f>
        <v>0</v>
      </c>
      <c r="AX17">
        <f>SUMIF(DeadRaw!$B:$B,$A17,DeadRaw!BA:BA)</f>
        <v>0</v>
      </c>
      <c r="AY17">
        <f>SUMIF(DeadRaw!$B:$B,$A17,DeadRaw!BB:BB)</f>
        <v>0</v>
      </c>
      <c r="AZ17">
        <f>SUMIF(DeadRaw!$B:$B,$A17,DeadRaw!BC:BC)</f>
        <v>0</v>
      </c>
      <c r="BA17">
        <f>SUMIF(DeadRaw!$B:$B,$A17,DeadRaw!BD:BD)</f>
        <v>0</v>
      </c>
      <c r="BB17">
        <f>SUMIF(DeadRaw!$B:$B,$A17,DeadRaw!BE:BE)</f>
        <v>0</v>
      </c>
      <c r="BC17">
        <f>SUMIF(DeadRaw!$B:$B,$A17,DeadRaw!BF:BF)</f>
        <v>0</v>
      </c>
      <c r="BD17">
        <f>SUMIF(DeadRaw!$B:$B,$A17,DeadRaw!BG:BG)</f>
        <v>0</v>
      </c>
      <c r="BE17">
        <f>SUMIF(DeadRaw!$B:$B,$A17,DeadRaw!BH:BH)</f>
        <v>0</v>
      </c>
      <c r="BF17">
        <f>SUMIF(DeadRaw!$B:$B,$A17,DeadRaw!BI:BI)</f>
        <v>0</v>
      </c>
      <c r="BG17">
        <f>SUMIF(DeadRaw!$B:$B,$A17,DeadRaw!BJ:BJ)</f>
        <v>0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88</v>
      </c>
      <c r="BL18">
        <f>SUMIF(DeadRaw!$B:$B,$A18,DeadRaw!BO:BO)</f>
        <v>122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21</v>
      </c>
      <c r="BL19">
        <f>SUMIF(DeadRaw!$B:$B,$A19,DeadRaw!BO:BO)</f>
        <v>28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7</v>
      </c>
      <c r="BL21">
        <f>SUMIF(DeadRaw!$B:$B,$A21,DeadRaw!BO:BO)</f>
        <v>8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2</v>
      </c>
      <c r="BL22">
        <f>SUMIF(DeadRaw!$B:$B,$A22,DeadRaw!BO:BO)</f>
        <v>2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14</v>
      </c>
      <c r="BL23">
        <f>SUMIF(DeadRaw!$B:$B,$A23,DeadRaw!BO:BO)</f>
        <v>16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25</v>
      </c>
      <c r="BL24">
        <f>SUMIF(DeadRaw!$B:$B,$A24,DeadRaw!BO:BO)</f>
        <v>26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17</v>
      </c>
      <c r="BL25">
        <f>SUMIF(DeadRaw!$B:$B,$A25,DeadRaw!BO:BO)</f>
        <v>20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2</v>
      </c>
      <c r="BL26">
        <f>SUMIF(DeadRaw!$B:$B,$A26,DeadRaw!BO:BO)</f>
        <v>3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1</v>
      </c>
      <c r="BL27">
        <f>SUMIF(DeadRaw!$B:$B,$A27,DeadRaw!BO:BO)</f>
        <v>3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1</v>
      </c>
      <c r="BL28">
        <f>SUMIF(DeadRaw!$B:$B,$A28,DeadRaw!BO:BO)</f>
        <v>1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34</v>
      </c>
      <c r="BL29">
        <f>SUMIF(DeadRaw!$B:$B,$A29,DeadRaw!BO:BO)</f>
        <v>46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1</v>
      </c>
      <c r="BL30">
        <f>SUMIF(DeadRaw!$B:$B,$A30,DeadRaw!BO:BO)</f>
        <v>3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3</v>
      </c>
      <c r="BL31">
        <f>SUMIF(DeadRaw!$B:$B,$A31,DeadRaw!BO:BO)</f>
        <v>4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1</v>
      </c>
      <c r="BL32">
        <f>SUMIF(DeadRaw!$B:$B,$A32,DeadRaw!BO:BO)</f>
        <v>2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23</v>
      </c>
      <c r="BL33">
        <f>SUMIF(DeadRaw!$B:$B,$A33,DeadRaw!BO:BO)</f>
        <v>33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23</v>
      </c>
      <c r="BL34">
        <f>SUMIF(DeadRaw!$B:$B,$A34,DeadRaw!BO:BO)</f>
        <v>27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6</v>
      </c>
      <c r="BL35">
        <f>SUMIF(DeadRaw!$B:$B,$A35,DeadRaw!BO:BO)</f>
        <v>7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7</v>
      </c>
      <c r="BL36">
        <f>SUMIF(DeadRaw!$B:$B,$A36,DeadRaw!BO:BO)</f>
        <v>11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1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2</v>
      </c>
      <c r="BL38">
        <f>SUMIF(DeadRaw!$B:$B,$A38,DeadRaw!BO:BO)</f>
        <v>2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10</v>
      </c>
      <c r="BL39">
        <f>SUMIF(DeadRaw!$B:$B,$A39,DeadRaw!BO:BO)</f>
        <v>10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19</v>
      </c>
      <c r="BL40">
        <f>SUMIF(DeadRaw!$B:$B,$A40,DeadRaw!BO:BO)</f>
        <v>20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20</v>
      </c>
      <c r="BL42">
        <f>SUMIF(DeadRaw!$B:$B,$A42,DeadRaw!BO:BO)</f>
        <v>21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4</v>
      </c>
      <c r="BL44">
        <f>SUMIF(DeadRaw!$B:$B,$A44,DeadRaw!BO:BO)</f>
        <v>4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1</v>
      </c>
      <c r="BL45">
        <f>SUMIF(DeadRaw!$B:$B,$A45,DeadRaw!BO:BO)</f>
        <v>4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49</v>
      </c>
      <c r="BL46">
        <f>SUMIF(DeadRaw!$B:$B,$A46,DeadRaw!BO:BO)</f>
        <v>55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8</v>
      </c>
      <c r="BL47">
        <f>SUMIF(DeadRaw!$B:$B,$A47,DeadRaw!BO:BO)</f>
        <v>10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33</v>
      </c>
      <c r="BL48">
        <f>SUMIF(DeadRaw!$B:$B,$A48,DeadRaw!BO:BO)</f>
        <v>35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2</v>
      </c>
      <c r="BL49">
        <f>SUMIF(DeadRaw!$B:$B,$A49,DeadRaw!BO:BO)</f>
        <v>2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1</v>
      </c>
      <c r="BK51">
        <f>SUMIF(DeadRaw!$B:$B,$A51,DeadRaw!BN:BN)</f>
        <v>1</v>
      </c>
      <c r="BL51">
        <f>SUMIF(DeadRaw!$B:$B,$A51,DeadRaw!BO:BO)</f>
        <v>1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2</v>
      </c>
      <c r="BL52">
        <f>SUMIF(DeadRaw!$B:$B,$A52,DeadRaw!BO:BO)</f>
        <v>2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3</v>
      </c>
      <c r="BL54">
        <f>SUMIF(DeadRaw!$B:$B,$A54,DeadRaw!BO:BO)</f>
        <v>3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8</v>
      </c>
      <c r="BL55">
        <f>SUMIF(DeadRaw!$B:$B,$A55,DeadRaw!BO:BO)</f>
        <v>8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4</v>
      </c>
      <c r="BL56">
        <f>SUMIF(DeadRaw!$B:$B,$A56,DeadRaw!BO:BO)</f>
        <v>5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1</v>
      </c>
      <c r="BL57">
        <f>SUMIF(DeadRaw!$B:$B,$A57,DeadRaw!BO:BO)</f>
        <v>1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4</v>
      </c>
      <c r="BL59">
        <f>SUMIF(DeadRaw!$B:$B,$A59,DeadRaw!BO:BO)</f>
        <v>6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6</v>
      </c>
      <c r="BL60">
        <f>SUMIF(DeadRaw!$B:$B,$A60,DeadRaw!BO:BO)</f>
        <v>7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5</v>
      </c>
      <c r="BL61">
        <f>SUMIF(DeadRaw!$B:$B,$A61,DeadRaw!BO:BO)</f>
        <v>7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6</v>
      </c>
      <c r="BL63">
        <f>SUMIF(DeadRaw!$B:$B,$A63,DeadRaw!BO:BO)</f>
        <v>6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17</v>
      </c>
      <c r="BL64">
        <f>SUMIF(DeadRaw!$B:$B,$A64,DeadRaw!BO:BO)</f>
        <v>19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3</v>
      </c>
      <c r="BL67">
        <f>SUMIF(DeadRaw!$B:$B,$A67,DeadRaw!BO:BO)</f>
        <v>3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2</v>
      </c>
      <c r="BL68">
        <f>SUMIF(DeadRaw!$B:$B,$A68,DeadRaw!BO:BO)</f>
        <v>2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7</v>
      </c>
      <c r="BL69">
        <f>SUMIF(DeadRaw!$B:$B,$A69,DeadRaw!BO:BO)</f>
        <v>9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18</v>
      </c>
      <c r="BL71">
        <f>SUMIF(DeadRaw!$B:$B,$A71,DeadRaw!BO:BO)</f>
        <v>27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3</v>
      </c>
      <c r="BL73">
        <f>SUMIF(DeadRaw!$B:$B,$A73,DeadRaw!BO:BO)</f>
        <v>4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1</v>
      </c>
      <c r="BL74">
        <f>SUMIF(DeadRaw!$B:$B,$A74,DeadRaw!BO:BO)</f>
        <v>1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1</v>
      </c>
      <c r="BL75">
        <f>SUMIF(DeadRaw!$B:$B,$A75,DeadRaw!BO:BO)</f>
        <v>3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2</v>
      </c>
      <c r="BL76">
        <f>SUMIF(DeadRaw!$B:$B,$A76,DeadRaw!BO:BO)</f>
        <v>2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1</v>
      </c>
      <c r="BL77">
        <f>SUMIF(DeadRaw!$B:$B,$A77,DeadRaw!BO:BO)</f>
        <v>3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3</v>
      </c>
      <c r="BL78">
        <f>SUMIF(DeadRaw!$B:$B,$A78,DeadRaw!BO:BO)</f>
        <v>3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3</v>
      </c>
      <c r="BL80">
        <f>SUMIF(DeadRaw!$B:$B,$A80,DeadRaw!BO:BO)</f>
        <v>4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1</v>
      </c>
      <c r="BL84">
        <f>SUMIF(DeadRaw!$B:$B,$A84,DeadRaw!BO:BO)</f>
        <v>1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1</v>
      </c>
      <c r="BL85">
        <f>SUMIF(DeadRaw!$B:$B,$A85,DeadRaw!BO:BO)</f>
        <v>1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4</v>
      </c>
      <c r="BL86">
        <f>SUMIF(DeadRaw!$B:$B,$A86,DeadRaw!BO:BO)</f>
        <v>5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1</v>
      </c>
      <c r="BL87">
        <f>SUMIF(DeadRaw!$B:$B,$A87,DeadRaw!BO:BO)</f>
        <v>2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1</v>
      </c>
      <c r="BL88">
        <f>SUMIF(DeadRaw!$B:$B,$A88,DeadRaw!BO:BO)</f>
        <v>1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1</v>
      </c>
      <c r="BL89">
        <f>SUMIF(DeadRaw!$B:$B,$A89,DeadRaw!BO:BO)</f>
        <v>2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3</v>
      </c>
      <c r="BL92">
        <f>SUMIF(DeadRaw!$B:$B,$A92,DeadRaw!BO:BO)</f>
        <v>6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37</v>
      </c>
      <c r="BL96">
        <f>SUMIF(DeadRaw!$B:$B,$A96,DeadRaw!BO:BO)</f>
        <v>44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1</v>
      </c>
      <c r="BL97">
        <f>SUMIF(DeadRaw!$B:$B,$A97,DeadRaw!BO:BO)</f>
        <v>1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3</v>
      </c>
      <c r="BL99">
        <f>SUMIF(DeadRaw!$B:$B,$A99,DeadRaw!BO:BO)</f>
        <v>4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0</v>
      </c>
      <c r="BE101">
        <f>SUMIF(DeadRaw!$B:$B,$A101,DeadRaw!BH:BH)</f>
        <v>0</v>
      </c>
      <c r="BF101">
        <f>SUMIF(DeadRaw!$B:$B,$A101,DeadRaw!BI:BI)</f>
        <v>0</v>
      </c>
      <c r="BG101">
        <f>SUMIF(DeadRaw!$B:$B,$A101,DeadRaw!BJ:BJ)</f>
        <v>0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3</v>
      </c>
      <c r="BL102">
        <f>SUMIF(DeadRaw!$B:$B,$A102,DeadRaw!BO:BO)</f>
        <v>3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4</v>
      </c>
      <c r="BL104">
        <f>SUMIF(DeadRaw!$B:$B,$A104,DeadRaw!BO:BO)</f>
        <v>4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1</v>
      </c>
      <c r="BL106">
        <f>SUMIF(DeadRaw!$B:$B,$A106,DeadRaw!BO:BO)</f>
        <v>2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1</v>
      </c>
      <c r="BL109">
        <f>SUMIF(DeadRaw!$B:$B,$A109,DeadRaw!BO:BO)</f>
        <v>1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1</v>
      </c>
      <c r="BL110">
        <f>SUMIF(DeadRaw!$B:$B,$A110,DeadRaw!BO:BO)</f>
        <v>1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1</v>
      </c>
      <c r="BL118">
        <f>SUMIF(DeadRaw!$B:$B,$A118,DeadRaw!BO:BO)</f>
        <v>1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1</v>
      </c>
      <c r="BL125">
        <f>SUMIF(DeadRaw!$B:$B,$A125,DeadRaw!BO:BO)</f>
        <v>1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511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521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522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523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524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525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526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527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531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532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533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534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535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536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537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538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539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554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555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556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557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558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561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562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563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564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565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580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O242"/>
  <sheetViews>
    <sheetView workbookViewId="0">
      <selection sqref="A1:CA1000"/>
    </sheetView>
  </sheetViews>
  <sheetFormatPr defaultRowHeight="14.4" x14ac:dyDescent="0.3"/>
  <sheetData>
    <row r="1" spans="1:67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</row>
    <row r="2" spans="1:6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</row>
    <row r="3" spans="1:6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</row>
    <row r="4" spans="1:6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</row>
    <row r="5" spans="1:6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</row>
    <row r="6" spans="1:67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6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6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</row>
    <row r="9" spans="1:6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</row>
    <row r="10" spans="1:6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</row>
    <row r="11" spans="1:6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</row>
    <row r="12" spans="1:6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6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</row>
    <row r="14" spans="1:6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</row>
    <row r="15" spans="1:6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</row>
    <row r="16" spans="1:6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</row>
    <row r="17" spans="1:6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</row>
    <row r="18" spans="1:6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</row>
    <row r="19" spans="1:6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</row>
    <row r="20" spans="1:67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</row>
    <row r="21" spans="1:6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</row>
    <row r="22" spans="1:6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</row>
    <row r="23" spans="1:67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</row>
    <row r="24" spans="1:6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</row>
    <row r="25" spans="1:6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</row>
    <row r="26" spans="1:67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</row>
    <row r="27" spans="1:6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</row>
    <row r="28" spans="1:6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</row>
    <row r="29" spans="1:6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</row>
    <row r="30" spans="1:6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</row>
    <row r="31" spans="1:6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</row>
    <row r="32" spans="1:6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</row>
    <row r="33" spans="1:6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</row>
    <row r="34" spans="1:67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</row>
    <row r="35" spans="1:6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</row>
    <row r="36" spans="1:6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</row>
    <row r="37" spans="1:6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</row>
    <row r="38" spans="1:6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</row>
    <row r="39" spans="1:6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</row>
    <row r="41" spans="1:6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</row>
    <row r="42" spans="1:67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</row>
    <row r="43" spans="1:67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</row>
    <row r="44" spans="1:6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</row>
    <row r="45" spans="1:67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</row>
    <row r="46" spans="1:6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</row>
    <row r="47" spans="1:6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</row>
    <row r="48" spans="1:67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</row>
    <row r="49" spans="1:67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</row>
    <row r="50" spans="1:6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</row>
    <row r="51" spans="1:67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</row>
    <row r="52" spans="1:6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</row>
    <row r="53" spans="1:67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</row>
    <row r="54" spans="1:6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</row>
    <row r="55" spans="1:6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</row>
    <row r="56" spans="1:6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</row>
    <row r="57" spans="1:67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</row>
    <row r="58" spans="1:67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</row>
    <row r="59" spans="1:67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</row>
    <row r="60" spans="1:67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</row>
    <row r="61" spans="1:67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</row>
    <row r="62" spans="1:67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</row>
    <row r="63" spans="1:6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</row>
    <row r="64" spans="1:67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</row>
    <row r="65" spans="1:67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</row>
    <row r="66" spans="1:6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</row>
    <row r="67" spans="1:67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</row>
    <row r="68" spans="1:67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</row>
    <row r="69" spans="1:6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</row>
    <row r="70" spans="1:67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</row>
    <row r="71" spans="1:67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</row>
    <row r="72" spans="1:6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</row>
    <row r="73" spans="1:6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</row>
    <row r="74" spans="1:6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</row>
    <row r="75" spans="1:67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</row>
    <row r="76" spans="1:67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</row>
    <row r="77" spans="1:67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</row>
    <row r="79" spans="1:6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</row>
    <row r="80" spans="1:6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</row>
    <row r="81" spans="1:6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</row>
    <row r="82" spans="1:67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</row>
    <row r="83" spans="1:67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</row>
    <row r="84" spans="1:6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</row>
    <row r="85" spans="1:67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</row>
    <row r="86" spans="1:6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</row>
    <row r="87" spans="1:6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</row>
    <row r="88" spans="1:6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</row>
    <row r="89" spans="1:6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</row>
    <row r="90" spans="1:6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</row>
    <row r="91" spans="1:6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</row>
    <row r="92" spans="1:6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</row>
    <row r="93" spans="1:67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</row>
    <row r="94" spans="1:6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</row>
    <row r="95" spans="1:67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</row>
    <row r="96" spans="1:6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</row>
    <row r="97" spans="1:67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</row>
    <row r="98" spans="1:6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</row>
    <row r="99" spans="1:6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</row>
    <row r="100" spans="1:6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</row>
    <row r="101" spans="1:67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</row>
    <row r="102" spans="1:67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</row>
    <row r="103" spans="1:67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</row>
    <row r="104" spans="1:6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</row>
    <row r="105" spans="1:67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</row>
    <row r="106" spans="1:6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</row>
    <row r="107" spans="1:67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</row>
    <row r="108" spans="1:6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</row>
    <row r="109" spans="1:6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</row>
    <row r="110" spans="1:6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</row>
    <row r="111" spans="1:6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</row>
    <row r="112" spans="1:67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</row>
    <row r="113" spans="1:67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</row>
    <row r="114" spans="1:6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</row>
    <row r="115" spans="1:6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</row>
    <row r="116" spans="1:6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</row>
    <row r="117" spans="1:6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</row>
    <row r="118" spans="1:6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</row>
    <row r="119" spans="1:67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</row>
    <row r="120" spans="1:67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</row>
    <row r="121" spans="1:6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</row>
    <row r="122" spans="1:6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</row>
    <row r="123" spans="1:67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</row>
    <row r="124" spans="1:6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</row>
    <row r="125" spans="1:67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</row>
    <row r="126" spans="1:6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</row>
    <row r="127" spans="1:6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</row>
    <row r="128" spans="1:67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</row>
    <row r="129" spans="2:6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</row>
    <row r="130" spans="2:6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</row>
    <row r="131" spans="2:6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</row>
    <row r="132" spans="2:6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</row>
    <row r="133" spans="2:6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</row>
    <row r="134" spans="2:6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</row>
    <row r="135" spans="2:6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</row>
    <row r="136" spans="2:6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</row>
    <row r="137" spans="2:6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</row>
    <row r="138" spans="2:6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</row>
    <row r="139" spans="2:6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</row>
    <row r="140" spans="2:6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</row>
    <row r="141" spans="2:67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</row>
    <row r="142" spans="2:6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</row>
    <row r="143" spans="2:6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</row>
    <row r="144" spans="2:6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</row>
    <row r="145" spans="2:67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</row>
    <row r="146" spans="2:6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</row>
    <row r="147" spans="2:67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</row>
    <row r="148" spans="2:6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</row>
    <row r="149" spans="2:6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</row>
    <row r="150" spans="2:67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</row>
    <row r="151" spans="2:6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</row>
    <row r="152" spans="2:6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</row>
    <row r="153" spans="2:6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</row>
    <row r="154" spans="2:67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</row>
    <row r="155" spans="2:6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</row>
    <row r="156" spans="2:6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</row>
    <row r="157" spans="2:6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</row>
    <row r="158" spans="2:67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</row>
    <row r="159" spans="2:67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</row>
    <row r="160" spans="2:6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</row>
    <row r="161" spans="1:6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</row>
    <row r="162" spans="1:6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</row>
    <row r="163" spans="1:6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</row>
    <row r="164" spans="1:67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</row>
    <row r="165" spans="1:6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</row>
    <row r="166" spans="1:67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</row>
    <row r="167" spans="1:6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</row>
    <row r="168" spans="1:6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</row>
    <row r="169" spans="1:67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</row>
    <row r="170" spans="1:67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</row>
    <row r="171" spans="1:6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</row>
    <row r="172" spans="1:6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</row>
    <row r="173" spans="1:67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</row>
    <row r="174" spans="1:67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</row>
    <row r="175" spans="1:6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</row>
    <row r="176" spans="1:6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</row>
    <row r="177" spans="2:6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</row>
    <row r="178" spans="2:6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</row>
    <row r="179" spans="2:6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</row>
    <row r="180" spans="2:6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</row>
    <row r="181" spans="2:67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</row>
    <row r="182" spans="2:6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</row>
    <row r="183" spans="2:6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</row>
    <row r="184" spans="2:6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</row>
    <row r="185" spans="2:6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</row>
    <row r="186" spans="2:6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</row>
    <row r="187" spans="2:6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</row>
    <row r="188" spans="2:6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</row>
    <row r="189" spans="2:6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</row>
    <row r="190" spans="2:67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</row>
    <row r="191" spans="2:67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</row>
    <row r="192" spans="2:67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</row>
    <row r="193" spans="2:6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</row>
    <row r="194" spans="2:6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</row>
    <row r="195" spans="2:6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</row>
    <row r="196" spans="2:6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</row>
    <row r="197" spans="2:67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</row>
    <row r="198" spans="2:6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</row>
    <row r="199" spans="2:6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</row>
    <row r="200" spans="2:6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</row>
    <row r="201" spans="2:67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</row>
    <row r="202" spans="2:6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</row>
    <row r="203" spans="2:6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</row>
    <row r="204" spans="2:6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</row>
    <row r="205" spans="2:6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</row>
    <row r="206" spans="2:67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</row>
    <row r="207" spans="2:6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</row>
    <row r="208" spans="2:6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</row>
    <row r="209" spans="1:67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</row>
    <row r="210" spans="1:67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</row>
    <row r="211" spans="1:67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</row>
    <row r="212" spans="1:6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</row>
    <row r="213" spans="1:67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</row>
    <row r="214" spans="1:6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</row>
    <row r="215" spans="1:6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</row>
    <row r="216" spans="1:67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</row>
    <row r="217" spans="1:6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</row>
    <row r="218" spans="1:6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</row>
    <row r="219" spans="1:67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</row>
    <row r="220" spans="1:6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</row>
    <row r="221" spans="1:6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</row>
    <row r="222" spans="1:6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</row>
    <row r="223" spans="1:67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</row>
    <row r="224" spans="1:67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</row>
    <row r="225" spans="1:6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</row>
    <row r="226" spans="1:67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</row>
    <row r="227" spans="1:67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</row>
    <row r="228" spans="1:67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</row>
    <row r="229" spans="1:67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</row>
    <row r="230" spans="1:67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</row>
    <row r="231" spans="1:67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</row>
    <row r="232" spans="1:67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</row>
    <row r="233" spans="1:6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</row>
    <row r="234" spans="1:67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</row>
    <row r="235" spans="1:67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</row>
    <row r="236" spans="1:67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</row>
    <row r="237" spans="1:67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</row>
    <row r="238" spans="1:67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</row>
    <row r="239" spans="1:67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</row>
    <row r="240" spans="1:67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2:67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</row>
    <row r="242" spans="2:67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O242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7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</row>
    <row r="2" spans="1:6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</row>
    <row r="3" spans="1:6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</row>
    <row r="4" spans="1:6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</row>
    <row r="5" spans="1:6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</row>
    <row r="6" spans="1:67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</row>
    <row r="7" spans="1:6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</row>
    <row r="8" spans="1:6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</row>
    <row r="9" spans="1:6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</row>
    <row r="10" spans="1:6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</row>
    <row r="11" spans="1:6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</row>
    <row r="12" spans="1:6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</row>
    <row r="13" spans="1:6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</row>
    <row r="14" spans="1:6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</row>
    <row r="15" spans="1:6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</row>
    <row r="16" spans="1:6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</row>
    <row r="17" spans="1:6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</row>
    <row r="18" spans="1:6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</row>
    <row r="19" spans="1:6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</row>
    <row r="20" spans="1:67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</row>
    <row r="21" spans="1:6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</row>
    <row r="22" spans="1:6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</row>
    <row r="23" spans="1:67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</row>
    <row r="24" spans="1:6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</row>
    <row r="25" spans="1:6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</row>
    <row r="26" spans="1:67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</row>
    <row r="27" spans="1:6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</row>
    <row r="28" spans="1:6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</row>
    <row r="29" spans="1:6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</row>
    <row r="30" spans="1:6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</row>
    <row r="31" spans="1:6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</row>
    <row r="32" spans="1:6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</row>
    <row r="33" spans="1:6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</row>
    <row r="34" spans="1:67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</row>
    <row r="35" spans="1:6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</row>
    <row r="36" spans="1:6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</row>
    <row r="37" spans="1:6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</row>
    <row r="38" spans="1:6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</row>
    <row r="39" spans="1:6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</row>
    <row r="40" spans="1:6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</row>
    <row r="41" spans="1:6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</row>
    <row r="42" spans="1:67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</row>
    <row r="43" spans="1:67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</row>
    <row r="44" spans="1:6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</row>
    <row r="45" spans="1:67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</row>
    <row r="46" spans="1:6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</row>
    <row r="47" spans="1:6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</row>
    <row r="48" spans="1:67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</row>
    <row r="49" spans="1:67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</row>
    <row r="50" spans="1:6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</row>
    <row r="51" spans="1:67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</row>
    <row r="52" spans="1:6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</row>
    <row r="53" spans="1:67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</row>
    <row r="54" spans="1:6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</row>
    <row r="55" spans="1:6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</row>
    <row r="56" spans="1:6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</row>
    <row r="57" spans="1:67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</row>
    <row r="58" spans="1:67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</row>
    <row r="59" spans="1:67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</row>
    <row r="60" spans="1:67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</row>
    <row r="61" spans="1:67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</row>
    <row r="62" spans="1:67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</row>
    <row r="63" spans="1:6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</row>
    <row r="64" spans="1:67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</row>
    <row r="65" spans="1:67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</row>
    <row r="66" spans="1:6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</row>
    <row r="67" spans="1:67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</row>
    <row r="68" spans="1:67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</row>
    <row r="69" spans="1:6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</row>
    <row r="70" spans="1:67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</row>
    <row r="71" spans="1:67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</row>
    <row r="72" spans="1:6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</row>
    <row r="73" spans="1:6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</row>
    <row r="74" spans="1:6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</row>
    <row r="75" spans="1:67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</row>
    <row r="76" spans="1:67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</row>
    <row r="77" spans="1:67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</row>
    <row r="78" spans="1:67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</row>
    <row r="79" spans="1:6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</row>
    <row r="80" spans="1:6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</row>
    <row r="81" spans="1:6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</row>
    <row r="82" spans="1:67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</row>
    <row r="83" spans="1:67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</row>
    <row r="84" spans="1:6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</row>
    <row r="85" spans="1:67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</row>
    <row r="86" spans="1:6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</row>
    <row r="87" spans="1:6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</row>
    <row r="88" spans="1:6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</row>
    <row r="89" spans="1:6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</row>
    <row r="90" spans="1:6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</row>
    <row r="91" spans="1:6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</row>
    <row r="92" spans="1:6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</row>
    <row r="93" spans="1:67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</row>
    <row r="94" spans="1:6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</row>
    <row r="95" spans="1:67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</row>
    <row r="96" spans="1:6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</row>
    <row r="97" spans="1:67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</row>
    <row r="98" spans="1:6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</row>
    <row r="99" spans="1:6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</row>
    <row r="100" spans="1:6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</row>
    <row r="101" spans="1:67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</row>
    <row r="102" spans="1:67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</row>
    <row r="103" spans="1:67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</row>
    <row r="104" spans="1:6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</row>
    <row r="105" spans="1:67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</row>
    <row r="106" spans="1:6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</row>
    <row r="107" spans="1:67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</row>
    <row r="108" spans="1:6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</row>
    <row r="109" spans="1:6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</row>
    <row r="110" spans="1:6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</row>
    <row r="111" spans="1:6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</row>
    <row r="112" spans="1:67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</row>
    <row r="113" spans="1:67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</row>
    <row r="114" spans="1:6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</row>
    <row r="115" spans="1:6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</row>
    <row r="116" spans="1:6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</row>
    <row r="117" spans="1:6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</row>
    <row r="118" spans="1:6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</row>
    <row r="119" spans="1:67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</row>
    <row r="120" spans="1:67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</row>
    <row r="121" spans="1:6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</row>
    <row r="122" spans="1:6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</row>
    <row r="123" spans="1:67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</row>
    <row r="124" spans="1:6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</row>
    <row r="125" spans="1:67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</row>
    <row r="126" spans="1:6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</row>
    <row r="127" spans="1:6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</row>
    <row r="128" spans="1:67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</row>
    <row r="129" spans="2:6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</row>
    <row r="130" spans="2:6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</row>
    <row r="131" spans="2:6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</row>
    <row r="132" spans="2:6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</row>
    <row r="133" spans="2:6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</row>
    <row r="134" spans="2:6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</row>
    <row r="135" spans="2:6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</row>
    <row r="136" spans="2:6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</row>
    <row r="137" spans="2:6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</row>
    <row r="138" spans="2:6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83</v>
      </c>
      <c r="BB138">
        <v>109</v>
      </c>
      <c r="BC138">
        <v>131</v>
      </c>
      <c r="BD138">
        <v>161</v>
      </c>
      <c r="BE138">
        <v>193</v>
      </c>
      <c r="BF138">
        <v>251</v>
      </c>
      <c r="BG138">
        <v>255</v>
      </c>
      <c r="BH138">
        <v>337</v>
      </c>
      <c r="BI138">
        <v>433</v>
      </c>
      <c r="BJ138">
        <v>677</v>
      </c>
      <c r="BK138">
        <v>705</v>
      </c>
      <c r="BL138">
        <v>883</v>
      </c>
      <c r="BM138">
        <v>1071</v>
      </c>
      <c r="BN138">
        <v>1442</v>
      </c>
      <c r="BO138">
        <v>1930</v>
      </c>
    </row>
    <row r="139" spans="2:6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</row>
    <row r="140" spans="2:6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</row>
    <row r="141" spans="2:67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</row>
    <row r="142" spans="2:6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</row>
    <row r="143" spans="2:6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</row>
    <row r="144" spans="2:6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</row>
    <row r="145" spans="2:67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</row>
    <row r="146" spans="2:6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</row>
    <row r="147" spans="2:67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</row>
    <row r="148" spans="2:6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</row>
    <row r="149" spans="2:6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</row>
    <row r="150" spans="2:67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</row>
    <row r="151" spans="2:6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</row>
    <row r="152" spans="2:6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</row>
    <row r="153" spans="2:6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</row>
    <row r="154" spans="2:67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</row>
    <row r="155" spans="2:6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</row>
    <row r="156" spans="2:6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</row>
    <row r="157" spans="2:6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</row>
    <row r="158" spans="2:67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</row>
    <row r="159" spans="2:67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</row>
    <row r="160" spans="2:6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</row>
    <row r="161" spans="1:6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</row>
    <row r="162" spans="1:6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</row>
    <row r="163" spans="1:6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</row>
    <row r="164" spans="1:67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</row>
    <row r="165" spans="1:6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</row>
    <row r="166" spans="1:67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</row>
    <row r="167" spans="1:6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</row>
    <row r="168" spans="1:6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</row>
    <row r="169" spans="1:67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</row>
    <row r="170" spans="1:67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</row>
    <row r="171" spans="1:6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</row>
    <row r="172" spans="1:6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</row>
    <row r="173" spans="1:67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</row>
    <row r="174" spans="1:67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</row>
    <row r="175" spans="1:6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</row>
    <row r="176" spans="1:6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</row>
    <row r="177" spans="2:6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</row>
    <row r="178" spans="2:6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</row>
    <row r="179" spans="2:6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</row>
    <row r="180" spans="2:6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</row>
    <row r="181" spans="2:67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</row>
    <row r="182" spans="2:6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</row>
    <row r="183" spans="2:6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</row>
    <row r="184" spans="2:6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</row>
    <row r="185" spans="2:6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</row>
    <row r="186" spans="2:6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</row>
    <row r="187" spans="2:6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</row>
    <row r="188" spans="2:6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</row>
    <row r="189" spans="2:6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</row>
    <row r="190" spans="2:67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</row>
    <row r="191" spans="2:67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</row>
    <row r="192" spans="2:67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</row>
    <row r="193" spans="2:6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</row>
    <row r="194" spans="2:6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</row>
    <row r="195" spans="2:6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</row>
    <row r="196" spans="2:6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</row>
    <row r="197" spans="2:67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</row>
    <row r="198" spans="2:6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</row>
    <row r="199" spans="2:6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</row>
    <row r="200" spans="2:6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</row>
    <row r="201" spans="2:67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</row>
    <row r="202" spans="2:6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</row>
    <row r="203" spans="2:6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</row>
    <row r="204" spans="2:6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</row>
    <row r="205" spans="2:6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</row>
    <row r="206" spans="2:67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</row>
    <row r="207" spans="2:6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</row>
    <row r="208" spans="2:6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</row>
    <row r="209" spans="1:67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</row>
    <row r="210" spans="1:67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</row>
    <row r="211" spans="1:67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</row>
    <row r="212" spans="1:6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</row>
    <row r="213" spans="1:67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</row>
    <row r="214" spans="1:6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</row>
    <row r="215" spans="1:6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</row>
    <row r="216" spans="1:67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</row>
    <row r="217" spans="1:6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</row>
    <row r="218" spans="1:6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</row>
    <row r="219" spans="1:67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</row>
    <row r="220" spans="1:6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</row>
    <row r="221" spans="1:6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</row>
    <row r="222" spans="1:6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</row>
    <row r="223" spans="1:67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</row>
    <row r="224" spans="1:67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</row>
    <row r="225" spans="1:6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</row>
    <row r="226" spans="1:67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</row>
    <row r="227" spans="1:67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</row>
    <row r="228" spans="1:67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</row>
    <row r="229" spans="1:67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</row>
    <row r="230" spans="1:67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</row>
    <row r="231" spans="1:67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</row>
    <row r="232" spans="1:67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</row>
    <row r="233" spans="1:6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</row>
    <row r="234" spans="1:67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</row>
    <row r="235" spans="1:67" x14ac:dyDescent="0.3">
      <c r="B235" t="s">
        <v>562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</row>
    <row r="236" spans="1:67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</row>
    <row r="237" spans="1:67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</row>
    <row r="238" spans="1:67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</row>
    <row r="239" spans="1:67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</row>
    <row r="240" spans="1:67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2:67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</row>
    <row r="242" spans="2:67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2020-03-25T21:52:36Z</dcterms:modified>
</cp:coreProperties>
</file>