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A8C09671-C8A0-4830-83CF-4E0A59F7879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8" l="1"/>
  <c r="K4" i="8" s="1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J3" i="8"/>
  <c r="K3" i="8" s="1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J4" i="23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J3" i="23"/>
  <c r="K3" i="23" s="1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B133" i="23" a="1"/>
  <c r="B133" i="23" s="1"/>
  <c r="C133" i="23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B136" i="23" a="1"/>
  <c r="B136" i="23" s="1"/>
  <c r="C136" i="23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 a="1"/>
  <c r="B139" i="23" s="1"/>
  <c r="C139" i="23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B25" i="8" a="1"/>
  <c r="B25" i="8" s="1"/>
  <c r="C25" i="8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X15" i="12" l="1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0" i="20" l="1"/>
  <c r="L18" i="20"/>
  <c r="L5" i="20"/>
  <c r="L9" i="20"/>
  <c r="L4" i="20"/>
  <c r="L14" i="20"/>
  <c r="L11" i="20"/>
  <c r="L12" i="20"/>
  <c r="L8" i="20"/>
  <c r="L7" i="20"/>
  <c r="L6" i="20"/>
  <c r="L13" i="20"/>
  <c r="L17" i="20"/>
  <c r="L30" i="20"/>
  <c r="L21" i="20"/>
  <c r="L19" i="20"/>
  <c r="L26" i="20"/>
  <c r="L15" i="20"/>
  <c r="L24" i="20"/>
  <c r="L32" i="20"/>
  <c r="L25" i="20"/>
  <c r="L33" i="20"/>
  <c r="L31" i="20"/>
  <c r="L28" i="20"/>
  <c r="L22" i="20"/>
  <c r="L41" i="20"/>
  <c r="L29" i="20"/>
  <c r="L23" i="20"/>
  <c r="L38" i="20"/>
  <c r="L27" i="20"/>
  <c r="L35" i="20"/>
  <c r="L42" i="20"/>
  <c r="L37" i="20"/>
  <c r="L20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6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N52" i="14"/>
  <c r="O52" i="14" s="1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O77" i="14" s="1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F3" i="23" l="1"/>
  <c r="E3" i="23"/>
  <c r="D3" i="23"/>
  <c r="F2" i="23"/>
  <c r="E2" i="23"/>
  <c r="C32" i="13"/>
  <c r="G3" i="23" l="1"/>
  <c r="G2" i="23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9" i="20"/>
  <c r="H5" i="13" l="1"/>
  <c r="C24" i="13"/>
  <c r="C23" i="13"/>
  <c r="C16" i="13"/>
  <c r="C19" i="13"/>
  <c r="G5" i="13"/>
  <c r="B35" i="13"/>
  <c r="M33" i="20"/>
  <c r="M51" i="20"/>
  <c r="M50" i="20"/>
  <c r="M56" i="20"/>
  <c r="M18" i="20"/>
  <c r="M23" i="20"/>
  <c r="M15" i="20"/>
  <c r="M30" i="20"/>
  <c r="M13" i="20"/>
  <c r="M43" i="20"/>
  <c r="M24" i="20"/>
  <c r="M25" i="20"/>
  <c r="M26" i="20"/>
  <c r="M53" i="20"/>
  <c r="M11" i="20"/>
  <c r="M55" i="20"/>
  <c r="C2" i="13"/>
  <c r="C3" i="8"/>
  <c r="C4" i="8"/>
  <c r="D4" i="8" l="1"/>
  <c r="D3" i="8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4" i="23" l="1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6" i="20" s="1"/>
  <c r="G63" i="14"/>
  <c r="G55" i="14"/>
  <c r="F24" i="20" s="1"/>
  <c r="G47" i="14"/>
  <c r="F15" i="20" s="1"/>
  <c r="G39" i="14"/>
  <c r="F30" i="20" s="1"/>
  <c r="G31" i="14"/>
  <c r="F49" i="20" s="1"/>
  <c r="G23" i="14"/>
  <c r="F20" i="20" s="1"/>
  <c r="G15" i="14"/>
  <c r="F8" i="20" s="1"/>
  <c r="G7" i="14"/>
  <c r="F7" i="20" s="1"/>
  <c r="G120" i="14"/>
  <c r="G112" i="14"/>
  <c r="G104" i="14"/>
  <c r="G96" i="14"/>
  <c r="G88" i="14"/>
  <c r="G80" i="14"/>
  <c r="G72" i="14"/>
  <c r="F34" i="20" s="1"/>
  <c r="G64" i="14"/>
  <c r="G56" i="14"/>
  <c r="G48" i="14"/>
  <c r="F19" i="20" s="1"/>
  <c r="G40" i="14"/>
  <c r="F44" i="20" s="1"/>
  <c r="G32" i="14"/>
  <c r="G24" i="14"/>
  <c r="F11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5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9" i="20" s="1"/>
  <c r="G10" i="14"/>
  <c r="F13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2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0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8" i="20" s="1"/>
  <c r="G38" i="14"/>
  <c r="F52" i="20" s="1"/>
  <c r="G30" i="14"/>
  <c r="G22" i="14"/>
  <c r="F43" i="20" s="1"/>
  <c r="G14" i="14"/>
  <c r="F12" i="20" s="1"/>
  <c r="G6" i="14"/>
  <c r="F17" i="20" s="1"/>
  <c r="G2" i="14"/>
  <c r="F60" i="20" s="1"/>
  <c r="G3" i="14"/>
  <c r="F21" i="20" s="1"/>
  <c r="A2" i="8"/>
  <c r="A3" i="8" s="1"/>
  <c r="F4" i="23" l="1"/>
  <c r="G4" i="23" s="1"/>
  <c r="D4" i="23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4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E62" i="14" s="1"/>
  <c r="P62" i="14" s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E65" i="14" s="1"/>
  <c r="P65" i="14" s="1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4" i="20"/>
  <c r="M67" i="14"/>
  <c r="D56" i="20"/>
  <c r="M41" i="14"/>
  <c r="D16" i="20"/>
  <c r="M71" i="14"/>
  <c r="D44" i="20"/>
  <c r="M52" i="14"/>
  <c r="C15" i="13" s="1"/>
  <c r="C36" i="15" s="1"/>
  <c r="D24" i="20"/>
  <c r="M55" i="14"/>
  <c r="D11" i="20"/>
  <c r="M47" i="14"/>
  <c r="D39" i="20"/>
  <c r="M49" i="14"/>
  <c r="D37" i="20"/>
  <c r="M72" i="14"/>
  <c r="D43" i="20"/>
  <c r="M48" i="14"/>
  <c r="D9" i="20"/>
  <c r="M39" i="14"/>
  <c r="D26" i="20"/>
  <c r="M46" i="14"/>
  <c r="D55" i="20"/>
  <c r="M26" i="14"/>
  <c r="D15" i="20"/>
  <c r="M34" i="14"/>
  <c r="D30" i="20"/>
  <c r="M37" i="14"/>
  <c r="D28" i="20"/>
  <c r="M58" i="14"/>
  <c r="D18" i="20"/>
  <c r="M61" i="14"/>
  <c r="D47" i="20"/>
  <c r="M38" i="14"/>
  <c r="D23" i="20"/>
  <c r="M51" i="14"/>
  <c r="D51" i="20"/>
  <c r="M42" i="14"/>
  <c r="D50" i="20"/>
  <c r="M44" i="14"/>
  <c r="D13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E13" i="20"/>
  <c r="E47" i="20"/>
  <c r="E15" i="20"/>
  <c r="E53" i="20"/>
  <c r="E30" i="20"/>
  <c r="E11" i="20"/>
  <c r="E9" i="20"/>
  <c r="E56" i="20"/>
  <c r="E33" i="20"/>
  <c r="E4" i="20"/>
  <c r="E24" i="20"/>
  <c r="E43" i="20"/>
  <c r="E18" i="20"/>
  <c r="E55" i="20"/>
  <c r="E37" i="20"/>
  <c r="E44" i="20"/>
  <c r="E63" i="20"/>
  <c r="E50" i="20"/>
  <c r="E42" i="20"/>
  <c r="E51" i="20"/>
  <c r="E28" i="20"/>
  <c r="E26" i="20"/>
  <c r="E39" i="20"/>
  <c r="E16" i="20"/>
  <c r="E25" i="20"/>
  <c r="M1" i="8"/>
  <c r="M4" i="13"/>
  <c r="A11" i="8" l="1"/>
  <c r="J6" i="13"/>
  <c r="K6" i="13"/>
  <c r="I6" i="13"/>
  <c r="L6" i="13"/>
  <c r="H6" i="13"/>
  <c r="G6" i="13"/>
  <c r="G7" i="13" s="1"/>
  <c r="L13" i="13"/>
  <c r="M5" i="13"/>
  <c r="M6" i="13"/>
  <c r="N1" i="8"/>
  <c r="N4" i="13"/>
  <c r="A12" i="8" l="1"/>
  <c r="L7" i="13"/>
  <c r="J7" i="13"/>
  <c r="H7" i="13"/>
  <c r="H8" i="13" s="1"/>
  <c r="K7" i="13"/>
  <c r="L15" i="13"/>
  <c r="K15" i="13"/>
  <c r="I15" i="13"/>
  <c r="J15" i="13"/>
  <c r="I7" i="13"/>
  <c r="M7" i="13"/>
  <c r="M13" i="13"/>
  <c r="M15" i="13"/>
  <c r="N5" i="13"/>
  <c r="N6" i="13"/>
  <c r="O1" i="8"/>
  <c r="O4" i="13"/>
  <c r="A13" i="8" l="1"/>
  <c r="L17" i="13"/>
  <c r="M17" i="13"/>
  <c r="K8" i="13"/>
  <c r="L8" i="13"/>
  <c r="I8" i="13"/>
  <c r="I14" i="13" s="1"/>
  <c r="J8" i="13"/>
  <c r="K17" i="13"/>
  <c r="M8" i="13"/>
  <c r="H14" i="13"/>
  <c r="N7" i="13"/>
  <c r="N8" i="13" s="1"/>
  <c r="N13" i="13"/>
  <c r="N15" i="13"/>
  <c r="O5" i="13"/>
  <c r="O6" i="13"/>
  <c r="P1" i="8"/>
  <c r="P4" i="13"/>
  <c r="A14" i="8" l="1"/>
  <c r="J14" i="13"/>
  <c r="J16" i="13" s="1"/>
  <c r="L14" i="13"/>
  <c r="M14" i="13"/>
  <c r="K14" i="13"/>
  <c r="N14" i="13"/>
  <c r="G14" i="13"/>
  <c r="N17" i="13"/>
  <c r="O7" i="13"/>
  <c r="O8" i="13" s="1"/>
  <c r="O13" i="13"/>
  <c r="O15" i="13"/>
  <c r="P5" i="13"/>
  <c r="P6" i="13"/>
  <c r="Q1" i="8"/>
  <c r="Q4" i="13"/>
  <c r="A15" i="8" l="1"/>
  <c r="H16" i="13"/>
  <c r="G16" i="13"/>
  <c r="L16" i="13"/>
  <c r="N16" i="13"/>
  <c r="M16" i="13"/>
  <c r="K16" i="13"/>
  <c r="I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F19" i="8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A22" i="8" l="1"/>
  <c r="V17" i="13"/>
  <c r="V8" i="13"/>
  <c r="W7" i="13"/>
  <c r="W13" i="13"/>
  <c r="W15" i="13"/>
  <c r="X5" i="13"/>
  <c r="Y1" i="8"/>
  <c r="Y4" i="13"/>
  <c r="A23" i="8" l="1"/>
  <c r="E22" i="8"/>
  <c r="F22" i="8"/>
  <c r="V14" i="13"/>
  <c r="W17" i="13"/>
  <c r="X7" i="13"/>
  <c r="W8" i="13"/>
  <c r="X13" i="13"/>
  <c r="X15" i="13"/>
  <c r="Y5" i="13"/>
  <c r="Y6" i="13"/>
  <c r="Z1" i="8"/>
  <c r="Z4" i="13"/>
  <c r="G22" i="8" l="1"/>
  <c r="A24" i="8"/>
  <c r="X8" i="13"/>
  <c r="X14" i="13" s="1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F20" i="8" l="1"/>
  <c r="A25" i="8"/>
  <c r="F24" i="8"/>
  <c r="E19" i="8"/>
  <c r="G19" i="8" s="1"/>
  <c r="F21" i="8"/>
  <c r="X16" i="13"/>
  <c r="Y14" i="13"/>
  <c r="Y17" i="13"/>
  <c r="Z7" i="13"/>
  <c r="Z13" i="13"/>
  <c r="Z15" i="13"/>
  <c r="AA5" i="13"/>
  <c r="AA6" i="13"/>
  <c r="AB1" i="8"/>
  <c r="AB4" i="13"/>
  <c r="E25" i="8" l="1"/>
  <c r="A26" i="8"/>
  <c r="F25" i="8"/>
  <c r="Y16" i="13"/>
  <c r="Z17" i="13"/>
  <c r="Z8" i="13"/>
  <c r="AA7" i="13"/>
  <c r="AA13" i="13"/>
  <c r="AA15" i="13"/>
  <c r="AB5" i="13"/>
  <c r="AB6" i="13"/>
  <c r="AC1" i="8"/>
  <c r="AC4" i="13"/>
  <c r="G25" i="8" l="1"/>
  <c r="E26" i="8"/>
  <c r="A27" i="8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E27" i="8" l="1"/>
  <c r="A28" i="8"/>
  <c r="F27" i="8"/>
  <c r="G26" i="8"/>
  <c r="AB17" i="13"/>
  <c r="AA16" i="13"/>
  <c r="AB8" i="13"/>
  <c r="AC7" i="13"/>
  <c r="AC15" i="13"/>
  <c r="AD5" i="13"/>
  <c r="AD13" i="13" s="1"/>
  <c r="AD6" i="13"/>
  <c r="AE1" i="8"/>
  <c r="AE4" i="13"/>
  <c r="G27" i="8" l="1"/>
  <c r="E24" i="8"/>
  <c r="G24" i="8" s="1"/>
  <c r="E28" i="8"/>
  <c r="A29" i="8"/>
  <c r="F28" i="8"/>
  <c r="AC17" i="13"/>
  <c r="AB14" i="13"/>
  <c r="AC8" i="13"/>
  <c r="AD7" i="13"/>
  <c r="AD15" i="13"/>
  <c r="AE5" i="13"/>
  <c r="AE13" i="13" s="1"/>
  <c r="AE6" i="13"/>
  <c r="AF1" i="8"/>
  <c r="AF4" i="13"/>
  <c r="G28" i="8" l="1"/>
  <c r="E29" i="8"/>
  <c r="A30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A31" i="8" l="1"/>
  <c r="E30" i="8"/>
  <c r="F30" i="8"/>
  <c r="G29" i="8"/>
  <c r="AC16" i="13"/>
  <c r="AE17" i="13"/>
  <c r="AD14" i="13"/>
  <c r="AF7" i="13"/>
  <c r="AE8" i="13"/>
  <c r="AF15" i="13"/>
  <c r="AG5" i="13"/>
  <c r="AG6" i="13"/>
  <c r="AH1" i="8"/>
  <c r="AH4" i="13"/>
  <c r="G30" i="8" l="1"/>
  <c r="AF8" i="13"/>
  <c r="AF14" i="13" s="1"/>
  <c r="A32" i="8"/>
  <c r="E31" i="8"/>
  <c r="F31" i="8"/>
  <c r="AD16" i="13"/>
  <c r="AF17" i="13"/>
  <c r="AE14" i="13"/>
  <c r="AE16" i="13" s="1"/>
  <c r="AG7" i="13"/>
  <c r="AG13" i="13"/>
  <c r="AG15" i="13"/>
  <c r="AH5" i="13"/>
  <c r="AH13" i="13" s="1"/>
  <c r="AH6" i="13"/>
  <c r="AI1" i="8"/>
  <c r="AI4" i="13"/>
  <c r="G31" i="8" l="1"/>
  <c r="A33" i="8"/>
  <c r="E32" i="8"/>
  <c r="F32" i="8"/>
  <c r="AG17" i="13"/>
  <c r="AF16" i="13"/>
  <c r="AH7" i="13"/>
  <c r="AH8" i="13" s="1"/>
  <c r="AG8" i="13"/>
  <c r="AH15" i="13"/>
  <c r="AI5" i="13"/>
  <c r="AI13" i="13" s="1"/>
  <c r="AI6" i="13"/>
  <c r="AJ1" i="8"/>
  <c r="AJ4" i="13"/>
  <c r="G32" i="8" l="1"/>
  <c r="E33" i="8"/>
  <c r="A34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G33" i="8" l="1"/>
  <c r="E34" i="8"/>
  <c r="A35" i="8"/>
  <c r="F34" i="8"/>
  <c r="AG16" i="13"/>
  <c r="AH16" i="13"/>
  <c r="AJ7" i="13"/>
  <c r="AJ15" i="13"/>
  <c r="AJ17" i="13" s="1"/>
  <c r="AK5" i="13"/>
  <c r="AK13" i="13" s="1"/>
  <c r="AK6" i="13"/>
  <c r="AL1" i="8"/>
  <c r="AL4" i="13"/>
  <c r="E35" i="8" l="1"/>
  <c r="A36" i="8"/>
  <c r="F35" i="8"/>
  <c r="G34" i="8"/>
  <c r="AI14" i="13"/>
  <c r="AJ8" i="13"/>
  <c r="AK7" i="13"/>
  <c r="AK8" i="13" s="1"/>
  <c r="AL6" i="13"/>
  <c r="AK15" i="13"/>
  <c r="AL5" i="13"/>
  <c r="AM1" i="8"/>
  <c r="AM4" i="13"/>
  <c r="E36" i="8" l="1"/>
  <c r="A37" i="8"/>
  <c r="F36" i="8"/>
  <c r="G35" i="8"/>
  <c r="AK17" i="13"/>
  <c r="AI16" i="13"/>
  <c r="G10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E37" i="8" l="1"/>
  <c r="A38" i="8"/>
  <c r="F37" i="8"/>
  <c r="G36" i="8"/>
  <c r="AJ16" i="13"/>
  <c r="AK16" i="13"/>
  <c r="AM7" i="13"/>
  <c r="AM8" i="13" s="1"/>
  <c r="AM15" i="13"/>
  <c r="AN5" i="13"/>
  <c r="AN6" i="13"/>
  <c r="AO1" i="8"/>
  <c r="AO4" i="13"/>
  <c r="A39" i="8" l="1"/>
  <c r="E38" i="8"/>
  <c r="F38" i="8"/>
  <c r="G37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G38" i="8" l="1"/>
  <c r="A40" i="8"/>
  <c r="E39" i="8"/>
  <c r="F39" i="8"/>
  <c r="AL16" i="13"/>
  <c r="AM16" i="13"/>
  <c r="AN17" i="13"/>
  <c r="AN14" i="13"/>
  <c r="AO7" i="13"/>
  <c r="AO15" i="13"/>
  <c r="AP5" i="13"/>
  <c r="AP6" i="13"/>
  <c r="AQ1" i="8"/>
  <c r="AQ4" i="13"/>
  <c r="G39" i="8" l="1"/>
  <c r="A41" i="8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G40" i="8" l="1"/>
  <c r="E41" i="8"/>
  <c r="A42" i="8"/>
  <c r="F41" i="8"/>
  <c r="AP17" i="13"/>
  <c r="AP14" i="13"/>
  <c r="AO14" i="13"/>
  <c r="AQ7" i="13"/>
  <c r="AQ8" i="13" s="1"/>
  <c r="AQ15" i="13"/>
  <c r="AR5" i="13"/>
  <c r="AR6" i="13"/>
  <c r="AS1" i="8"/>
  <c r="AS4" i="13"/>
  <c r="A43" i="8" l="1"/>
  <c r="F42" i="8"/>
  <c r="G41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43" i="8" l="1"/>
  <c r="A44" i="8"/>
  <c r="F43" i="8"/>
  <c r="AQ16" i="13"/>
  <c r="AR14" i="13"/>
  <c r="AS7" i="13"/>
  <c r="AS8" i="13" s="1"/>
  <c r="AS15" i="13"/>
  <c r="AS17" i="13" s="1"/>
  <c r="AT5" i="13"/>
  <c r="AT6" i="13"/>
  <c r="AU1" i="8"/>
  <c r="E42" i="8" s="1"/>
  <c r="G42" i="8" s="1"/>
  <c r="AU4" i="13"/>
  <c r="E44" i="8" l="1"/>
  <c r="A45" i="8"/>
  <c r="F44" i="8"/>
  <c r="G43" i="8"/>
  <c r="AR16" i="13"/>
  <c r="AS14" i="13"/>
  <c r="AS16" i="13" s="1"/>
  <c r="AT7" i="13"/>
  <c r="AT13" i="13"/>
  <c r="AT15" i="13"/>
  <c r="AU5" i="13"/>
  <c r="AU6" i="13"/>
  <c r="AV1" i="8"/>
  <c r="AV4" i="13"/>
  <c r="E45" i="8" l="1"/>
  <c r="A46" i="8"/>
  <c r="F45" i="8"/>
  <c r="G44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47" i="8" l="1"/>
  <c r="E46" i="8"/>
  <c r="F46" i="8"/>
  <c r="G45" i="8"/>
  <c r="AU14" i="13"/>
  <c r="AT14" i="13"/>
  <c r="AV7" i="13"/>
  <c r="AV8" i="13" s="1"/>
  <c r="AV15" i="13"/>
  <c r="AW5" i="13"/>
  <c r="AW6" i="13"/>
  <c r="AX1" i="8"/>
  <c r="G27" i="20"/>
  <c r="AX4" i="13"/>
  <c r="G46" i="8" l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E49" i="8"/>
  <c r="A50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5" i="20"/>
  <c r="BA4" i="13"/>
  <c r="E50" i="8" l="1"/>
  <c r="A51" i="8"/>
  <c r="F50" i="8"/>
  <c r="G49" i="8"/>
  <c r="AY14" i="13"/>
  <c r="AZ7" i="13"/>
  <c r="AZ8" i="13" s="1"/>
  <c r="AZ15" i="13"/>
  <c r="AZ17" i="13" s="1"/>
  <c r="BA5" i="13"/>
  <c r="BA6" i="13"/>
  <c r="BB1" i="8"/>
  <c r="BB4" i="13"/>
  <c r="G50" i="8" l="1"/>
  <c r="E51" i="8"/>
  <c r="A52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53" i="8" l="1"/>
  <c r="A54" i="8"/>
  <c r="F53" i="8"/>
  <c r="G52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A55" i="8" l="1"/>
  <c r="E54" i="8"/>
  <c r="F54" i="8"/>
  <c r="G53" i="8"/>
  <c r="G40" i="20" s="1"/>
  <c r="BC17" i="13"/>
  <c r="BF1" i="8"/>
  <c r="G22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5" i="20"/>
  <c r="J15" i="20" s="1"/>
  <c r="C16" i="15"/>
  <c r="C34" i="15"/>
  <c r="I3" i="13"/>
  <c r="C10" i="15"/>
  <c r="BG4" i="13"/>
  <c r="G55" i="8" l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E57" i="8"/>
  <c r="A58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58" i="8" l="1"/>
  <c r="A59" i="8"/>
  <c r="F58" i="8"/>
  <c r="G57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8" l="1"/>
  <c r="A60" i="8"/>
  <c r="F59" i="8"/>
  <c r="G58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60" i="8" l="1"/>
  <c r="A61" i="8"/>
  <c r="F60" i="8"/>
  <c r="G59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3" i="8" l="1"/>
  <c r="E4" i="8"/>
  <c r="F3" i="8"/>
  <c r="F4" i="8"/>
  <c r="E5" i="8"/>
  <c r="F6" i="8"/>
  <c r="F7" i="8"/>
  <c r="E6" i="8"/>
  <c r="F5" i="8"/>
  <c r="E8" i="8"/>
  <c r="F8" i="8"/>
  <c r="E7" i="8"/>
  <c r="F9" i="8"/>
  <c r="E9" i="8"/>
  <c r="F10" i="8"/>
  <c r="E10" i="8"/>
  <c r="E11" i="8"/>
  <c r="F11" i="8"/>
  <c r="F12" i="8"/>
  <c r="F13" i="8"/>
  <c r="E14" i="8"/>
  <c r="E12" i="8"/>
  <c r="F16" i="8"/>
  <c r="F15" i="8"/>
  <c r="E13" i="8"/>
  <c r="F17" i="8"/>
  <c r="E15" i="8"/>
  <c r="F14" i="8"/>
  <c r="E18" i="8"/>
  <c r="E16" i="8"/>
  <c r="F18" i="8"/>
  <c r="E17" i="8"/>
  <c r="E20" i="8"/>
  <c r="G20" i="8" s="1"/>
  <c r="E21" i="8"/>
  <c r="G21" i="8" s="1"/>
  <c r="G12" i="20" s="1"/>
  <c r="F23" i="8"/>
  <c r="E23" i="8"/>
  <c r="A63" i="8"/>
  <c r="E62" i="8"/>
  <c r="F62" i="8"/>
  <c r="G61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19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15" i="8" l="1"/>
  <c r="G13" i="8"/>
  <c r="G12" i="8"/>
  <c r="G9" i="8"/>
  <c r="G7" i="20" s="1"/>
  <c r="G17" i="8"/>
  <c r="G6" i="8"/>
  <c r="G8" i="8"/>
  <c r="G60" i="20" s="1"/>
  <c r="G10" i="8"/>
  <c r="G14" i="20" s="1"/>
  <c r="G62" i="8"/>
  <c r="G16" i="8"/>
  <c r="G7" i="8"/>
  <c r="G17" i="20" s="1"/>
  <c r="G4" i="8"/>
  <c r="A64" i="8"/>
  <c r="E63" i="8"/>
  <c r="F63" i="8"/>
  <c r="G18" i="8"/>
  <c r="G13" i="20" s="1"/>
  <c r="J13" i="20" s="1"/>
  <c r="G14" i="8"/>
  <c r="G5" i="8"/>
  <c r="G23" i="8"/>
  <c r="G11" i="8"/>
  <c r="G8" i="20" s="1"/>
  <c r="G3" i="8"/>
  <c r="BK16" i="13"/>
  <c r="BJ16" i="13"/>
  <c r="BL17" i="13"/>
  <c r="G50" i="20"/>
  <c r="J50" i="20" s="1"/>
  <c r="G9" i="20"/>
  <c r="J9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G63" i="8" l="1"/>
  <c r="A65" i="8"/>
  <c r="E64" i="8"/>
  <c r="F64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E65" i="8"/>
  <c r="A66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66" i="8" l="1"/>
  <c r="A67" i="8"/>
  <c r="F66" i="8"/>
  <c r="G65" i="8"/>
  <c r="G58" i="20" s="1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E67" i="8" l="1"/>
  <c r="A68" i="8"/>
  <c r="F67" i="8"/>
  <c r="G66" i="8"/>
  <c r="G44" i="20" s="1"/>
  <c r="J44" i="20" s="1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G67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E69" i="8" l="1"/>
  <c r="A70" i="8"/>
  <c r="F69" i="8"/>
  <c r="G68" i="8"/>
  <c r="G48" i="20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0" i="20"/>
  <c r="G11" i="20"/>
  <c r="J11" i="20" s="1"/>
  <c r="X3" i="13"/>
  <c r="BV4" i="13"/>
  <c r="G70" i="8" l="1"/>
  <c r="A72" i="8"/>
  <c r="E71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1" i="20"/>
  <c r="Y3" i="13"/>
  <c r="BW4" i="13"/>
  <c r="G71" i="8" l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E73" i="8"/>
  <c r="A74" i="8"/>
  <c r="F73" i="8"/>
  <c r="BY17" i="13"/>
  <c r="BX17" i="13"/>
  <c r="BW17" i="13"/>
  <c r="BV8" i="13"/>
  <c r="BU12" i="13"/>
  <c r="BU10" i="13"/>
  <c r="BU11" i="13"/>
  <c r="BT16" i="13"/>
  <c r="BU16" i="13"/>
  <c r="BW7" i="13"/>
  <c r="BX15" i="13"/>
  <c r="BZ17" i="13" s="1"/>
  <c r="Z25" i="13"/>
  <c r="Z27" i="13"/>
  <c r="Z28" i="13" s="1"/>
  <c r="BX5" i="13"/>
  <c r="BX13" i="13" s="1"/>
  <c r="BX6" i="13"/>
  <c r="G54" i="20"/>
  <c r="G52" i="20"/>
  <c r="AA3" i="13"/>
  <c r="BY4" i="13"/>
  <c r="E74" i="8" l="1"/>
  <c r="A75" i="8"/>
  <c r="F74" i="8"/>
  <c r="G73" i="8"/>
  <c r="G53" i="20" s="1"/>
  <c r="J53" i="20" s="1"/>
  <c r="CE8" i="13"/>
  <c r="CF14" i="13" s="1"/>
  <c r="CH16" i="13" s="1"/>
  <c r="BX8" i="13"/>
  <c r="BY14" i="13" s="1"/>
  <c r="CA16" i="13" s="1"/>
  <c r="CC8" i="13"/>
  <c r="CD14" i="13" s="1"/>
  <c r="CF16" i="13" s="1"/>
  <c r="BY8" i="13"/>
  <c r="BZ14" i="13" s="1"/>
  <c r="CB16" i="13" s="1"/>
  <c r="BW8" i="13"/>
  <c r="BX14" i="13" s="1"/>
  <c r="BZ16" i="13" s="1"/>
  <c r="CD8" i="13"/>
  <c r="CE14" i="13" s="1"/>
  <c r="CG16" i="13" s="1"/>
  <c r="CA8" i="13"/>
  <c r="CB14" i="13" s="1"/>
  <c r="CD16" i="13" s="1"/>
  <c r="CB8" i="13"/>
  <c r="CC14" i="13" s="1"/>
  <c r="CE16" i="13" s="1"/>
  <c r="BZ8" i="13"/>
  <c r="CA14" i="13" s="1"/>
  <c r="CC16" i="13" s="1"/>
  <c r="CF8" i="13"/>
  <c r="CG14" i="13" s="1"/>
  <c r="CI16" i="13" s="1"/>
  <c r="BV10" i="13"/>
  <c r="BV12" i="13"/>
  <c r="BV14" i="13"/>
  <c r="BV11" i="13"/>
  <c r="BX7" i="13"/>
  <c r="CH8" i="13" s="1"/>
  <c r="BY13" i="13"/>
  <c r="BY15" i="13"/>
  <c r="CA17" i="13" s="1"/>
  <c r="AA27" i="13"/>
  <c r="AA28" i="13" s="1"/>
  <c r="AA25" i="13"/>
  <c r="BY5" i="13"/>
  <c r="BY6" i="13"/>
  <c r="AB3" i="13"/>
  <c r="BZ4" i="13"/>
  <c r="E75" i="8" l="1"/>
  <c r="A76" i="8"/>
  <c r="F75" i="8"/>
  <c r="G74" i="8"/>
  <c r="CG8" i="13"/>
  <c r="CH14" i="13" s="1"/>
  <c r="CJ16" i="13" s="1"/>
  <c r="BW11" i="13"/>
  <c r="BX11" i="13" s="1"/>
  <c r="BY11" i="13" s="1"/>
  <c r="BZ11" i="13" s="1"/>
  <c r="CA11" i="13" s="1"/>
  <c r="CB11" i="13" s="1"/>
  <c r="CC11" i="13" s="1"/>
  <c r="CD11" i="13" s="1"/>
  <c r="CE11" i="13" s="1"/>
  <c r="CF11" i="13" s="1"/>
  <c r="CG11" i="13" s="1"/>
  <c r="CH11" i="13" s="1"/>
  <c r="BW12" i="13"/>
  <c r="BX12" i="13" s="1"/>
  <c r="BY12" i="13" s="1"/>
  <c r="BZ12" i="13" s="1"/>
  <c r="CA12" i="13" s="1"/>
  <c r="CB12" i="13" s="1"/>
  <c r="CC12" i="13" s="1"/>
  <c r="CD12" i="13" s="1"/>
  <c r="CE12" i="13" s="1"/>
  <c r="CF12" i="13" s="1"/>
  <c r="CG12" i="13" s="1"/>
  <c r="BW10" i="13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BW14" i="13"/>
  <c r="BY16" i="13" s="1"/>
  <c r="BV16" i="13"/>
  <c r="CI14" i="13"/>
  <c r="CK16" i="13" s="1"/>
  <c r="BY7" i="13"/>
  <c r="CI8" i="13" s="1"/>
  <c r="BZ13" i="13"/>
  <c r="AB27" i="13"/>
  <c r="AB28" i="13" s="1"/>
  <c r="AB25" i="13"/>
  <c r="BZ15" i="13"/>
  <c r="CB17" i="13" s="1"/>
  <c r="BZ5" i="13"/>
  <c r="BZ6" i="13"/>
  <c r="AC3" i="13"/>
  <c r="CA4" i="13"/>
  <c r="E76" i="8" l="1"/>
  <c r="A77" i="8"/>
  <c r="F76" i="8"/>
  <c r="G75" i="8"/>
  <c r="BW16" i="13"/>
  <c r="BX16" i="13"/>
  <c r="CJ14" i="13"/>
  <c r="CL16" i="13" s="1"/>
  <c r="CH10" i="13"/>
  <c r="CH12" i="13"/>
  <c r="CI12" i="13" s="1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E77" i="8" l="1"/>
  <c r="A78" i="8"/>
  <c r="F77" i="8"/>
  <c r="G76" i="8"/>
  <c r="CK14" i="13"/>
  <c r="CM16" i="13" s="1"/>
  <c r="CI10" i="13"/>
  <c r="CI11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A79" i="8" l="1"/>
  <c r="E78" i="8"/>
  <c r="F78" i="8"/>
  <c r="G77" i="8"/>
  <c r="G35" i="20" s="1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G78" i="8" l="1"/>
  <c r="E79" i="8"/>
  <c r="A80" i="8"/>
  <c r="F79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A81" i="8" l="1"/>
  <c r="E80" i="8"/>
  <c r="F80" i="8"/>
  <c r="G79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E81" i="8"/>
  <c r="A82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E82" i="8" l="1"/>
  <c r="A83" i="8"/>
  <c r="F82" i="8"/>
  <c r="G81" i="8"/>
  <c r="G38" i="20" s="1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8" i="20"/>
  <c r="J18" i="20" s="1"/>
  <c r="AJ3" i="13"/>
  <c r="CH4" i="13"/>
  <c r="E83" i="8" l="1"/>
  <c r="A84" i="8"/>
  <c r="F83" i="8"/>
  <c r="G82" i="8"/>
  <c r="G42" i="20" s="1"/>
  <c r="J42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A85" i="8" l="1"/>
  <c r="E84" i="8"/>
  <c r="F84" i="8"/>
  <c r="G83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G84" i="8" l="1"/>
  <c r="E85" i="8"/>
  <c r="A86" i="8"/>
  <c r="F85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A87" i="8" l="1"/>
  <c r="E86" i="8"/>
  <c r="F86" i="8"/>
  <c r="G85" i="8"/>
  <c r="G36" i="20" s="1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E87" i="8"/>
  <c r="A88" i="8"/>
  <c r="F87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E88" i="8" l="1"/>
  <c r="A89" i="8"/>
  <c r="F88" i="8"/>
  <c r="G87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G88" i="8" l="1"/>
  <c r="E89" i="8"/>
  <c r="A90" i="8"/>
  <c r="F89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G90" i="8" l="1"/>
  <c r="E91" i="8"/>
  <c r="A92" i="8"/>
  <c r="F91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G55" i="20" s="1"/>
  <c r="J55" i="20" s="1"/>
  <c r="E92" i="8"/>
  <c r="A93" i="8"/>
  <c r="F92" i="8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E93" i="8"/>
  <c r="A94" i="8"/>
  <c r="F93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G51" i="20" s="1"/>
  <c r="J51" i="20" s="1"/>
  <c r="E94" i="8"/>
  <c r="A95" i="8"/>
  <c r="F94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E95" i="8"/>
  <c r="A96" i="8"/>
  <c r="F95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E96" i="8"/>
  <c r="A97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A98" i="8"/>
  <c r="E97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E100" i="8"/>
  <c r="A101" i="8"/>
  <c r="F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E101" i="8"/>
  <c r="A102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E102" i="8"/>
  <c r="A103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E103" i="8"/>
  <c r="A104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E104" i="8"/>
  <c r="A105" i="8"/>
  <c r="F104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F105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A109" i="8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E109" i="8"/>
  <c r="A110" i="8"/>
  <c r="F109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E110" i="8"/>
  <c r="A111" i="8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DS14" i="13" l="1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4" i="20"/>
  <c r="J4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6" i="20"/>
  <c r="J16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2" i="20"/>
  <c r="E12" i="20" s="1"/>
  <c r="M12" i="20"/>
  <c r="D36" i="20"/>
  <c r="E36" i="20" s="1"/>
  <c r="M36" i="20"/>
  <c r="D52" i="20"/>
  <c r="E52" i="20" s="1"/>
  <c r="M52" i="20"/>
  <c r="M20" i="20"/>
  <c r="D20" i="20"/>
  <c r="E20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4" i="20"/>
  <c r="E14" i="20" s="1"/>
  <c r="M14" i="20"/>
  <c r="D22" i="20"/>
  <c r="E22" i="20" s="1"/>
  <c r="M22" i="20"/>
  <c r="M17" i="20"/>
  <c r="D17" i="20"/>
  <c r="E17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0" i="20"/>
  <c r="E10" i="20" s="1"/>
  <c r="M10" i="20"/>
  <c r="M34" i="20"/>
  <c r="D34" i="20"/>
  <c r="E34" i="20" s="1"/>
  <c r="D19" i="20"/>
  <c r="E19" i="20" s="1"/>
  <c r="M19" i="20"/>
  <c r="M49" i="20"/>
  <c r="D49" i="20"/>
  <c r="E49" i="20" s="1"/>
  <c r="M5" i="20"/>
  <c r="D5" i="20"/>
  <c r="E5" i="20" s="1"/>
  <c r="D48" i="20"/>
  <c r="E48" i="20" s="1"/>
  <c r="M48" i="20"/>
  <c r="M29" i="20"/>
  <c r="D29" i="20"/>
  <c r="E29" i="20" s="1"/>
  <c r="M61" i="20"/>
  <c r="D61" i="20"/>
  <c r="E61" i="20" s="1"/>
  <c r="D8" i="20"/>
  <c r="E8" i="20" s="1"/>
  <c r="M8" i="20"/>
  <c r="D54" i="20"/>
  <c r="E54" i="20" s="1"/>
  <c r="M54" i="20"/>
  <c r="M40" i="20"/>
  <c r="D40" i="20"/>
  <c r="E40" i="20" s="1"/>
  <c r="D7" i="20"/>
  <c r="E7" i="20" s="1"/>
  <c r="M7" i="20"/>
  <c r="BG20" i="13" l="1"/>
  <c r="BG26" i="13" s="1"/>
  <c r="BH9" i="13"/>
  <c r="CG22" i="13"/>
  <c r="CG21" i="13"/>
  <c r="CG23" i="13"/>
  <c r="J6" i="20"/>
  <c r="J32" i="20"/>
  <c r="J7" i="20"/>
  <c r="J59" i="20"/>
  <c r="J40" i="20"/>
  <c r="J35" i="20"/>
  <c r="J36" i="20"/>
  <c r="J58" i="20"/>
  <c r="J54" i="20"/>
  <c r="J20" i="20"/>
  <c r="J60" i="20"/>
  <c r="J22" i="20"/>
  <c r="J10" i="20"/>
  <c r="J57" i="20"/>
  <c r="J8" i="20"/>
  <c r="J21" i="20"/>
  <c r="J48" i="20"/>
  <c r="J14" i="20"/>
  <c r="J19" i="20"/>
  <c r="J38" i="20"/>
  <c r="J45" i="20"/>
  <c r="J5" i="20"/>
  <c r="J46" i="20"/>
  <c r="J61" i="20"/>
  <c r="J49" i="20"/>
  <c r="J52" i="20"/>
  <c r="J29" i="20"/>
  <c r="J41" i="20"/>
  <c r="J34" i="20"/>
  <c r="J31" i="20"/>
  <c r="J17" i="20"/>
  <c r="J27" i="20"/>
  <c r="J12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E74" i="23"/>
  <c r="F74" i="23"/>
  <c r="G74" i="23"/>
  <c r="E73" i="23"/>
  <c r="F73" i="23"/>
  <c r="G73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72" i="23"/>
  <c r="F72" i="23"/>
  <c r="G72" i="23"/>
  <c r="E71" i="23"/>
  <c r="F71" i="23"/>
  <c r="G71" i="23"/>
  <c r="H38" i="20"/>
  <c r="E70" i="23"/>
  <c r="F70" i="23"/>
  <c r="G70" i="23"/>
  <c r="H22" i="20"/>
  <c r="E69" i="23"/>
  <c r="F69" i="23"/>
  <c r="G69" i="23"/>
  <c r="H29" i="20"/>
  <c r="E68" i="23"/>
  <c r="F68" i="23"/>
  <c r="G68" i="23"/>
  <c r="H31" i="20"/>
  <c r="E67" i="23"/>
  <c r="F67" i="23"/>
  <c r="G67" i="23"/>
  <c r="H25" i="20"/>
  <c r="E66" i="23"/>
  <c r="F66" i="23"/>
  <c r="G66" i="23"/>
  <c r="E64" i="23"/>
  <c r="F64" i="23"/>
  <c r="G64" i="23"/>
  <c r="H35" i="20"/>
  <c r="E65" i="23"/>
  <c r="F65" i="23"/>
  <c r="G65" i="23"/>
  <c r="E63" i="23"/>
  <c r="F63" i="23"/>
  <c r="G63" i="23"/>
  <c r="H49" i="20"/>
  <c r="E62" i="23"/>
  <c r="F62" i="23"/>
  <c r="G62" i="23"/>
  <c r="E61" i="23"/>
  <c r="F61" i="23"/>
  <c r="G61" i="23"/>
  <c r="E59" i="23"/>
  <c r="F59" i="23"/>
  <c r="G59" i="23"/>
  <c r="H37" i="20"/>
  <c r="E60" i="23"/>
  <c r="F60" i="23"/>
  <c r="G60" i="23"/>
  <c r="E58" i="23"/>
  <c r="F58" i="23"/>
  <c r="G58" i="23"/>
  <c r="H65" i="20"/>
  <c r="E57" i="23"/>
  <c r="F57" i="23"/>
  <c r="G57" i="23"/>
  <c r="E56" i="23"/>
  <c r="F56" i="23"/>
  <c r="G56" i="23"/>
  <c r="H28" i="20"/>
  <c r="E55" i="23"/>
  <c r="F55" i="23"/>
  <c r="G55" i="23"/>
  <c r="H26" i="20"/>
  <c r="E54" i="23"/>
  <c r="F54" i="23"/>
  <c r="G54" i="23"/>
  <c r="E53" i="23"/>
  <c r="F53" i="23"/>
  <c r="G53" i="23"/>
  <c r="H33" i="20"/>
  <c r="E52" i="23"/>
  <c r="F52" i="23"/>
  <c r="G52" i="23"/>
  <c r="H24" i="20"/>
  <c r="E51" i="23"/>
  <c r="F51" i="23"/>
  <c r="G51" i="23"/>
  <c r="E50" i="23"/>
  <c r="F50" i="23"/>
  <c r="G50" i="23"/>
  <c r="F49" i="23"/>
  <c r="E49" i="23"/>
  <c r="G49" i="23"/>
  <c r="E47" i="23"/>
  <c r="F47" i="23"/>
  <c r="G47" i="23"/>
  <c r="H51" i="20"/>
  <c r="F48" i="23"/>
  <c r="E48" i="23"/>
  <c r="G48" i="23"/>
  <c r="H41" i="20"/>
  <c r="E46" i="23"/>
  <c r="F46" i="23"/>
  <c r="G46" i="23"/>
  <c r="H15" i="20"/>
  <c r="E45" i="23"/>
  <c r="F45" i="23"/>
  <c r="G45" i="23"/>
  <c r="H30" i="20"/>
  <c r="E44" i="23"/>
  <c r="F44" i="23"/>
  <c r="G44" i="23"/>
  <c r="H45" i="20"/>
  <c r="E43" i="23"/>
  <c r="F43" i="23"/>
  <c r="G43" i="23"/>
  <c r="E42" i="23"/>
  <c r="F42" i="23"/>
  <c r="G42" i="23"/>
  <c r="E41" i="23"/>
  <c r="F41" i="23"/>
  <c r="G41" i="23"/>
  <c r="H20" i="20"/>
  <c r="E40" i="23"/>
  <c r="F40" i="23"/>
  <c r="G40" i="23"/>
  <c r="H44" i="20"/>
  <c r="E39" i="23"/>
  <c r="F39" i="23"/>
  <c r="G39" i="23"/>
  <c r="E38" i="23"/>
  <c r="F38" i="23"/>
  <c r="G38" i="23"/>
  <c r="H47" i="20"/>
  <c r="E37" i="23"/>
  <c r="F37" i="23"/>
  <c r="G37" i="23"/>
  <c r="H48" i="20"/>
  <c r="E36" i="23"/>
  <c r="F36" i="23"/>
  <c r="G36" i="23"/>
  <c r="H32" i="20"/>
  <c r="E35" i="23"/>
  <c r="F35" i="23"/>
  <c r="G35" i="23"/>
  <c r="H57" i="20"/>
  <c r="E34" i="23"/>
  <c r="F34" i="23"/>
  <c r="G34" i="23"/>
  <c r="H16" i="20"/>
  <c r="E33" i="23"/>
  <c r="F33" i="23"/>
  <c r="G33" i="23"/>
  <c r="H27" i="20"/>
  <c r="E32" i="23"/>
  <c r="F32" i="23"/>
  <c r="G32" i="23"/>
  <c r="H50" i="20"/>
  <c r="E31" i="23"/>
  <c r="F31" i="23"/>
  <c r="G31" i="23"/>
  <c r="H19" i="20"/>
  <c r="E30" i="23"/>
  <c r="F30" i="23"/>
  <c r="G30" i="23"/>
  <c r="H11" i="20"/>
  <c r="E29" i="23"/>
  <c r="F29" i="23"/>
  <c r="G29" i="23"/>
  <c r="H4" i="20"/>
  <c r="E28" i="23"/>
  <c r="F28" i="23"/>
  <c r="G28" i="23"/>
  <c r="H18" i="20"/>
  <c r="E27" i="23"/>
  <c r="F27" i="23"/>
  <c r="G27" i="23"/>
  <c r="H5" i="20"/>
  <c r="F26" i="23"/>
  <c r="E26" i="23"/>
  <c r="G26" i="23"/>
  <c r="H46" i="20"/>
  <c r="E25" i="23"/>
  <c r="F25" i="23"/>
  <c r="G25" i="23"/>
  <c r="E24" i="23"/>
  <c r="F24" i="23"/>
  <c r="G24" i="23"/>
  <c r="E23" i="23"/>
  <c r="F23" i="23"/>
  <c r="G23" i="23"/>
  <c r="H10" i="20"/>
  <c r="E22" i="23"/>
  <c r="F22" i="23"/>
  <c r="G22" i="23"/>
  <c r="E21" i="23"/>
  <c r="F21" i="23"/>
  <c r="G21" i="23"/>
  <c r="E20" i="23"/>
  <c r="F20" i="23"/>
  <c r="G20" i="23"/>
  <c r="H13" i="20"/>
  <c r="E19" i="23"/>
  <c r="F19" i="23"/>
  <c r="G19" i="23"/>
  <c r="H9" i="20"/>
  <c r="E18" i="23"/>
  <c r="F18" i="23"/>
  <c r="G18" i="23"/>
  <c r="H12" i="20"/>
  <c r="E11" i="23"/>
  <c r="F11" i="23"/>
  <c r="G11" i="23"/>
  <c r="H7" i="20"/>
  <c r="E10" i="23"/>
  <c r="F10" i="23"/>
  <c r="G10" i="23"/>
  <c r="H8" i="20"/>
  <c r="F17" i="23"/>
  <c r="E17" i="23"/>
  <c r="G17" i="23"/>
  <c r="H56" i="20"/>
  <c r="E16" i="23"/>
  <c r="F16" i="23"/>
  <c r="G16" i="23"/>
  <c r="E15" i="23"/>
  <c r="F15" i="23"/>
  <c r="G15" i="23"/>
  <c r="F9" i="23"/>
  <c r="E9" i="23"/>
  <c r="G9" i="23"/>
  <c r="H6" i="20"/>
  <c r="E14" i="23"/>
  <c r="F14" i="23"/>
  <c r="G14" i="23"/>
  <c r="F8" i="23"/>
  <c r="E8" i="23"/>
  <c r="G8" i="23"/>
  <c r="H14" i="20"/>
  <c r="E13" i="23"/>
  <c r="F13" i="23"/>
  <c r="G13" i="23"/>
  <c r="E7" i="23"/>
  <c r="F7" i="23"/>
  <c r="G7" i="23"/>
  <c r="H60" i="20"/>
  <c r="E12" i="23"/>
  <c r="F12" i="23"/>
  <c r="G12" i="23"/>
  <c r="E5" i="23"/>
  <c r="F5" i="23"/>
  <c r="G5" i="23"/>
  <c r="H21" i="20"/>
  <c r="E6" i="23"/>
  <c r="F6" i="23"/>
  <c r="G6" i="23"/>
  <c r="H17" i="20"/>
</calcChain>
</file>

<file path=xl/sharedStrings.xml><?xml version="1.0" encoding="utf-8"?>
<sst xmlns="http://schemas.openxmlformats.org/spreadsheetml/2006/main" count="2604" uniqueCount="622">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</sst>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18.224290740658262</c:v>
                </c:pt>
                <c:pt idx="1">
                  <c:v>25.765376564378922</c:v>
                </c:pt>
                <c:pt idx="2">
                  <c:v>32.520932614795349</c:v>
                </c:pt>
                <c:pt idx="3">
                  <c:v>43.047031577072104</c:v>
                </c:pt>
                <c:pt idx="4">
                  <c:v>50.588117400792761</c:v>
                </c:pt>
                <c:pt idx="5">
                  <c:v>60.328686589765283</c:v>
                </c:pt>
                <c:pt idx="6">
                  <c:v>72.111633189328813</c:v>
                </c:pt>
                <c:pt idx="7">
                  <c:v>92.378301340578091</c:v>
                </c:pt>
                <c:pt idx="8">
                  <c:v>125.52765777401683</c:v>
                </c:pt>
                <c:pt idx="9">
                  <c:v>177.68683472141805</c:v>
                </c:pt>
                <c:pt idx="10">
                  <c:v>208.63670778960494</c:v>
                </c:pt>
                <c:pt idx="11">
                  <c:v>199.68166837393665</c:v>
                </c:pt>
                <c:pt idx="12">
                  <c:v>264.72353360352736</c:v>
                </c:pt>
                <c:pt idx="13">
                  <c:v>360.7152719013049</c:v>
                </c:pt>
                <c:pt idx="14">
                  <c:v>352.70286821360173</c:v>
                </c:pt>
                <c:pt idx="15">
                  <c:v>545.78608649178284</c:v>
                </c:pt>
                <c:pt idx="16">
                  <c:v>690.48067073442292</c:v>
                </c:pt>
                <c:pt idx="17">
                  <c:v>775.63209816060214</c:v>
                </c:pt>
                <c:pt idx="18">
                  <c:v>892.51892842827237</c:v>
                </c:pt>
                <c:pt idx="19">
                  <c:v>1058.7370284594485</c:v>
                </c:pt>
                <c:pt idx="20">
                  <c:v>1212.7008640270788</c:v>
                </c:pt>
                <c:pt idx="21">
                  <c:v>1526.2843495301295</c:v>
                </c:pt>
                <c:pt idx="22">
                  <c:v>1934.6027256936711</c:v>
                </c:pt>
                <c:pt idx="23">
                  <c:v>2200.7402128891463</c:v>
                </c:pt>
                <c:pt idx="24">
                  <c:v>2413.4616754999329</c:v>
                </c:pt>
                <c:pt idx="25">
                  <c:v>2894.5201086714469</c:v>
                </c:pt>
                <c:pt idx="26">
                  <c:v>3183.9721195385919</c:v>
                </c:pt>
                <c:pt idx="27">
                  <c:v>3502.3693314924512</c:v>
                </c:pt>
                <c:pt idx="28">
                  <c:v>3852.6062646416972</c:v>
                </c:pt>
                <c:pt idx="29">
                  <c:v>4237.8668911058667</c:v>
                </c:pt>
                <c:pt idx="30">
                  <c:v>4661.6535802164535</c:v>
                </c:pt>
                <c:pt idx="31">
                  <c:v>5127.8189382380997</c:v>
                </c:pt>
                <c:pt idx="32">
                  <c:v>5640.6008320619103</c:v>
                </c:pt>
                <c:pt idx="33">
                  <c:v>6204.6609152681021</c:v>
                </c:pt>
                <c:pt idx="34">
                  <c:v>6825.1270067949135</c:v>
                </c:pt>
                <c:pt idx="35">
                  <c:v>7507.6397074744054</c:v>
                </c:pt>
                <c:pt idx="36">
                  <c:v>8258.4036782218463</c:v>
                </c:pt>
                <c:pt idx="37">
                  <c:v>9084.2440460440321</c:v>
                </c:pt>
                <c:pt idx="38">
                  <c:v>9992.6684506484362</c:v>
                </c:pt>
                <c:pt idx="39">
                  <c:v>10991.935295713281</c:v>
                </c:pt>
                <c:pt idx="40">
                  <c:v>12091.12882528461</c:v>
                </c:pt>
                <c:pt idx="41">
                  <c:v>13300.241707813073</c:v>
                </c:pt>
                <c:pt idx="42">
                  <c:v>14630.265878594382</c:v>
                </c:pt>
                <c:pt idx="43">
                  <c:v>16093.292466453822</c:v>
                </c:pt>
                <c:pt idx="44">
                  <c:v>17702.621713099204</c:v>
                </c:pt>
                <c:pt idx="45">
                  <c:v>19472.883884409126</c:v>
                </c:pt>
                <c:pt idx="46">
                  <c:v>21420.172272850043</c:v>
                </c:pt>
                <c:pt idx="47">
                  <c:v>23562.189500135049</c:v>
                </c:pt>
                <c:pt idx="48">
                  <c:v>25918.408450148556</c:v>
                </c:pt>
                <c:pt idx="49">
                  <c:v>28510.249295163416</c:v>
                </c:pt>
                <c:pt idx="50">
                  <c:v>31361.274224679757</c:v>
                </c:pt>
                <c:pt idx="51">
                  <c:v>34497.401647147737</c:v>
                </c:pt>
                <c:pt idx="52">
                  <c:v>37947.141811862515</c:v>
                </c:pt>
                <c:pt idx="53">
                  <c:v>41741.855993048768</c:v>
                </c:pt>
                <c:pt idx="54">
                  <c:v>45916.041592353642</c:v>
                </c:pt>
                <c:pt idx="55">
                  <c:v>50507.645751589014</c:v>
                </c:pt>
                <c:pt idx="56">
                  <c:v>55558.410326747922</c:v>
                </c:pt>
                <c:pt idx="57">
                  <c:v>61114.25135942272</c:v>
                </c:pt>
                <c:pt idx="58">
                  <c:v>67225.676495364998</c:v>
                </c:pt>
                <c:pt idx="59">
                  <c:v>73948.244144901517</c:v>
                </c:pt>
                <c:pt idx="60">
                  <c:v>81343.068559391671</c:v>
                </c:pt>
                <c:pt idx="61">
                  <c:v>89477.37541533084</c:v>
                </c:pt>
                <c:pt idx="62">
                  <c:v>98425.11295686393</c:v>
                </c:pt>
                <c:pt idx="63">
                  <c:v>108267.62425255032</c:v>
                </c:pt>
                <c:pt idx="64">
                  <c:v>119094.38667780536</c:v>
                </c:pt>
                <c:pt idx="65">
                  <c:v>131003.82534558591</c:v>
                </c:pt>
                <c:pt idx="66">
                  <c:v>144104.20788014453</c:v>
                </c:pt>
                <c:pt idx="67">
                  <c:v>158514.62866815898</c:v>
                </c:pt>
                <c:pt idx="68">
                  <c:v>174366.0915349749</c:v>
                </c:pt>
                <c:pt idx="69">
                  <c:v>191802.7006884724</c:v>
                </c:pt>
                <c:pt idx="70">
                  <c:v>210982.97075731965</c:v>
                </c:pt>
                <c:pt idx="71">
                  <c:v>232081.26783305162</c:v>
                </c:pt>
                <c:pt idx="72">
                  <c:v>255289.39461635682</c:v>
                </c:pt>
                <c:pt idx="73">
                  <c:v>280818.33407799248</c:v>
                </c:pt>
                <c:pt idx="74">
                  <c:v>308900.16748579178</c:v>
                </c:pt>
                <c:pt idx="75">
                  <c:v>339790.18423437094</c:v>
                </c:pt>
                <c:pt idx="76">
                  <c:v>373769.20265780814</c:v>
                </c:pt>
                <c:pt idx="77">
                  <c:v>411146.12292358896</c:v>
                </c:pt>
                <c:pt idx="78">
                  <c:v>452260.73521594785</c:v>
                </c:pt>
                <c:pt idx="79">
                  <c:v>497486.80873754271</c:v>
                </c:pt>
                <c:pt idx="80">
                  <c:v>547235.48961129703</c:v>
                </c:pt>
                <c:pt idx="81">
                  <c:v>601959.03857242677</c:v>
                </c:pt>
                <c:pt idx="82">
                  <c:v>662154.94242966943</c:v>
                </c:pt>
                <c:pt idx="83">
                  <c:v>728370.43667263642</c:v>
                </c:pt>
                <c:pt idx="84">
                  <c:v>801207.48033990024</c:v>
                </c:pt>
                <c:pt idx="85">
                  <c:v>881328.22837389028</c:v>
                </c:pt>
                <c:pt idx="86">
                  <c:v>969461.05121127935</c:v>
                </c:pt>
                <c:pt idx="87">
                  <c:v>1066407.1563324074</c:v>
                </c:pt>
                <c:pt idx="88">
                  <c:v>1173047.8719656481</c:v>
                </c:pt>
                <c:pt idx="89">
                  <c:v>1290352.6591622131</c:v>
                </c:pt>
                <c:pt idx="90">
                  <c:v>1419387.9250784344</c:v>
                </c:pt>
                <c:pt idx="91">
                  <c:v>1561326.717586278</c:v>
                </c:pt>
                <c:pt idx="92">
                  <c:v>1717459.3893449057</c:v>
                </c:pt>
                <c:pt idx="93">
                  <c:v>1889205.3282793968</c:v>
                </c:pt>
                <c:pt idx="94">
                  <c:v>2078125.8611073366</c:v>
                </c:pt>
                <c:pt idx="95">
                  <c:v>2285938.4472180703</c:v>
                </c:pt>
                <c:pt idx="96">
                  <c:v>2514532.2919398779</c:v>
                </c:pt>
                <c:pt idx="97">
                  <c:v>2765985.5211338662</c:v>
                </c:pt>
                <c:pt idx="98">
                  <c:v>3042584.073247253</c:v>
                </c:pt>
                <c:pt idx="99">
                  <c:v>3346842.4805719787</c:v>
                </c:pt>
                <c:pt idx="100">
                  <c:v>3681526.7286291765</c:v>
                </c:pt>
                <c:pt idx="101">
                  <c:v>4049679.4014920942</c:v>
                </c:pt>
                <c:pt idx="102">
                  <c:v>4266118.6265087072</c:v>
                </c:pt>
                <c:pt idx="103">
                  <c:v>4266118.6265087072</c:v>
                </c:pt>
                <c:pt idx="104">
                  <c:v>4266118.6265087072</c:v>
                </c:pt>
                <c:pt idx="105">
                  <c:v>4266118.6265087072</c:v>
                </c:pt>
                <c:pt idx="106">
                  <c:v>4266118.6265087072</c:v>
                </c:pt>
                <c:pt idx="107">
                  <c:v>4266118.6265087072</c:v>
                </c:pt>
                <c:pt idx="108">
                  <c:v>4266118.6265087072</c:v>
                </c:pt>
                <c:pt idx="109">
                  <c:v>4266118.6265087072</c:v>
                </c:pt>
                <c:pt idx="110">
                  <c:v>4266118.6265087072</c:v>
                </c:pt>
                <c:pt idx="111">
                  <c:v>4266118.6265087072</c:v>
                </c:pt>
                <c:pt idx="112">
                  <c:v>4266118.6265087072</c:v>
                </c:pt>
                <c:pt idx="113">
                  <c:v>4266118.6265087072</c:v>
                </c:pt>
                <c:pt idx="114">
                  <c:v>4266118.6265087072</c:v>
                </c:pt>
                <c:pt idx="115">
                  <c:v>4266118.6265087072</c:v>
                </c:pt>
                <c:pt idx="116">
                  <c:v>4266118.6265087072</c:v>
                </c:pt>
                <c:pt idx="117">
                  <c:v>4266118.6265087072</c:v>
                </c:pt>
                <c:pt idx="118">
                  <c:v>4266118.6265087072</c:v>
                </c:pt>
                <c:pt idx="119">
                  <c:v>4266118.6265087072</c:v>
                </c:pt>
                <c:pt idx="120">
                  <c:v>4266118.6265087072</c:v>
                </c:pt>
                <c:pt idx="121">
                  <c:v>4266118.6265087072</c:v>
                </c:pt>
                <c:pt idx="122">
                  <c:v>4266118.6265087072</c:v>
                </c:pt>
                <c:pt idx="123">
                  <c:v>4266118.6265087072</c:v>
                </c:pt>
                <c:pt idx="124">
                  <c:v>4266118.6265087072</c:v>
                </c:pt>
                <c:pt idx="125">
                  <c:v>4266118.6265087072</c:v>
                </c:pt>
                <c:pt idx="126">
                  <c:v>4266118.6265087072</c:v>
                </c:pt>
                <c:pt idx="127">
                  <c:v>4266118.6265087072</c:v>
                </c:pt>
                <c:pt idx="128">
                  <c:v>4266118.6265087072</c:v>
                </c:pt>
                <c:pt idx="129">
                  <c:v>4266118.6265087072</c:v>
                </c:pt>
                <c:pt idx="130">
                  <c:v>4266118.6265087072</c:v>
                </c:pt>
                <c:pt idx="131">
                  <c:v>4266118.6265087072</c:v>
                </c:pt>
                <c:pt idx="132">
                  <c:v>4266118.6265087072</c:v>
                </c:pt>
                <c:pt idx="133">
                  <c:v>4266118.6265087072</c:v>
                </c:pt>
                <c:pt idx="134">
                  <c:v>4266118.6265087072</c:v>
                </c:pt>
                <c:pt idx="135">
                  <c:v>4266118.6265087072</c:v>
                </c:pt>
                <c:pt idx="136">
                  <c:v>4266118.6265087072</c:v>
                </c:pt>
                <c:pt idx="137">
                  <c:v>4266118.6265087072</c:v>
                </c:pt>
                <c:pt idx="138">
                  <c:v>4266118.6265087072</c:v>
                </c:pt>
                <c:pt idx="139">
                  <c:v>4266118.6265087072</c:v>
                </c:pt>
                <c:pt idx="140">
                  <c:v>4266118.6265087072</c:v>
                </c:pt>
                <c:pt idx="141">
                  <c:v>4266118.6265087072</c:v>
                </c:pt>
                <c:pt idx="142">
                  <c:v>4266118.6265087072</c:v>
                </c:pt>
                <c:pt idx="143">
                  <c:v>4266118.6265087072</c:v>
                </c:pt>
                <c:pt idx="144">
                  <c:v>4266118.6265087072</c:v>
                </c:pt>
                <c:pt idx="145">
                  <c:v>4266118.6265087072</c:v>
                </c:pt>
                <c:pt idx="146">
                  <c:v>4266118.6265087072</c:v>
                </c:pt>
                <c:pt idx="147">
                  <c:v>4266118.6265087072</c:v>
                </c:pt>
                <c:pt idx="148">
                  <c:v>4266118.6265087072</c:v>
                </c:pt>
                <c:pt idx="149">
                  <c:v>4266118.6265087072</c:v>
                </c:pt>
                <c:pt idx="150">
                  <c:v>4266118.6265087072</c:v>
                </c:pt>
                <c:pt idx="151">
                  <c:v>4266118.6265087072</c:v>
                </c:pt>
                <c:pt idx="152">
                  <c:v>4266118.6265087072</c:v>
                </c:pt>
                <c:pt idx="153">
                  <c:v>4266118.6265087072</c:v>
                </c:pt>
                <c:pt idx="154">
                  <c:v>4266118.6265087072</c:v>
                </c:pt>
                <c:pt idx="155">
                  <c:v>4266118.6265087072</c:v>
                </c:pt>
                <c:pt idx="156">
                  <c:v>4266118.6265087072</c:v>
                </c:pt>
                <c:pt idx="157">
                  <c:v>4266118.6265087072</c:v>
                </c:pt>
                <c:pt idx="158">
                  <c:v>4266118.6265087072</c:v>
                </c:pt>
                <c:pt idx="159">
                  <c:v>4266118.6265087072</c:v>
                </c:pt>
                <c:pt idx="160">
                  <c:v>4266118.6265087072</c:v>
                </c:pt>
                <c:pt idx="161">
                  <c:v>4266118.6265087072</c:v>
                </c:pt>
                <c:pt idx="162">
                  <c:v>4266118.6265087072</c:v>
                </c:pt>
                <c:pt idx="163">
                  <c:v>4266118.6265087072</c:v>
                </c:pt>
                <c:pt idx="164">
                  <c:v>4266118.6265087072</c:v>
                </c:pt>
                <c:pt idx="165">
                  <c:v>4266118.6265087072</c:v>
                </c:pt>
                <c:pt idx="166">
                  <c:v>4266118.6265087072</c:v>
                </c:pt>
                <c:pt idx="167">
                  <c:v>4266118.6265087072</c:v>
                </c:pt>
                <c:pt idx="168">
                  <c:v>4266118.6265087072</c:v>
                </c:pt>
                <c:pt idx="169">
                  <c:v>4266118.6265087072</c:v>
                </c:pt>
                <c:pt idx="170">
                  <c:v>4266118.6265087072</c:v>
                </c:pt>
                <c:pt idx="171">
                  <c:v>4266118.6265087072</c:v>
                </c:pt>
                <c:pt idx="172">
                  <c:v>4266118.6265087072</c:v>
                </c:pt>
                <c:pt idx="173">
                  <c:v>4266118.6265087072</c:v>
                </c:pt>
                <c:pt idx="174">
                  <c:v>4266118.6265087072</c:v>
                </c:pt>
                <c:pt idx="175">
                  <c:v>4266118.6265087072</c:v>
                </c:pt>
                <c:pt idx="176">
                  <c:v>4266118.6265087072</c:v>
                </c:pt>
                <c:pt idx="177">
                  <c:v>4266118.6265087072</c:v>
                </c:pt>
                <c:pt idx="178">
                  <c:v>4266118.6265087072</c:v>
                </c:pt>
                <c:pt idx="179">
                  <c:v>4266118.6265087072</c:v>
                </c:pt>
                <c:pt idx="180">
                  <c:v>4266118.6265087072</c:v>
                </c:pt>
                <c:pt idx="181">
                  <c:v>4266118.6265087072</c:v>
                </c:pt>
                <c:pt idx="182">
                  <c:v>4266118.6265087072</c:v>
                </c:pt>
                <c:pt idx="183">
                  <c:v>4266118.6265087072</c:v>
                </c:pt>
                <c:pt idx="184">
                  <c:v>4266118.6265087072</c:v>
                </c:pt>
                <c:pt idx="185">
                  <c:v>4266118.6265087072</c:v>
                </c:pt>
                <c:pt idx="186">
                  <c:v>4266118.6265087072</c:v>
                </c:pt>
                <c:pt idx="187">
                  <c:v>4266118.6265087072</c:v>
                </c:pt>
                <c:pt idx="188">
                  <c:v>4266118.6265087072</c:v>
                </c:pt>
                <c:pt idx="189">
                  <c:v>4266118.6265087072</c:v>
                </c:pt>
                <c:pt idx="190">
                  <c:v>4266118.6265087072</c:v>
                </c:pt>
                <c:pt idx="191">
                  <c:v>4266118.6265087072</c:v>
                </c:pt>
                <c:pt idx="192">
                  <c:v>4266118.6265087072</c:v>
                </c:pt>
                <c:pt idx="193">
                  <c:v>4266118.6265087072</c:v>
                </c:pt>
                <c:pt idx="194">
                  <c:v>4266118.6265087072</c:v>
                </c:pt>
                <c:pt idx="195">
                  <c:v>4266118.6265087072</c:v>
                </c:pt>
                <c:pt idx="196">
                  <c:v>4266118.6265087072</c:v>
                </c:pt>
                <c:pt idx="197">
                  <c:v>4266118.6265087072</c:v>
                </c:pt>
                <c:pt idx="198">
                  <c:v>4266118.6265087072</c:v>
                </c:pt>
                <c:pt idx="199">
                  <c:v>4266118.6265087072</c:v>
                </c:pt>
                <c:pt idx="200">
                  <c:v>4266118.6265087072</c:v>
                </c:pt>
                <c:pt idx="201">
                  <c:v>4266118.6265087072</c:v>
                </c:pt>
                <c:pt idx="202">
                  <c:v>4266118.6265087072</c:v>
                </c:pt>
                <c:pt idx="203">
                  <c:v>4266118.6265087072</c:v>
                </c:pt>
                <c:pt idx="204">
                  <c:v>4266118.6265087072</c:v>
                </c:pt>
                <c:pt idx="205">
                  <c:v>4266118.6265087072</c:v>
                </c:pt>
                <c:pt idx="206">
                  <c:v>4266118.6265087072</c:v>
                </c:pt>
                <c:pt idx="207">
                  <c:v>4266118.6265087072</c:v>
                </c:pt>
                <c:pt idx="208">
                  <c:v>4266118.6265087072</c:v>
                </c:pt>
                <c:pt idx="209">
                  <c:v>4266118.6265087072</c:v>
                </c:pt>
                <c:pt idx="210">
                  <c:v>4266118.6265087072</c:v>
                </c:pt>
                <c:pt idx="211">
                  <c:v>4266118.6265087072</c:v>
                </c:pt>
                <c:pt idx="212">
                  <c:v>4266118.6265087072</c:v>
                </c:pt>
                <c:pt idx="213">
                  <c:v>4266118.6265087072</c:v>
                </c:pt>
                <c:pt idx="214">
                  <c:v>4266118.6265087072</c:v>
                </c:pt>
                <c:pt idx="215">
                  <c:v>4266118.6265087072</c:v>
                </c:pt>
                <c:pt idx="216">
                  <c:v>4266118.6265087072</c:v>
                </c:pt>
                <c:pt idx="217">
                  <c:v>4266118.6265087072</c:v>
                </c:pt>
                <c:pt idx="218">
                  <c:v>4266118.6265087072</c:v>
                </c:pt>
                <c:pt idx="219">
                  <c:v>4266118.6265087072</c:v>
                </c:pt>
                <c:pt idx="220">
                  <c:v>4266118.6265087072</c:v>
                </c:pt>
                <c:pt idx="221">
                  <c:v>4266118.6265087072</c:v>
                </c:pt>
                <c:pt idx="222">
                  <c:v>4266118.6265087072</c:v>
                </c:pt>
                <c:pt idx="223">
                  <c:v>4266118.6265087072</c:v>
                </c:pt>
                <c:pt idx="224">
                  <c:v>4266118.6265087072</c:v>
                </c:pt>
                <c:pt idx="225">
                  <c:v>4266118.6265087072</c:v>
                </c:pt>
                <c:pt idx="226">
                  <c:v>4266118.6265087072</c:v>
                </c:pt>
                <c:pt idx="227">
                  <c:v>4266118.6265087072</c:v>
                </c:pt>
                <c:pt idx="228">
                  <c:v>4266118.6265087072</c:v>
                </c:pt>
                <c:pt idx="229">
                  <c:v>4266118.6265087072</c:v>
                </c:pt>
                <c:pt idx="230">
                  <c:v>4266118.6265087072</c:v>
                </c:pt>
                <c:pt idx="231">
                  <c:v>4266118.6265087072</c:v>
                </c:pt>
                <c:pt idx="232">
                  <c:v>4266118.6265087072</c:v>
                </c:pt>
                <c:pt idx="233">
                  <c:v>4266118.6265087072</c:v>
                </c:pt>
                <c:pt idx="234">
                  <c:v>4266118.6265087072</c:v>
                </c:pt>
                <c:pt idx="235">
                  <c:v>4266118.6265087072</c:v>
                </c:pt>
                <c:pt idx="236">
                  <c:v>4266118.6265087072</c:v>
                </c:pt>
                <c:pt idx="237">
                  <c:v>4266118.6265087072</c:v>
                </c:pt>
                <c:pt idx="238">
                  <c:v>4266118.6265087072</c:v>
                </c:pt>
                <c:pt idx="239">
                  <c:v>4266118.6265087072</c:v>
                </c:pt>
                <c:pt idx="240">
                  <c:v>4266118.6265087072</c:v>
                </c:pt>
                <c:pt idx="241">
                  <c:v>4266118.6265087072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18.224290740658262</c:v>
                </c:pt>
                <c:pt idx="1">
                  <c:v>25.765376564378922</c:v>
                </c:pt>
                <c:pt idx="2">
                  <c:v>32.520932614795349</c:v>
                </c:pt>
                <c:pt idx="3">
                  <c:v>43.047031577072104</c:v>
                </c:pt>
                <c:pt idx="4">
                  <c:v>50.588117400792761</c:v>
                </c:pt>
                <c:pt idx="5">
                  <c:v>60.328686589765283</c:v>
                </c:pt>
                <c:pt idx="6">
                  <c:v>72.111633189328813</c:v>
                </c:pt>
                <c:pt idx="7">
                  <c:v>92.378301340578091</c:v>
                </c:pt>
                <c:pt idx="8">
                  <c:v>125.52765777401683</c:v>
                </c:pt>
                <c:pt idx="9">
                  <c:v>177.68683472141805</c:v>
                </c:pt>
                <c:pt idx="10">
                  <c:v>208.63670778960494</c:v>
                </c:pt>
                <c:pt idx="11">
                  <c:v>199.68166837393665</c:v>
                </c:pt>
                <c:pt idx="12">
                  <c:v>264.72353360352736</c:v>
                </c:pt>
                <c:pt idx="13">
                  <c:v>360.7152719013049</c:v>
                </c:pt>
                <c:pt idx="14">
                  <c:v>352.70286821360173</c:v>
                </c:pt>
                <c:pt idx="15">
                  <c:v>545.78608649178284</c:v>
                </c:pt>
                <c:pt idx="16">
                  <c:v>690.48067073442292</c:v>
                </c:pt>
                <c:pt idx="17">
                  <c:v>775.63209816060214</c:v>
                </c:pt>
                <c:pt idx="18">
                  <c:v>892.51892842827237</c:v>
                </c:pt>
                <c:pt idx="19">
                  <c:v>1058.7370284594485</c:v>
                </c:pt>
                <c:pt idx="20">
                  <c:v>1212.7008640270788</c:v>
                </c:pt>
                <c:pt idx="21">
                  <c:v>1526.2843495301295</c:v>
                </c:pt>
                <c:pt idx="22">
                  <c:v>1934.6027256936711</c:v>
                </c:pt>
                <c:pt idx="23">
                  <c:v>2200.7402128891463</c:v>
                </c:pt>
                <c:pt idx="24">
                  <c:v>2413.4616754999329</c:v>
                </c:pt>
                <c:pt idx="25">
                  <c:v>2894.5201086714469</c:v>
                </c:pt>
                <c:pt idx="26">
                  <c:v>3618.1501358393084</c:v>
                </c:pt>
                <c:pt idx="27">
                  <c:v>4522.6876697991356</c:v>
                </c:pt>
                <c:pt idx="28">
                  <c:v>5653.3595872489195</c:v>
                </c:pt>
                <c:pt idx="29">
                  <c:v>7066.6994840611496</c:v>
                </c:pt>
                <c:pt idx="30">
                  <c:v>8833.3743550764375</c:v>
                </c:pt>
                <c:pt idx="31">
                  <c:v>11041.717943845546</c:v>
                </c:pt>
                <c:pt idx="32">
                  <c:v>13802.147429806933</c:v>
                </c:pt>
                <c:pt idx="33">
                  <c:v>17252.684287258664</c:v>
                </c:pt>
                <c:pt idx="34">
                  <c:v>21565.855359073332</c:v>
                </c:pt>
                <c:pt idx="35">
                  <c:v>26957.319198841666</c:v>
                </c:pt>
                <c:pt idx="36">
                  <c:v>33696.648998552082</c:v>
                </c:pt>
                <c:pt idx="37">
                  <c:v>42120.811248190104</c:v>
                </c:pt>
                <c:pt idx="38">
                  <c:v>52651.014060237627</c:v>
                </c:pt>
                <c:pt idx="39">
                  <c:v>65813.767575297039</c:v>
                </c:pt>
                <c:pt idx="40">
                  <c:v>82267.209469121299</c:v>
                </c:pt>
                <c:pt idx="41">
                  <c:v>102834.01183640161</c:v>
                </c:pt>
                <c:pt idx="42">
                  <c:v>128542.51479550202</c:v>
                </c:pt>
                <c:pt idx="43">
                  <c:v>160678.14349437752</c:v>
                </c:pt>
                <c:pt idx="44">
                  <c:v>200847.6793679719</c:v>
                </c:pt>
                <c:pt idx="45">
                  <c:v>251059.59920996486</c:v>
                </c:pt>
                <c:pt idx="46">
                  <c:v>313824.4990124561</c:v>
                </c:pt>
                <c:pt idx="47">
                  <c:v>392280.62376557017</c:v>
                </c:pt>
                <c:pt idx="48">
                  <c:v>490350.77970696264</c:v>
                </c:pt>
                <c:pt idx="49">
                  <c:v>612938.47463370336</c:v>
                </c:pt>
                <c:pt idx="50">
                  <c:v>766173.09329212911</c:v>
                </c:pt>
                <c:pt idx="51">
                  <c:v>957716.3666151613</c:v>
                </c:pt>
                <c:pt idx="52">
                  <c:v>1197145.4582689516</c:v>
                </c:pt>
                <c:pt idx="53">
                  <c:v>1496431.8228361895</c:v>
                </c:pt>
                <c:pt idx="54">
                  <c:v>1870539.7785452369</c:v>
                </c:pt>
                <c:pt idx="55">
                  <c:v>2338174.7231815462</c:v>
                </c:pt>
                <c:pt idx="56">
                  <c:v>2922718.4039769322</c:v>
                </c:pt>
                <c:pt idx="57">
                  <c:v>3653398.0049711652</c:v>
                </c:pt>
                <c:pt idx="58">
                  <c:v>4266118.6265087072</c:v>
                </c:pt>
                <c:pt idx="59">
                  <c:v>4266118.6265087072</c:v>
                </c:pt>
                <c:pt idx="60">
                  <c:v>4266118.6265087072</c:v>
                </c:pt>
                <c:pt idx="61">
                  <c:v>4266118.6265087072</c:v>
                </c:pt>
                <c:pt idx="62">
                  <c:v>4266118.6265087072</c:v>
                </c:pt>
                <c:pt idx="63">
                  <c:v>4266118.6265087072</c:v>
                </c:pt>
                <c:pt idx="64">
                  <c:v>4266118.6265087072</c:v>
                </c:pt>
                <c:pt idx="65">
                  <c:v>4266118.6265087072</c:v>
                </c:pt>
                <c:pt idx="66">
                  <c:v>4266118.6265087072</c:v>
                </c:pt>
                <c:pt idx="67">
                  <c:v>4266118.6265087072</c:v>
                </c:pt>
                <c:pt idx="68">
                  <c:v>4266118.6265087072</c:v>
                </c:pt>
                <c:pt idx="69">
                  <c:v>4266118.6265087072</c:v>
                </c:pt>
                <c:pt idx="70">
                  <c:v>4266118.6265087072</c:v>
                </c:pt>
                <c:pt idx="71">
                  <c:v>4266118.6265087072</c:v>
                </c:pt>
                <c:pt idx="72">
                  <c:v>4266118.6265087072</c:v>
                </c:pt>
                <c:pt idx="73">
                  <c:v>4266118.6265087072</c:v>
                </c:pt>
                <c:pt idx="74">
                  <c:v>4266118.6265087072</c:v>
                </c:pt>
                <c:pt idx="75">
                  <c:v>4266118.6265087072</c:v>
                </c:pt>
                <c:pt idx="76">
                  <c:v>4266118.6265087072</c:v>
                </c:pt>
                <c:pt idx="77">
                  <c:v>4266118.6265087072</c:v>
                </c:pt>
                <c:pt idx="78">
                  <c:v>4266118.6265087072</c:v>
                </c:pt>
                <c:pt idx="79">
                  <c:v>4266118.6265087072</c:v>
                </c:pt>
                <c:pt idx="80">
                  <c:v>4266118.6265087072</c:v>
                </c:pt>
                <c:pt idx="81">
                  <c:v>4266118.6265087072</c:v>
                </c:pt>
                <c:pt idx="82">
                  <c:v>4266118.6265087072</c:v>
                </c:pt>
                <c:pt idx="83">
                  <c:v>4266118.6265087072</c:v>
                </c:pt>
                <c:pt idx="84">
                  <c:v>4266118.6265087072</c:v>
                </c:pt>
                <c:pt idx="85">
                  <c:v>4266118.6265087072</c:v>
                </c:pt>
                <c:pt idx="86">
                  <c:v>4266118.6265087072</c:v>
                </c:pt>
                <c:pt idx="87">
                  <c:v>4266118.6265087072</c:v>
                </c:pt>
                <c:pt idx="88">
                  <c:v>4266118.6265087072</c:v>
                </c:pt>
                <c:pt idx="89">
                  <c:v>4266118.6265087072</c:v>
                </c:pt>
                <c:pt idx="90">
                  <c:v>4266118.6265087072</c:v>
                </c:pt>
                <c:pt idx="91">
                  <c:v>4266118.6265087072</c:v>
                </c:pt>
                <c:pt idx="92">
                  <c:v>4266118.6265087072</c:v>
                </c:pt>
                <c:pt idx="93">
                  <c:v>4266118.6265087072</c:v>
                </c:pt>
                <c:pt idx="94">
                  <c:v>4266118.6265087072</c:v>
                </c:pt>
                <c:pt idx="95">
                  <c:v>4266118.6265087072</c:v>
                </c:pt>
                <c:pt idx="96">
                  <c:v>4266118.6265087072</c:v>
                </c:pt>
                <c:pt idx="97">
                  <c:v>4266118.6265087072</c:v>
                </c:pt>
                <c:pt idx="98">
                  <c:v>4266118.6265087072</c:v>
                </c:pt>
                <c:pt idx="99">
                  <c:v>4266118.6265087072</c:v>
                </c:pt>
                <c:pt idx="100">
                  <c:v>4266118.6265087072</c:v>
                </c:pt>
                <c:pt idx="101">
                  <c:v>4266118.6265087072</c:v>
                </c:pt>
                <c:pt idx="102">
                  <c:v>4266118.6265087072</c:v>
                </c:pt>
                <c:pt idx="103">
                  <c:v>4266118.6265087072</c:v>
                </c:pt>
                <c:pt idx="104">
                  <c:v>4266118.6265087072</c:v>
                </c:pt>
                <c:pt idx="105">
                  <c:v>4266118.6265087072</c:v>
                </c:pt>
                <c:pt idx="106">
                  <c:v>4266118.6265087072</c:v>
                </c:pt>
                <c:pt idx="107">
                  <c:v>4266118.6265087072</c:v>
                </c:pt>
                <c:pt idx="108">
                  <c:v>4266118.6265087072</c:v>
                </c:pt>
                <c:pt idx="109">
                  <c:v>4266118.6265087072</c:v>
                </c:pt>
                <c:pt idx="110">
                  <c:v>4266118.6265087072</c:v>
                </c:pt>
                <c:pt idx="111">
                  <c:v>4266118.6265087072</c:v>
                </c:pt>
                <c:pt idx="112">
                  <c:v>4266118.6265087072</c:v>
                </c:pt>
                <c:pt idx="113">
                  <c:v>4266118.6265087072</c:v>
                </c:pt>
                <c:pt idx="114">
                  <c:v>4266118.6265087072</c:v>
                </c:pt>
                <c:pt idx="115">
                  <c:v>4266118.6265087072</c:v>
                </c:pt>
                <c:pt idx="116">
                  <c:v>4266118.6265087072</c:v>
                </c:pt>
                <c:pt idx="117">
                  <c:v>4266118.6265087072</c:v>
                </c:pt>
                <c:pt idx="118">
                  <c:v>4266118.6265087072</c:v>
                </c:pt>
                <c:pt idx="119">
                  <c:v>4266118.6265087072</c:v>
                </c:pt>
                <c:pt idx="120">
                  <c:v>4266118.6265087072</c:v>
                </c:pt>
                <c:pt idx="121">
                  <c:v>4266118.6265087072</c:v>
                </c:pt>
                <c:pt idx="122">
                  <c:v>4266118.6265087072</c:v>
                </c:pt>
                <c:pt idx="123">
                  <c:v>4266118.6265087072</c:v>
                </c:pt>
                <c:pt idx="124">
                  <c:v>4266118.6265087072</c:v>
                </c:pt>
                <c:pt idx="125">
                  <c:v>4266118.6265087072</c:v>
                </c:pt>
                <c:pt idx="126">
                  <c:v>4266118.6265087072</c:v>
                </c:pt>
                <c:pt idx="127">
                  <c:v>4266118.6265087072</c:v>
                </c:pt>
                <c:pt idx="128">
                  <c:v>4266118.6265087072</c:v>
                </c:pt>
                <c:pt idx="129">
                  <c:v>4266118.6265087072</c:v>
                </c:pt>
                <c:pt idx="130">
                  <c:v>4266118.6265087072</c:v>
                </c:pt>
                <c:pt idx="131">
                  <c:v>4266118.6265087072</c:v>
                </c:pt>
                <c:pt idx="132">
                  <c:v>4266118.6265087072</c:v>
                </c:pt>
                <c:pt idx="133">
                  <c:v>4266118.6265087072</c:v>
                </c:pt>
                <c:pt idx="134">
                  <c:v>4266118.6265087072</c:v>
                </c:pt>
                <c:pt idx="135">
                  <c:v>4266118.6265087072</c:v>
                </c:pt>
                <c:pt idx="136">
                  <c:v>4266118.6265087072</c:v>
                </c:pt>
                <c:pt idx="137">
                  <c:v>4266118.6265087072</c:v>
                </c:pt>
                <c:pt idx="138">
                  <c:v>4266118.6265087072</c:v>
                </c:pt>
                <c:pt idx="139">
                  <c:v>4266118.6265087072</c:v>
                </c:pt>
                <c:pt idx="140">
                  <c:v>4266118.6265087072</c:v>
                </c:pt>
                <c:pt idx="141">
                  <c:v>4266118.6265087072</c:v>
                </c:pt>
                <c:pt idx="142">
                  <c:v>4266118.6265087072</c:v>
                </c:pt>
                <c:pt idx="143">
                  <c:v>4266118.6265087072</c:v>
                </c:pt>
                <c:pt idx="144">
                  <c:v>4266118.6265087072</c:v>
                </c:pt>
                <c:pt idx="145">
                  <c:v>4266118.6265087072</c:v>
                </c:pt>
                <c:pt idx="146">
                  <c:v>4266118.6265087072</c:v>
                </c:pt>
                <c:pt idx="147">
                  <c:v>4266118.6265087072</c:v>
                </c:pt>
                <c:pt idx="148">
                  <c:v>4266118.6265087072</c:v>
                </c:pt>
                <c:pt idx="149">
                  <c:v>4266118.6265087072</c:v>
                </c:pt>
                <c:pt idx="150">
                  <c:v>4266118.6265087072</c:v>
                </c:pt>
                <c:pt idx="151">
                  <c:v>4266118.6265087072</c:v>
                </c:pt>
                <c:pt idx="152">
                  <c:v>4266118.6265087072</c:v>
                </c:pt>
                <c:pt idx="153">
                  <c:v>4266118.6265087072</c:v>
                </c:pt>
                <c:pt idx="154">
                  <c:v>4266118.6265087072</c:v>
                </c:pt>
                <c:pt idx="155">
                  <c:v>4266118.6265087072</c:v>
                </c:pt>
                <c:pt idx="156">
                  <c:v>4266118.6265087072</c:v>
                </c:pt>
                <c:pt idx="157">
                  <c:v>4266118.6265087072</c:v>
                </c:pt>
                <c:pt idx="158">
                  <c:v>4266118.6265087072</c:v>
                </c:pt>
                <c:pt idx="159">
                  <c:v>4266118.6265087072</c:v>
                </c:pt>
                <c:pt idx="160">
                  <c:v>4266118.6265087072</c:v>
                </c:pt>
                <c:pt idx="161">
                  <c:v>4266118.6265087072</c:v>
                </c:pt>
                <c:pt idx="162">
                  <c:v>4266118.6265087072</c:v>
                </c:pt>
                <c:pt idx="163">
                  <c:v>4266118.6265087072</c:v>
                </c:pt>
                <c:pt idx="164">
                  <c:v>4266118.6265087072</c:v>
                </c:pt>
                <c:pt idx="165">
                  <c:v>4266118.6265087072</c:v>
                </c:pt>
                <c:pt idx="166">
                  <c:v>4266118.6265087072</c:v>
                </c:pt>
                <c:pt idx="167">
                  <c:v>4266118.6265087072</c:v>
                </c:pt>
                <c:pt idx="168">
                  <c:v>4266118.6265087072</c:v>
                </c:pt>
                <c:pt idx="169">
                  <c:v>4266118.6265087072</c:v>
                </c:pt>
                <c:pt idx="170">
                  <c:v>4266118.6265087072</c:v>
                </c:pt>
                <c:pt idx="171">
                  <c:v>4266118.6265087072</c:v>
                </c:pt>
                <c:pt idx="172">
                  <c:v>4266118.6265087072</c:v>
                </c:pt>
                <c:pt idx="173">
                  <c:v>4266118.6265087072</c:v>
                </c:pt>
                <c:pt idx="174">
                  <c:v>4266118.6265087072</c:v>
                </c:pt>
                <c:pt idx="175">
                  <c:v>4266118.6265087072</c:v>
                </c:pt>
                <c:pt idx="176">
                  <c:v>4266118.6265087072</c:v>
                </c:pt>
                <c:pt idx="177">
                  <c:v>4266118.6265087072</c:v>
                </c:pt>
                <c:pt idx="178">
                  <c:v>4266118.6265087072</c:v>
                </c:pt>
                <c:pt idx="179">
                  <c:v>4266118.6265087072</c:v>
                </c:pt>
                <c:pt idx="180">
                  <c:v>4266118.6265087072</c:v>
                </c:pt>
                <c:pt idx="181">
                  <c:v>4266118.6265087072</c:v>
                </c:pt>
                <c:pt idx="182">
                  <c:v>4266118.6265087072</c:v>
                </c:pt>
                <c:pt idx="183">
                  <c:v>4266118.6265087072</c:v>
                </c:pt>
                <c:pt idx="184">
                  <c:v>4266118.6265087072</c:v>
                </c:pt>
                <c:pt idx="185">
                  <c:v>4266118.6265087072</c:v>
                </c:pt>
                <c:pt idx="186">
                  <c:v>4266118.6265087072</c:v>
                </c:pt>
                <c:pt idx="187">
                  <c:v>4266118.6265087072</c:v>
                </c:pt>
                <c:pt idx="188">
                  <c:v>4266118.6265087072</c:v>
                </c:pt>
                <c:pt idx="189">
                  <c:v>4266118.6265087072</c:v>
                </c:pt>
                <c:pt idx="190">
                  <c:v>4266118.6265087072</c:v>
                </c:pt>
                <c:pt idx="191">
                  <c:v>4266118.6265087072</c:v>
                </c:pt>
                <c:pt idx="192">
                  <c:v>4266118.6265087072</c:v>
                </c:pt>
                <c:pt idx="193">
                  <c:v>4266118.6265087072</c:v>
                </c:pt>
                <c:pt idx="194">
                  <c:v>4266118.6265087072</c:v>
                </c:pt>
                <c:pt idx="195">
                  <c:v>4266118.6265087072</c:v>
                </c:pt>
                <c:pt idx="196">
                  <c:v>4266118.6265087072</c:v>
                </c:pt>
                <c:pt idx="197">
                  <c:v>4266118.6265087072</c:v>
                </c:pt>
                <c:pt idx="198">
                  <c:v>4266118.6265087072</c:v>
                </c:pt>
                <c:pt idx="199">
                  <c:v>4266118.6265087072</c:v>
                </c:pt>
                <c:pt idx="200">
                  <c:v>4266118.6265087072</c:v>
                </c:pt>
                <c:pt idx="201">
                  <c:v>4266118.6265087072</c:v>
                </c:pt>
                <c:pt idx="202">
                  <c:v>4266118.6265087072</c:v>
                </c:pt>
                <c:pt idx="203">
                  <c:v>4266118.6265087072</c:v>
                </c:pt>
                <c:pt idx="204">
                  <c:v>4266118.6265087072</c:v>
                </c:pt>
                <c:pt idx="205">
                  <c:v>4266118.6265087072</c:v>
                </c:pt>
                <c:pt idx="206">
                  <c:v>4266118.6265087072</c:v>
                </c:pt>
                <c:pt idx="207">
                  <c:v>4266118.6265087072</c:v>
                </c:pt>
                <c:pt idx="208">
                  <c:v>4266118.6265087072</c:v>
                </c:pt>
                <c:pt idx="209">
                  <c:v>4266118.6265087072</c:v>
                </c:pt>
                <c:pt idx="210">
                  <c:v>4266118.6265087072</c:v>
                </c:pt>
                <c:pt idx="211">
                  <c:v>4266118.6265087072</c:v>
                </c:pt>
                <c:pt idx="212">
                  <c:v>4266118.6265087072</c:v>
                </c:pt>
                <c:pt idx="213">
                  <c:v>4266118.6265087072</c:v>
                </c:pt>
                <c:pt idx="214">
                  <c:v>4266118.6265087072</c:v>
                </c:pt>
                <c:pt idx="215">
                  <c:v>4266118.6265087072</c:v>
                </c:pt>
                <c:pt idx="216">
                  <c:v>4266118.6265087072</c:v>
                </c:pt>
                <c:pt idx="217">
                  <c:v>4266118.6265087072</c:v>
                </c:pt>
                <c:pt idx="218">
                  <c:v>4266118.6265087072</c:v>
                </c:pt>
                <c:pt idx="219">
                  <c:v>4266118.6265087072</c:v>
                </c:pt>
                <c:pt idx="220">
                  <c:v>4266118.6265087072</c:v>
                </c:pt>
                <c:pt idx="221">
                  <c:v>4266118.6265087072</c:v>
                </c:pt>
                <c:pt idx="222">
                  <c:v>4266118.6265087072</c:v>
                </c:pt>
                <c:pt idx="223">
                  <c:v>4266118.6265087072</c:v>
                </c:pt>
                <c:pt idx="224">
                  <c:v>4266118.6265087072</c:v>
                </c:pt>
                <c:pt idx="225">
                  <c:v>4266118.6265087072</c:v>
                </c:pt>
                <c:pt idx="226">
                  <c:v>4266118.6265087072</c:v>
                </c:pt>
                <c:pt idx="227">
                  <c:v>4266118.6265087072</c:v>
                </c:pt>
                <c:pt idx="228">
                  <c:v>4266118.6265087072</c:v>
                </c:pt>
                <c:pt idx="229">
                  <c:v>4266118.6265087072</c:v>
                </c:pt>
                <c:pt idx="230">
                  <c:v>4266118.6265087072</c:v>
                </c:pt>
                <c:pt idx="231">
                  <c:v>4266118.6265087072</c:v>
                </c:pt>
                <c:pt idx="232">
                  <c:v>4266118.6265087072</c:v>
                </c:pt>
                <c:pt idx="233">
                  <c:v>4266118.6265087072</c:v>
                </c:pt>
                <c:pt idx="234">
                  <c:v>4266118.6265087072</c:v>
                </c:pt>
                <c:pt idx="235">
                  <c:v>4266118.6265087072</c:v>
                </c:pt>
                <c:pt idx="236">
                  <c:v>4266118.6265087072</c:v>
                </c:pt>
                <c:pt idx="237">
                  <c:v>4266118.6265087072</c:v>
                </c:pt>
                <c:pt idx="238">
                  <c:v>4266118.6265087072</c:v>
                </c:pt>
                <c:pt idx="239">
                  <c:v>4266118.6265087072</c:v>
                </c:pt>
                <c:pt idx="240">
                  <c:v>4266118.6265087072</c:v>
                </c:pt>
                <c:pt idx="241">
                  <c:v>4266118.6265087072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18.224290740658262</c:v>
                </c:pt>
                <c:pt idx="1">
                  <c:v>25.765376564378922</c:v>
                </c:pt>
                <c:pt idx="2">
                  <c:v>32.520932614795349</c:v>
                </c:pt>
                <c:pt idx="3">
                  <c:v>43.047031577072104</c:v>
                </c:pt>
                <c:pt idx="4">
                  <c:v>50.588117400792761</c:v>
                </c:pt>
                <c:pt idx="5">
                  <c:v>60.328686589765283</c:v>
                </c:pt>
                <c:pt idx="6">
                  <c:v>72.111633189328813</c:v>
                </c:pt>
                <c:pt idx="7">
                  <c:v>92.378301340578091</c:v>
                </c:pt>
                <c:pt idx="8">
                  <c:v>125.52765777401683</c:v>
                </c:pt>
                <c:pt idx="9">
                  <c:v>177.68683472141805</c:v>
                </c:pt>
                <c:pt idx="10">
                  <c:v>208.63670778960494</c:v>
                </c:pt>
                <c:pt idx="11">
                  <c:v>199.68166837393665</c:v>
                </c:pt>
                <c:pt idx="12">
                  <c:v>264.72353360352736</c:v>
                </c:pt>
                <c:pt idx="13">
                  <c:v>360.7152719013049</c:v>
                </c:pt>
                <c:pt idx="14">
                  <c:v>352.70286821360173</c:v>
                </c:pt>
                <c:pt idx="15">
                  <c:v>545.78608649178284</c:v>
                </c:pt>
                <c:pt idx="16">
                  <c:v>690.48067073442292</c:v>
                </c:pt>
                <c:pt idx="17">
                  <c:v>775.63209816060214</c:v>
                </c:pt>
                <c:pt idx="18">
                  <c:v>892.51892842827237</c:v>
                </c:pt>
                <c:pt idx="19">
                  <c:v>1058.7370284594485</c:v>
                </c:pt>
                <c:pt idx="20">
                  <c:v>1212.7008640270788</c:v>
                </c:pt>
                <c:pt idx="21">
                  <c:v>1526.2843495301295</c:v>
                </c:pt>
                <c:pt idx="22">
                  <c:v>1934.6027256936711</c:v>
                </c:pt>
                <c:pt idx="23">
                  <c:v>2200.7402128891463</c:v>
                </c:pt>
                <c:pt idx="24">
                  <c:v>2413.4616754999329</c:v>
                </c:pt>
                <c:pt idx="25">
                  <c:v>2894.5201086714469</c:v>
                </c:pt>
                <c:pt idx="26">
                  <c:v>4052.3281521400254</c:v>
                </c:pt>
                <c:pt idx="27">
                  <c:v>5673.2594129960344</c:v>
                </c:pt>
                <c:pt idx="28">
                  <c:v>7942.5631781944485</c:v>
                </c:pt>
                <c:pt idx="29">
                  <c:v>11119.588449472227</c:v>
                </c:pt>
                <c:pt idx="30">
                  <c:v>15567.423829261117</c:v>
                </c:pt>
                <c:pt idx="31">
                  <c:v>21794.393360965561</c:v>
                </c:pt>
                <c:pt idx="32">
                  <c:v>30512.150705351785</c:v>
                </c:pt>
                <c:pt idx="33">
                  <c:v>42717.010987492496</c:v>
                </c:pt>
                <c:pt idx="34">
                  <c:v>59803.815382489491</c:v>
                </c:pt>
                <c:pt idx="35">
                  <c:v>83725.341535485291</c:v>
                </c:pt>
                <c:pt idx="36">
                  <c:v>117215.47814967939</c:v>
                </c:pt>
                <c:pt idx="37">
                  <c:v>164101.66940955113</c:v>
                </c:pt>
                <c:pt idx="38">
                  <c:v>229742.33717337158</c:v>
                </c:pt>
                <c:pt idx="39">
                  <c:v>321639.27204272017</c:v>
                </c:pt>
                <c:pt idx="40">
                  <c:v>450294.98085980822</c:v>
                </c:pt>
                <c:pt idx="41">
                  <c:v>630412.97320373147</c:v>
                </c:pt>
                <c:pt idx="42">
                  <c:v>882578.16248522396</c:v>
                </c:pt>
                <c:pt idx="43">
                  <c:v>1235609.4274793135</c:v>
                </c:pt>
                <c:pt idx="44">
                  <c:v>1729853.1984710388</c:v>
                </c:pt>
                <c:pt idx="45">
                  <c:v>2421794.4778594538</c:v>
                </c:pt>
                <c:pt idx="46">
                  <c:v>3390512.2690032353</c:v>
                </c:pt>
                <c:pt idx="47">
                  <c:v>4266118.6265087072</c:v>
                </c:pt>
                <c:pt idx="48">
                  <c:v>4266118.6265087072</c:v>
                </c:pt>
                <c:pt idx="49">
                  <c:v>4266118.6265087072</c:v>
                </c:pt>
                <c:pt idx="50">
                  <c:v>4266118.6265087072</c:v>
                </c:pt>
                <c:pt idx="51">
                  <c:v>4266118.6265087072</c:v>
                </c:pt>
                <c:pt idx="52">
                  <c:v>4266118.6265087072</c:v>
                </c:pt>
                <c:pt idx="53">
                  <c:v>4266118.6265087072</c:v>
                </c:pt>
                <c:pt idx="54">
                  <c:v>4266118.6265087072</c:v>
                </c:pt>
                <c:pt idx="55">
                  <c:v>4266118.6265087072</c:v>
                </c:pt>
                <c:pt idx="56">
                  <c:v>4266118.6265087072</c:v>
                </c:pt>
                <c:pt idx="57">
                  <c:v>4266118.6265087072</c:v>
                </c:pt>
                <c:pt idx="58">
                  <c:v>4266118.6265087072</c:v>
                </c:pt>
                <c:pt idx="59">
                  <c:v>4266118.6265087072</c:v>
                </c:pt>
                <c:pt idx="60">
                  <c:v>4266118.6265087072</c:v>
                </c:pt>
                <c:pt idx="61">
                  <c:v>4266118.6265087072</c:v>
                </c:pt>
                <c:pt idx="62">
                  <c:v>4266118.6265087072</c:v>
                </c:pt>
                <c:pt idx="63">
                  <c:v>4266118.6265087072</c:v>
                </c:pt>
                <c:pt idx="64">
                  <c:v>4266118.6265087072</c:v>
                </c:pt>
                <c:pt idx="65">
                  <c:v>4266118.6265087072</c:v>
                </c:pt>
                <c:pt idx="66">
                  <c:v>4266118.6265087072</c:v>
                </c:pt>
                <c:pt idx="67">
                  <c:v>4266118.6265087072</c:v>
                </c:pt>
                <c:pt idx="68">
                  <c:v>4266118.6265087072</c:v>
                </c:pt>
                <c:pt idx="69">
                  <c:v>4266118.6265087072</c:v>
                </c:pt>
                <c:pt idx="70">
                  <c:v>4266118.6265087072</c:v>
                </c:pt>
                <c:pt idx="71">
                  <c:v>4266118.6265087072</c:v>
                </c:pt>
                <c:pt idx="72">
                  <c:v>4266118.6265087072</c:v>
                </c:pt>
                <c:pt idx="73">
                  <c:v>4266118.6265087072</c:v>
                </c:pt>
                <c:pt idx="74">
                  <c:v>4266118.6265087072</c:v>
                </c:pt>
                <c:pt idx="75">
                  <c:v>4266118.6265087072</c:v>
                </c:pt>
                <c:pt idx="76">
                  <c:v>4266118.6265087072</c:v>
                </c:pt>
                <c:pt idx="77">
                  <c:v>4266118.6265087072</c:v>
                </c:pt>
                <c:pt idx="78">
                  <c:v>4266118.6265087072</c:v>
                </c:pt>
                <c:pt idx="79">
                  <c:v>4266118.6265087072</c:v>
                </c:pt>
                <c:pt idx="80">
                  <c:v>4266118.6265087072</c:v>
                </c:pt>
                <c:pt idx="81">
                  <c:v>4266118.6265087072</c:v>
                </c:pt>
                <c:pt idx="82">
                  <c:v>4266118.6265087072</c:v>
                </c:pt>
                <c:pt idx="83">
                  <c:v>4266118.6265087072</c:v>
                </c:pt>
                <c:pt idx="84">
                  <c:v>4266118.6265087072</c:v>
                </c:pt>
                <c:pt idx="85">
                  <c:v>4266118.6265087072</c:v>
                </c:pt>
                <c:pt idx="86">
                  <c:v>4266118.6265087072</c:v>
                </c:pt>
                <c:pt idx="87">
                  <c:v>4266118.6265087072</c:v>
                </c:pt>
                <c:pt idx="88">
                  <c:v>4266118.6265087072</c:v>
                </c:pt>
                <c:pt idx="89">
                  <c:v>4266118.6265087072</c:v>
                </c:pt>
                <c:pt idx="90">
                  <c:v>4266118.6265087072</c:v>
                </c:pt>
                <c:pt idx="91">
                  <c:v>4266118.6265087072</c:v>
                </c:pt>
                <c:pt idx="92">
                  <c:v>4266118.6265087072</c:v>
                </c:pt>
                <c:pt idx="93">
                  <c:v>4266118.6265087072</c:v>
                </c:pt>
                <c:pt idx="94">
                  <c:v>4266118.6265087072</c:v>
                </c:pt>
                <c:pt idx="95">
                  <c:v>4266118.6265087072</c:v>
                </c:pt>
                <c:pt idx="96">
                  <c:v>4266118.6265087072</c:v>
                </c:pt>
                <c:pt idx="97">
                  <c:v>4266118.6265087072</c:v>
                </c:pt>
                <c:pt idx="98">
                  <c:v>4266118.6265087072</c:v>
                </c:pt>
                <c:pt idx="99">
                  <c:v>4266118.6265087072</c:v>
                </c:pt>
                <c:pt idx="100">
                  <c:v>4266118.6265087072</c:v>
                </c:pt>
                <c:pt idx="101">
                  <c:v>4266118.6265087072</c:v>
                </c:pt>
                <c:pt idx="102">
                  <c:v>4266118.6265087072</c:v>
                </c:pt>
                <c:pt idx="103">
                  <c:v>4266118.6265087072</c:v>
                </c:pt>
                <c:pt idx="104">
                  <c:v>4266118.6265087072</c:v>
                </c:pt>
                <c:pt idx="105">
                  <c:v>4266118.6265087072</c:v>
                </c:pt>
                <c:pt idx="106">
                  <c:v>4266118.6265087072</c:v>
                </c:pt>
                <c:pt idx="107">
                  <c:v>4266118.6265087072</c:v>
                </c:pt>
                <c:pt idx="108">
                  <c:v>4266118.6265087072</c:v>
                </c:pt>
                <c:pt idx="109">
                  <c:v>4266118.6265087072</c:v>
                </c:pt>
                <c:pt idx="110">
                  <c:v>4266118.6265087072</c:v>
                </c:pt>
                <c:pt idx="111">
                  <c:v>4266118.6265087072</c:v>
                </c:pt>
                <c:pt idx="112">
                  <c:v>4266118.6265087072</c:v>
                </c:pt>
                <c:pt idx="113">
                  <c:v>4266118.6265087072</c:v>
                </c:pt>
                <c:pt idx="114">
                  <c:v>4266118.6265087072</c:v>
                </c:pt>
                <c:pt idx="115">
                  <c:v>4266118.6265087072</c:v>
                </c:pt>
                <c:pt idx="116">
                  <c:v>4266118.6265087072</c:v>
                </c:pt>
                <c:pt idx="117">
                  <c:v>4266118.6265087072</c:v>
                </c:pt>
                <c:pt idx="118">
                  <c:v>4266118.6265087072</c:v>
                </c:pt>
                <c:pt idx="119">
                  <c:v>4266118.6265087072</c:v>
                </c:pt>
                <c:pt idx="120">
                  <c:v>4266118.6265087072</c:v>
                </c:pt>
                <c:pt idx="121">
                  <c:v>4266118.6265087072</c:v>
                </c:pt>
                <c:pt idx="122">
                  <c:v>4266118.6265087072</c:v>
                </c:pt>
                <c:pt idx="123">
                  <c:v>4266118.6265087072</c:v>
                </c:pt>
                <c:pt idx="124">
                  <c:v>4266118.6265087072</c:v>
                </c:pt>
                <c:pt idx="125">
                  <c:v>4266118.6265087072</c:v>
                </c:pt>
                <c:pt idx="126">
                  <c:v>4266118.6265087072</c:v>
                </c:pt>
                <c:pt idx="127">
                  <c:v>4266118.6265087072</c:v>
                </c:pt>
                <c:pt idx="128">
                  <c:v>4266118.6265087072</c:v>
                </c:pt>
                <c:pt idx="129">
                  <c:v>4266118.6265087072</c:v>
                </c:pt>
                <c:pt idx="130">
                  <c:v>4266118.6265087072</c:v>
                </c:pt>
                <c:pt idx="131">
                  <c:v>4266118.6265087072</c:v>
                </c:pt>
                <c:pt idx="132">
                  <c:v>4266118.6265087072</c:v>
                </c:pt>
                <c:pt idx="133">
                  <c:v>4266118.6265087072</c:v>
                </c:pt>
                <c:pt idx="134">
                  <c:v>4266118.6265087072</c:v>
                </c:pt>
                <c:pt idx="135">
                  <c:v>4266118.6265087072</c:v>
                </c:pt>
                <c:pt idx="136">
                  <c:v>4266118.6265087072</c:v>
                </c:pt>
                <c:pt idx="137">
                  <c:v>4266118.6265087072</c:v>
                </c:pt>
                <c:pt idx="138">
                  <c:v>4266118.6265087072</c:v>
                </c:pt>
                <c:pt idx="139">
                  <c:v>4266118.6265087072</c:v>
                </c:pt>
                <c:pt idx="140">
                  <c:v>4266118.6265087072</c:v>
                </c:pt>
                <c:pt idx="141">
                  <c:v>4266118.6265087072</c:v>
                </c:pt>
                <c:pt idx="142">
                  <c:v>4266118.6265087072</c:v>
                </c:pt>
                <c:pt idx="143">
                  <c:v>4266118.6265087072</c:v>
                </c:pt>
                <c:pt idx="144">
                  <c:v>4266118.6265087072</c:v>
                </c:pt>
                <c:pt idx="145">
                  <c:v>4266118.6265087072</c:v>
                </c:pt>
                <c:pt idx="146">
                  <c:v>4266118.6265087072</c:v>
                </c:pt>
                <c:pt idx="147">
                  <c:v>4266118.6265087072</c:v>
                </c:pt>
                <c:pt idx="148">
                  <c:v>4266118.6265087072</c:v>
                </c:pt>
                <c:pt idx="149">
                  <c:v>4266118.6265087072</c:v>
                </c:pt>
                <c:pt idx="150">
                  <c:v>4266118.6265087072</c:v>
                </c:pt>
                <c:pt idx="151">
                  <c:v>4266118.6265087072</c:v>
                </c:pt>
                <c:pt idx="152">
                  <c:v>4266118.6265087072</c:v>
                </c:pt>
                <c:pt idx="153">
                  <c:v>4266118.6265087072</c:v>
                </c:pt>
                <c:pt idx="154">
                  <c:v>4266118.6265087072</c:v>
                </c:pt>
                <c:pt idx="155">
                  <c:v>4266118.6265087072</c:v>
                </c:pt>
                <c:pt idx="156">
                  <c:v>4266118.6265087072</c:v>
                </c:pt>
                <c:pt idx="157">
                  <c:v>4266118.6265087072</c:v>
                </c:pt>
                <c:pt idx="158">
                  <c:v>4266118.6265087072</c:v>
                </c:pt>
                <c:pt idx="159">
                  <c:v>4266118.6265087072</c:v>
                </c:pt>
                <c:pt idx="160">
                  <c:v>4266118.6265087072</c:v>
                </c:pt>
                <c:pt idx="161">
                  <c:v>4266118.6265087072</c:v>
                </c:pt>
                <c:pt idx="162">
                  <c:v>4266118.6265087072</c:v>
                </c:pt>
                <c:pt idx="163">
                  <c:v>4266118.6265087072</c:v>
                </c:pt>
                <c:pt idx="164">
                  <c:v>4266118.6265087072</c:v>
                </c:pt>
                <c:pt idx="165">
                  <c:v>4266118.6265087072</c:v>
                </c:pt>
                <c:pt idx="166">
                  <c:v>4266118.6265087072</c:v>
                </c:pt>
                <c:pt idx="167">
                  <c:v>4266118.6265087072</c:v>
                </c:pt>
                <c:pt idx="168">
                  <c:v>4266118.6265087072</c:v>
                </c:pt>
                <c:pt idx="169">
                  <c:v>4266118.6265087072</c:v>
                </c:pt>
                <c:pt idx="170">
                  <c:v>4266118.6265087072</c:v>
                </c:pt>
                <c:pt idx="171">
                  <c:v>4266118.6265087072</c:v>
                </c:pt>
                <c:pt idx="172">
                  <c:v>4266118.6265087072</c:v>
                </c:pt>
                <c:pt idx="173">
                  <c:v>4266118.6265087072</c:v>
                </c:pt>
                <c:pt idx="174">
                  <c:v>4266118.6265087072</c:v>
                </c:pt>
                <c:pt idx="175">
                  <c:v>4266118.6265087072</c:v>
                </c:pt>
                <c:pt idx="176">
                  <c:v>4266118.6265087072</c:v>
                </c:pt>
                <c:pt idx="177">
                  <c:v>4266118.6265087072</c:v>
                </c:pt>
                <c:pt idx="178">
                  <c:v>4266118.6265087072</c:v>
                </c:pt>
                <c:pt idx="179">
                  <c:v>4266118.6265087072</c:v>
                </c:pt>
                <c:pt idx="180">
                  <c:v>4266118.6265087072</c:v>
                </c:pt>
                <c:pt idx="181">
                  <c:v>4266118.6265087072</c:v>
                </c:pt>
                <c:pt idx="182">
                  <c:v>4266118.6265087072</c:v>
                </c:pt>
                <c:pt idx="183">
                  <c:v>4266118.6265087072</c:v>
                </c:pt>
                <c:pt idx="184">
                  <c:v>4266118.6265087072</c:v>
                </c:pt>
                <c:pt idx="185">
                  <c:v>4266118.6265087072</c:v>
                </c:pt>
                <c:pt idx="186">
                  <c:v>4266118.6265087072</c:v>
                </c:pt>
                <c:pt idx="187">
                  <c:v>4266118.6265087072</c:v>
                </c:pt>
                <c:pt idx="188">
                  <c:v>4266118.6265087072</c:v>
                </c:pt>
                <c:pt idx="189">
                  <c:v>4266118.6265087072</c:v>
                </c:pt>
                <c:pt idx="190">
                  <c:v>4266118.6265087072</c:v>
                </c:pt>
                <c:pt idx="191">
                  <c:v>4266118.6265087072</c:v>
                </c:pt>
                <c:pt idx="192">
                  <c:v>4266118.6265087072</c:v>
                </c:pt>
                <c:pt idx="193">
                  <c:v>4266118.6265087072</c:v>
                </c:pt>
                <c:pt idx="194">
                  <c:v>4266118.6265087072</c:v>
                </c:pt>
                <c:pt idx="195">
                  <c:v>4266118.6265087072</c:v>
                </c:pt>
                <c:pt idx="196">
                  <c:v>4266118.6265087072</c:v>
                </c:pt>
                <c:pt idx="197">
                  <c:v>4266118.6265087072</c:v>
                </c:pt>
                <c:pt idx="198">
                  <c:v>4266118.6265087072</c:v>
                </c:pt>
                <c:pt idx="199">
                  <c:v>4266118.6265087072</c:v>
                </c:pt>
                <c:pt idx="200">
                  <c:v>4266118.6265087072</c:v>
                </c:pt>
                <c:pt idx="201">
                  <c:v>4266118.6265087072</c:v>
                </c:pt>
                <c:pt idx="202">
                  <c:v>4266118.6265087072</c:v>
                </c:pt>
                <c:pt idx="203">
                  <c:v>4266118.6265087072</c:v>
                </c:pt>
                <c:pt idx="204">
                  <c:v>4266118.6265087072</c:v>
                </c:pt>
                <c:pt idx="205">
                  <c:v>4266118.6265087072</c:v>
                </c:pt>
                <c:pt idx="206">
                  <c:v>4266118.6265087072</c:v>
                </c:pt>
                <c:pt idx="207">
                  <c:v>4266118.6265087072</c:v>
                </c:pt>
                <c:pt idx="208">
                  <c:v>4266118.6265087072</c:v>
                </c:pt>
                <c:pt idx="209">
                  <c:v>4266118.6265087072</c:v>
                </c:pt>
                <c:pt idx="210">
                  <c:v>4266118.6265087072</c:v>
                </c:pt>
                <c:pt idx="211">
                  <c:v>4266118.6265087072</c:v>
                </c:pt>
                <c:pt idx="212">
                  <c:v>4266118.6265087072</c:v>
                </c:pt>
                <c:pt idx="213">
                  <c:v>4266118.6265087072</c:v>
                </c:pt>
                <c:pt idx="214">
                  <c:v>4266118.6265087072</c:v>
                </c:pt>
                <c:pt idx="215">
                  <c:v>4266118.6265087072</c:v>
                </c:pt>
                <c:pt idx="216">
                  <c:v>4266118.6265087072</c:v>
                </c:pt>
                <c:pt idx="217">
                  <c:v>4266118.6265087072</c:v>
                </c:pt>
                <c:pt idx="218">
                  <c:v>4266118.6265087072</c:v>
                </c:pt>
                <c:pt idx="219">
                  <c:v>4266118.6265087072</c:v>
                </c:pt>
                <c:pt idx="220">
                  <c:v>4266118.6265087072</c:v>
                </c:pt>
                <c:pt idx="221">
                  <c:v>4266118.6265087072</c:v>
                </c:pt>
                <c:pt idx="222">
                  <c:v>4266118.6265087072</c:v>
                </c:pt>
                <c:pt idx="223">
                  <c:v>4266118.6265087072</c:v>
                </c:pt>
                <c:pt idx="224">
                  <c:v>4266118.6265087072</c:v>
                </c:pt>
                <c:pt idx="225">
                  <c:v>4266118.6265087072</c:v>
                </c:pt>
                <c:pt idx="226">
                  <c:v>4266118.6265087072</c:v>
                </c:pt>
                <c:pt idx="227">
                  <c:v>4266118.6265087072</c:v>
                </c:pt>
                <c:pt idx="228">
                  <c:v>4266118.6265087072</c:v>
                </c:pt>
                <c:pt idx="229">
                  <c:v>4266118.6265087072</c:v>
                </c:pt>
                <c:pt idx="230">
                  <c:v>4266118.6265087072</c:v>
                </c:pt>
                <c:pt idx="231">
                  <c:v>4266118.6265087072</c:v>
                </c:pt>
                <c:pt idx="232">
                  <c:v>4266118.6265087072</c:v>
                </c:pt>
                <c:pt idx="233">
                  <c:v>4266118.6265087072</c:v>
                </c:pt>
                <c:pt idx="234">
                  <c:v>4266118.6265087072</c:v>
                </c:pt>
                <c:pt idx="235">
                  <c:v>4266118.6265087072</c:v>
                </c:pt>
                <c:pt idx="236">
                  <c:v>4266118.6265087072</c:v>
                </c:pt>
                <c:pt idx="237">
                  <c:v>4266118.6265087072</c:v>
                </c:pt>
                <c:pt idx="238">
                  <c:v>4266118.6265087072</c:v>
                </c:pt>
                <c:pt idx="239">
                  <c:v>4266118.6265087072</c:v>
                </c:pt>
                <c:pt idx="240">
                  <c:v>4266118.6265087072</c:v>
                </c:pt>
                <c:pt idx="241">
                  <c:v>4266118.6265087072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18.224290740658262</c:v>
                </c:pt>
                <c:pt idx="1">
                  <c:v>25.765376564378922</c:v>
                </c:pt>
                <c:pt idx="2">
                  <c:v>32.520932614795349</c:v>
                </c:pt>
                <c:pt idx="3">
                  <c:v>43.047031577072104</c:v>
                </c:pt>
                <c:pt idx="4">
                  <c:v>50.588117400792761</c:v>
                </c:pt>
                <c:pt idx="5">
                  <c:v>60.328686589765283</c:v>
                </c:pt>
                <c:pt idx="6">
                  <c:v>72.111633189328813</c:v>
                </c:pt>
                <c:pt idx="7">
                  <c:v>92.378301340578091</c:v>
                </c:pt>
                <c:pt idx="8">
                  <c:v>125.52765777401683</c:v>
                </c:pt>
                <c:pt idx="9">
                  <c:v>177.68683472141805</c:v>
                </c:pt>
                <c:pt idx="10">
                  <c:v>208.63670778960494</c:v>
                </c:pt>
                <c:pt idx="11">
                  <c:v>199.68166837393665</c:v>
                </c:pt>
                <c:pt idx="12">
                  <c:v>264.72353360352736</c:v>
                </c:pt>
                <c:pt idx="13">
                  <c:v>360.7152719013049</c:v>
                </c:pt>
                <c:pt idx="14">
                  <c:v>352.70286821360173</c:v>
                </c:pt>
                <c:pt idx="15">
                  <c:v>545.78608649178284</c:v>
                </c:pt>
                <c:pt idx="16">
                  <c:v>690.48067073442292</c:v>
                </c:pt>
                <c:pt idx="17">
                  <c:v>775.63209816060214</c:v>
                </c:pt>
                <c:pt idx="18">
                  <c:v>892.51892842827237</c:v>
                </c:pt>
                <c:pt idx="19">
                  <c:v>1058.7370284594485</c:v>
                </c:pt>
                <c:pt idx="20">
                  <c:v>1212.7008640270788</c:v>
                </c:pt>
                <c:pt idx="21">
                  <c:v>1526.2843495301295</c:v>
                </c:pt>
                <c:pt idx="22">
                  <c:v>1934.6027256936711</c:v>
                </c:pt>
                <c:pt idx="23">
                  <c:v>2200.7402128891463</c:v>
                </c:pt>
                <c:pt idx="24">
                  <c:v>2413.4616754999329</c:v>
                </c:pt>
                <c:pt idx="25">
                  <c:v>2894.5201086714469</c:v>
                </c:pt>
                <c:pt idx="26">
                  <c:v>3441.6022807473387</c:v>
                </c:pt>
                <c:pt idx="27">
                  <c:v>4092.086361176408</c:v>
                </c:pt>
                <c:pt idx="28">
                  <c:v>4865.515949068289</c:v>
                </c:pt>
                <c:pt idx="29">
                  <c:v>5785.1285044317165</c:v>
                </c:pt>
                <c:pt idx="30">
                  <c:v>6878.5535106913303</c:v>
                </c:pt>
                <c:pt idx="31">
                  <c:v>8178.6425942308124</c:v>
                </c:pt>
                <c:pt idx="32">
                  <c:v>9724.456541655034</c:v>
                </c:pt>
                <c:pt idx="33">
                  <c:v>11562.438869408878</c:v>
                </c:pt>
                <c:pt idx="34">
                  <c:v>13747.811205299922</c:v>
                </c:pt>
                <c:pt idx="35">
                  <c:v>16346.232405744408</c:v>
                </c:pt>
                <c:pt idx="36">
                  <c:v>19435.771256416476</c:v>
                </c:pt>
                <c:pt idx="37">
                  <c:v>23109.252025500136</c:v>
                </c:pt>
                <c:pt idx="38">
                  <c:v>27477.043340987886</c:v>
                </c:pt>
                <c:pt idx="39">
                  <c:v>32670.37418300808</c:v>
                </c:pt>
                <c:pt idx="40">
                  <c:v>38845.276619175944</c:v>
                </c:pt>
                <c:pt idx="41">
                  <c:v>46187.273741269477</c:v>
                </c:pt>
                <c:pt idx="42">
                  <c:v>54916.953650881624</c:v>
                </c:pt>
                <c:pt idx="43">
                  <c:v>65296.596962776006</c:v>
                </c:pt>
                <c:pt idx="44">
                  <c:v>77638.056947296835</c:v>
                </c:pt>
                <c:pt idx="45">
                  <c:v>92312.12906834844</c:v>
                </c:pt>
                <c:pt idx="46">
                  <c:v>109759.69142190283</c:v>
                </c:pt>
                <c:pt idx="47">
                  <c:v>130504.95078616939</c:v>
                </c:pt>
                <c:pt idx="48">
                  <c:v>155171.19225703113</c:v>
                </c:pt>
                <c:pt idx="49">
                  <c:v>184499.50566182091</c:v>
                </c:pt>
                <c:pt idx="50">
                  <c:v>219371.05138092316</c:v>
                </c:pt>
                <c:pt idx="51">
                  <c:v>260833.53454713357</c:v>
                </c:pt>
                <c:pt idx="52">
                  <c:v>310132.68303215638</c:v>
                </c:pt>
                <c:pt idx="53">
                  <c:v>368749.674966903</c:v>
                </c:pt>
                <c:pt idx="54">
                  <c:v>438445.64029421494</c:v>
                </c:pt>
                <c:pt idx="55">
                  <c:v>521314.57338981534</c:v>
                </c:pt>
                <c:pt idx="56">
                  <c:v>619846.24649531732</c:v>
                </c:pt>
                <c:pt idx="57">
                  <c:v>737001.01417851471</c:v>
                </c:pt>
                <c:pt idx="58">
                  <c:v>876298.75629853108</c:v>
                </c:pt>
                <c:pt idx="59">
                  <c:v>1041924.6317405385</c:v>
                </c:pt>
                <c:pt idx="60">
                  <c:v>1238854.8202592907</c:v>
                </c:pt>
                <c:pt idx="61">
                  <c:v>1473006.0303074473</c:v>
                </c:pt>
                <c:pt idx="62">
                  <c:v>1751413.2647665518</c:v>
                </c:pt>
                <c:pt idx="63">
                  <c:v>2082441.1854987391</c:v>
                </c:pt>
                <c:pt idx="64">
                  <c:v>2476035.4271037341</c:v>
                </c:pt>
                <c:pt idx="65">
                  <c:v>2944021.4105276023</c:v>
                </c:pt>
                <c:pt idx="66">
                  <c:v>3500459.6342885103</c:v>
                </c:pt>
                <c:pt idx="67">
                  <c:v>4162068.1179378158</c:v>
                </c:pt>
                <c:pt idx="68">
                  <c:v>4266118.6265087072</c:v>
                </c:pt>
                <c:pt idx="69">
                  <c:v>4266118.6265087072</c:v>
                </c:pt>
                <c:pt idx="70">
                  <c:v>4266118.6265087072</c:v>
                </c:pt>
                <c:pt idx="71">
                  <c:v>4266118.6265087072</c:v>
                </c:pt>
                <c:pt idx="72">
                  <c:v>4266118.6265087072</c:v>
                </c:pt>
                <c:pt idx="73">
                  <c:v>4266118.6265087072</c:v>
                </c:pt>
                <c:pt idx="74">
                  <c:v>4266118.6265087072</c:v>
                </c:pt>
                <c:pt idx="75">
                  <c:v>4266118.6265087072</c:v>
                </c:pt>
                <c:pt idx="76">
                  <c:v>4266118.6265087072</c:v>
                </c:pt>
                <c:pt idx="77">
                  <c:v>4266118.6265087072</c:v>
                </c:pt>
                <c:pt idx="78">
                  <c:v>4266118.6265087072</c:v>
                </c:pt>
                <c:pt idx="79">
                  <c:v>4266118.6265087072</c:v>
                </c:pt>
                <c:pt idx="80">
                  <c:v>4266118.6265087072</c:v>
                </c:pt>
                <c:pt idx="81">
                  <c:v>4266118.6265087072</c:v>
                </c:pt>
                <c:pt idx="82">
                  <c:v>4266118.6265087072</c:v>
                </c:pt>
                <c:pt idx="83">
                  <c:v>4266118.6265087072</c:v>
                </c:pt>
                <c:pt idx="84">
                  <c:v>4266118.6265087072</c:v>
                </c:pt>
                <c:pt idx="85">
                  <c:v>4266118.6265087072</c:v>
                </c:pt>
                <c:pt idx="86">
                  <c:v>4266118.6265087072</c:v>
                </c:pt>
                <c:pt idx="87">
                  <c:v>4266118.6265087072</c:v>
                </c:pt>
                <c:pt idx="88">
                  <c:v>4266118.6265087072</c:v>
                </c:pt>
                <c:pt idx="89">
                  <c:v>4266118.6265087072</c:v>
                </c:pt>
                <c:pt idx="90">
                  <c:v>4266118.6265087072</c:v>
                </c:pt>
                <c:pt idx="91">
                  <c:v>4266118.6265087072</c:v>
                </c:pt>
                <c:pt idx="92">
                  <c:v>4266118.6265087072</c:v>
                </c:pt>
                <c:pt idx="93">
                  <c:v>4266118.6265087072</c:v>
                </c:pt>
                <c:pt idx="94">
                  <c:v>4266118.6265087072</c:v>
                </c:pt>
                <c:pt idx="95">
                  <c:v>4266118.6265087072</c:v>
                </c:pt>
                <c:pt idx="96">
                  <c:v>4266118.6265087072</c:v>
                </c:pt>
                <c:pt idx="97">
                  <c:v>4266118.6265087072</c:v>
                </c:pt>
                <c:pt idx="98">
                  <c:v>4266118.6265087072</c:v>
                </c:pt>
                <c:pt idx="99">
                  <c:v>4266118.6265087072</c:v>
                </c:pt>
                <c:pt idx="100">
                  <c:v>4266118.6265087072</c:v>
                </c:pt>
                <c:pt idx="101">
                  <c:v>4266118.6265087072</c:v>
                </c:pt>
                <c:pt idx="102">
                  <c:v>4266118.6265087072</c:v>
                </c:pt>
                <c:pt idx="103">
                  <c:v>4266118.6265087072</c:v>
                </c:pt>
                <c:pt idx="104">
                  <c:v>4266118.6265087072</c:v>
                </c:pt>
                <c:pt idx="105">
                  <c:v>4266118.6265087072</c:v>
                </c:pt>
                <c:pt idx="106">
                  <c:v>4266118.6265087072</c:v>
                </c:pt>
                <c:pt idx="107">
                  <c:v>4266118.6265087072</c:v>
                </c:pt>
                <c:pt idx="108">
                  <c:v>4266118.6265087072</c:v>
                </c:pt>
                <c:pt idx="109">
                  <c:v>4266118.6265087072</c:v>
                </c:pt>
                <c:pt idx="110">
                  <c:v>4266118.6265087072</c:v>
                </c:pt>
                <c:pt idx="111">
                  <c:v>4266118.6265087072</c:v>
                </c:pt>
                <c:pt idx="112">
                  <c:v>4266118.6265087072</c:v>
                </c:pt>
                <c:pt idx="113">
                  <c:v>4266118.6265087072</c:v>
                </c:pt>
                <c:pt idx="114">
                  <c:v>4266118.6265087072</c:v>
                </c:pt>
                <c:pt idx="115">
                  <c:v>4266118.6265087072</c:v>
                </c:pt>
                <c:pt idx="116">
                  <c:v>4266118.6265087072</c:v>
                </c:pt>
                <c:pt idx="117">
                  <c:v>4266118.6265087072</c:v>
                </c:pt>
                <c:pt idx="118">
                  <c:v>4266118.6265087072</c:v>
                </c:pt>
                <c:pt idx="119">
                  <c:v>4266118.6265087072</c:v>
                </c:pt>
                <c:pt idx="120">
                  <c:v>4266118.6265087072</c:v>
                </c:pt>
                <c:pt idx="121">
                  <c:v>4266118.6265087072</c:v>
                </c:pt>
                <c:pt idx="122">
                  <c:v>4266118.6265087072</c:v>
                </c:pt>
                <c:pt idx="123">
                  <c:v>4266118.6265087072</c:v>
                </c:pt>
                <c:pt idx="124">
                  <c:v>4266118.6265087072</c:v>
                </c:pt>
                <c:pt idx="125">
                  <c:v>4266118.6265087072</c:v>
                </c:pt>
                <c:pt idx="126">
                  <c:v>4266118.6265087072</c:v>
                </c:pt>
                <c:pt idx="127">
                  <c:v>4266118.6265087072</c:v>
                </c:pt>
                <c:pt idx="128">
                  <c:v>4266118.6265087072</c:v>
                </c:pt>
                <c:pt idx="129">
                  <c:v>4266118.6265087072</c:v>
                </c:pt>
                <c:pt idx="130">
                  <c:v>4266118.6265087072</c:v>
                </c:pt>
                <c:pt idx="131">
                  <c:v>4266118.6265087072</c:v>
                </c:pt>
                <c:pt idx="132">
                  <c:v>4266118.6265087072</c:v>
                </c:pt>
                <c:pt idx="133">
                  <c:v>4266118.6265087072</c:v>
                </c:pt>
                <c:pt idx="134">
                  <c:v>4266118.6265087072</c:v>
                </c:pt>
                <c:pt idx="135">
                  <c:v>4266118.6265087072</c:v>
                </c:pt>
                <c:pt idx="136">
                  <c:v>4266118.6265087072</c:v>
                </c:pt>
                <c:pt idx="137">
                  <c:v>4266118.6265087072</c:v>
                </c:pt>
                <c:pt idx="138">
                  <c:v>4266118.6265087072</c:v>
                </c:pt>
                <c:pt idx="139">
                  <c:v>4266118.6265087072</c:v>
                </c:pt>
                <c:pt idx="140">
                  <c:v>4266118.6265087072</c:v>
                </c:pt>
                <c:pt idx="141">
                  <c:v>4266118.6265087072</c:v>
                </c:pt>
                <c:pt idx="142">
                  <c:v>4266118.6265087072</c:v>
                </c:pt>
                <c:pt idx="143">
                  <c:v>4266118.6265087072</c:v>
                </c:pt>
                <c:pt idx="144">
                  <c:v>4266118.6265087072</c:v>
                </c:pt>
                <c:pt idx="145">
                  <c:v>4266118.6265087072</c:v>
                </c:pt>
                <c:pt idx="146">
                  <c:v>4266118.6265087072</c:v>
                </c:pt>
                <c:pt idx="147">
                  <c:v>4266118.6265087072</c:v>
                </c:pt>
                <c:pt idx="148">
                  <c:v>4266118.6265087072</c:v>
                </c:pt>
                <c:pt idx="149">
                  <c:v>4266118.6265087072</c:v>
                </c:pt>
                <c:pt idx="150">
                  <c:v>4266118.6265087072</c:v>
                </c:pt>
                <c:pt idx="151">
                  <c:v>4266118.6265087072</c:v>
                </c:pt>
                <c:pt idx="152">
                  <c:v>4266118.6265087072</c:v>
                </c:pt>
                <c:pt idx="153">
                  <c:v>4266118.6265087072</c:v>
                </c:pt>
                <c:pt idx="154">
                  <c:v>4266118.6265087072</c:v>
                </c:pt>
                <c:pt idx="155">
                  <c:v>4266118.6265087072</c:v>
                </c:pt>
                <c:pt idx="156">
                  <c:v>4266118.6265087072</c:v>
                </c:pt>
                <c:pt idx="157">
                  <c:v>4266118.6265087072</c:v>
                </c:pt>
                <c:pt idx="158">
                  <c:v>4266118.6265087072</c:v>
                </c:pt>
                <c:pt idx="159">
                  <c:v>4266118.6265087072</c:v>
                </c:pt>
                <c:pt idx="160">
                  <c:v>4266118.6265087072</c:v>
                </c:pt>
                <c:pt idx="161">
                  <c:v>4266118.6265087072</c:v>
                </c:pt>
                <c:pt idx="162">
                  <c:v>4266118.6265087072</c:v>
                </c:pt>
                <c:pt idx="163">
                  <c:v>4266118.6265087072</c:v>
                </c:pt>
                <c:pt idx="164">
                  <c:v>4266118.6265087072</c:v>
                </c:pt>
                <c:pt idx="165">
                  <c:v>4266118.6265087072</c:v>
                </c:pt>
                <c:pt idx="166">
                  <c:v>4266118.6265087072</c:v>
                </c:pt>
                <c:pt idx="167">
                  <c:v>4266118.6265087072</c:v>
                </c:pt>
                <c:pt idx="168">
                  <c:v>4266118.6265087072</c:v>
                </c:pt>
                <c:pt idx="169">
                  <c:v>4266118.6265087072</c:v>
                </c:pt>
                <c:pt idx="170">
                  <c:v>4266118.6265087072</c:v>
                </c:pt>
                <c:pt idx="171">
                  <c:v>4266118.6265087072</c:v>
                </c:pt>
                <c:pt idx="172">
                  <c:v>4266118.6265087072</c:v>
                </c:pt>
                <c:pt idx="173">
                  <c:v>4266118.6265087072</c:v>
                </c:pt>
                <c:pt idx="174">
                  <c:v>4266118.6265087072</c:v>
                </c:pt>
                <c:pt idx="175">
                  <c:v>4266118.6265087072</c:v>
                </c:pt>
                <c:pt idx="176">
                  <c:v>4266118.6265087072</c:v>
                </c:pt>
                <c:pt idx="177">
                  <c:v>4266118.6265087072</c:v>
                </c:pt>
                <c:pt idx="178">
                  <c:v>4266118.6265087072</c:v>
                </c:pt>
                <c:pt idx="179">
                  <c:v>4266118.6265087072</c:v>
                </c:pt>
                <c:pt idx="180">
                  <c:v>4266118.6265087072</c:v>
                </c:pt>
                <c:pt idx="181">
                  <c:v>4266118.6265087072</c:v>
                </c:pt>
                <c:pt idx="182">
                  <c:v>4266118.6265087072</c:v>
                </c:pt>
                <c:pt idx="183">
                  <c:v>4266118.6265087072</c:v>
                </c:pt>
                <c:pt idx="184">
                  <c:v>4266118.6265087072</c:v>
                </c:pt>
                <c:pt idx="185">
                  <c:v>4266118.6265087072</c:v>
                </c:pt>
                <c:pt idx="186">
                  <c:v>4266118.6265087072</c:v>
                </c:pt>
                <c:pt idx="187">
                  <c:v>4266118.6265087072</c:v>
                </c:pt>
                <c:pt idx="188">
                  <c:v>4266118.6265087072</c:v>
                </c:pt>
                <c:pt idx="189">
                  <c:v>4266118.6265087072</c:v>
                </c:pt>
                <c:pt idx="190">
                  <c:v>4266118.6265087072</c:v>
                </c:pt>
                <c:pt idx="191">
                  <c:v>4266118.6265087072</c:v>
                </c:pt>
                <c:pt idx="192">
                  <c:v>4266118.6265087072</c:v>
                </c:pt>
                <c:pt idx="193">
                  <c:v>4266118.6265087072</c:v>
                </c:pt>
                <c:pt idx="194">
                  <c:v>4266118.6265087072</c:v>
                </c:pt>
                <c:pt idx="195">
                  <c:v>4266118.6265087072</c:v>
                </c:pt>
                <c:pt idx="196">
                  <c:v>4266118.6265087072</c:v>
                </c:pt>
                <c:pt idx="197">
                  <c:v>4266118.6265087072</c:v>
                </c:pt>
                <c:pt idx="198">
                  <c:v>4266118.6265087072</c:v>
                </c:pt>
                <c:pt idx="199">
                  <c:v>4266118.6265087072</c:v>
                </c:pt>
                <c:pt idx="200">
                  <c:v>4266118.6265087072</c:v>
                </c:pt>
                <c:pt idx="201">
                  <c:v>4266118.6265087072</c:v>
                </c:pt>
                <c:pt idx="202">
                  <c:v>4266118.6265087072</c:v>
                </c:pt>
                <c:pt idx="203">
                  <c:v>4266118.6265087072</c:v>
                </c:pt>
                <c:pt idx="204">
                  <c:v>4266118.6265087072</c:v>
                </c:pt>
                <c:pt idx="205">
                  <c:v>4266118.6265087072</c:v>
                </c:pt>
                <c:pt idx="206">
                  <c:v>4266118.6265087072</c:v>
                </c:pt>
                <c:pt idx="207">
                  <c:v>4266118.6265087072</c:v>
                </c:pt>
                <c:pt idx="208">
                  <c:v>4266118.6265087072</c:v>
                </c:pt>
                <c:pt idx="209">
                  <c:v>4266118.6265087072</c:v>
                </c:pt>
                <c:pt idx="210">
                  <c:v>4266118.6265087072</c:v>
                </c:pt>
                <c:pt idx="211">
                  <c:v>4266118.6265087072</c:v>
                </c:pt>
                <c:pt idx="212">
                  <c:v>4266118.6265087072</c:v>
                </c:pt>
                <c:pt idx="213">
                  <c:v>4266118.6265087072</c:v>
                </c:pt>
                <c:pt idx="214">
                  <c:v>4266118.6265087072</c:v>
                </c:pt>
                <c:pt idx="215">
                  <c:v>4266118.6265087072</c:v>
                </c:pt>
                <c:pt idx="216">
                  <c:v>4266118.6265087072</c:v>
                </c:pt>
                <c:pt idx="217">
                  <c:v>4266118.6265087072</c:v>
                </c:pt>
                <c:pt idx="218">
                  <c:v>4266118.6265087072</c:v>
                </c:pt>
                <c:pt idx="219">
                  <c:v>4266118.6265087072</c:v>
                </c:pt>
                <c:pt idx="220">
                  <c:v>4266118.6265087072</c:v>
                </c:pt>
                <c:pt idx="221">
                  <c:v>4266118.6265087072</c:v>
                </c:pt>
                <c:pt idx="222">
                  <c:v>4266118.6265087072</c:v>
                </c:pt>
                <c:pt idx="223">
                  <c:v>4266118.6265087072</c:v>
                </c:pt>
                <c:pt idx="224">
                  <c:v>4266118.6265087072</c:v>
                </c:pt>
                <c:pt idx="225">
                  <c:v>4266118.6265087072</c:v>
                </c:pt>
                <c:pt idx="226">
                  <c:v>4266118.6265087072</c:v>
                </c:pt>
                <c:pt idx="227">
                  <c:v>4266118.6265087072</c:v>
                </c:pt>
                <c:pt idx="228">
                  <c:v>4266118.6265087072</c:v>
                </c:pt>
                <c:pt idx="229">
                  <c:v>4266118.6265087072</c:v>
                </c:pt>
                <c:pt idx="230">
                  <c:v>4266118.6265087072</c:v>
                </c:pt>
                <c:pt idx="231">
                  <c:v>4266118.6265087072</c:v>
                </c:pt>
                <c:pt idx="232">
                  <c:v>4266118.6265087072</c:v>
                </c:pt>
                <c:pt idx="233">
                  <c:v>4266118.6265087072</c:v>
                </c:pt>
                <c:pt idx="234">
                  <c:v>4266118.6265087072</c:v>
                </c:pt>
                <c:pt idx="235">
                  <c:v>4266118.6265087072</c:v>
                </c:pt>
                <c:pt idx="236">
                  <c:v>4266118.6265087072</c:v>
                </c:pt>
                <c:pt idx="237">
                  <c:v>4266118.6265087072</c:v>
                </c:pt>
                <c:pt idx="238">
                  <c:v>4266118.6265087072</c:v>
                </c:pt>
                <c:pt idx="239">
                  <c:v>4266118.6265087072</c:v>
                </c:pt>
                <c:pt idx="240">
                  <c:v>4266118.6265087072</c:v>
                </c:pt>
                <c:pt idx="241">
                  <c:v>4266118.6265087072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1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138.12954176461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18424</c:v>
                </c:pt>
                <c:pt idx="26">
                  <c:v>21906.249754676115</c:v>
                </c:pt>
                <c:pt idx="27">
                  <c:v>26046.666213322154</c:v>
                </c:pt>
                <c:pt idx="28">
                  <c:v>30969.646946684708</c:v>
                </c:pt>
                <c:pt idx="29">
                  <c:v>36823.101434445169</c:v>
                </c:pt>
                <c:pt idx="30">
                  <c:v>43782.894961177168</c:v>
                </c:pt>
                <c:pt idx="31">
                  <c:v>52058.132436077802</c:v>
                </c:pt>
                <c:pt idx="32">
                  <c:v>61897.440887251738</c:v>
                </c:pt>
                <c:pt idx="33">
                  <c:v>73596.439386204831</c:v>
                </c:pt>
                <c:pt idx="34">
                  <c:v>87506.620834188288</c:v>
                </c:pt>
                <c:pt idx="35">
                  <c:v>104045.91246100048</c:v>
                </c:pt>
                <c:pt idx="36">
                  <c:v>123711.23232326553</c:v>
                </c:pt>
                <c:pt idx="37">
                  <c:v>147093.41905841377</c:v>
                </c:pt>
                <c:pt idx="38">
                  <c:v>174894.98345434474</c:v>
                </c:pt>
                <c:pt idx="39">
                  <c:v>207951.21517535945</c:v>
                </c:pt>
                <c:pt idx="40">
                  <c:v>247255.27878961235</c:v>
                </c:pt>
                <c:pt idx="41">
                  <c:v>293988.05310070125</c:v>
                </c:pt>
                <c:pt idx="42">
                  <c:v>349553.61029716377</c:v>
                </c:pt>
                <c:pt idx="43">
                  <c:v>415621.40088028624</c:v>
                </c:pt>
                <c:pt idx="44">
                  <c:v>494176.41180372954</c:v>
                </c:pt>
                <c:pt idx="45">
                  <c:v>587578.80481123389</c:v>
                </c:pt>
                <c:pt idx="46">
                  <c:v>698634.82678837259</c:v>
                </c:pt>
                <c:pt idx="47">
                  <c:v>830681.12260860705</c:v>
                </c:pt>
                <c:pt idx="48">
                  <c:v>987684.98362781573</c:v>
                </c:pt>
                <c:pt idx="49">
                  <c:v>1174363.5437632501</c:v>
                </c:pt>
                <c:pt idx="50">
                  <c:v>1396325.5043673615</c:v>
                </c:pt>
                <c:pt idx="51">
                  <c:v>1660239.6459778287</c:v>
                </c:pt>
                <c:pt idx="52">
                  <c:v>1974035.1898287761</c:v>
                </c:pt>
                <c:pt idx="53">
                  <c:v>2347140.0289246985</c:v>
                </c:pt>
                <c:pt idx="54">
                  <c:v>2790763.986258259</c:v>
                </c:pt>
                <c:pt idx="55">
                  <c:v>3318235.6105801631</c:v>
                </c:pt>
                <c:pt idx="56">
                  <c:v>3945402.6286490038</c:v>
                </c:pt>
                <c:pt idx="57">
                  <c:v>4691108.0854288284</c:v>
                </c:pt>
                <c:pt idx="58">
                  <c:v>5577756.4777238611</c:v>
                </c:pt>
                <c:pt idx="59">
                  <c:v>6631986.8905656449</c:v>
                </c:pt>
                <c:pt idx="60">
                  <c:v>7885473.3605334815</c:v>
                </c:pt>
                <c:pt idx="61">
                  <c:v>9375876.5126840863</c:v>
                </c:pt>
                <c:pt idx="62">
                  <c:v>11147975.06273661</c:v>
                </c:pt>
                <c:pt idx="63">
                  <c:v>13255011.180156823</c:v>
                </c:pt>
                <c:pt idx="64">
                  <c:v>15760290.133170841</c:v>
                </c:pt>
                <c:pt idx="65">
                  <c:v>18739082.276563078</c:v>
                </c:pt>
                <c:pt idx="66">
                  <c:v>22280884.526911389</c:v>
                </c:pt>
                <c:pt idx="67">
                  <c:v>26492109.270604618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164-ABC4-CCF1AB3D6DD0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18424</c:v>
                </c:pt>
                <c:pt idx="26">
                  <c:v>20266.400000000001</c:v>
                </c:pt>
                <c:pt idx="27">
                  <c:v>22293.040000000005</c:v>
                </c:pt>
                <c:pt idx="28">
                  <c:v>24522.344000000008</c:v>
                </c:pt>
                <c:pt idx="29">
                  <c:v>26974.578400000009</c:v>
                </c:pt>
                <c:pt idx="30">
                  <c:v>29672.036240000012</c:v>
                </c:pt>
                <c:pt idx="31">
                  <c:v>32639.239864000017</c:v>
                </c:pt>
                <c:pt idx="32">
                  <c:v>35903.163850400022</c:v>
                </c:pt>
                <c:pt idx="33">
                  <c:v>39493.480235440031</c:v>
                </c:pt>
                <c:pt idx="34">
                  <c:v>43442.828258984038</c:v>
                </c:pt>
                <c:pt idx="35">
                  <c:v>47787.111084882446</c:v>
                </c:pt>
                <c:pt idx="36">
                  <c:v>52565.822193370695</c:v>
                </c:pt>
                <c:pt idx="37">
                  <c:v>57822.404412707772</c:v>
                </c:pt>
                <c:pt idx="38">
                  <c:v>63604.644853978556</c:v>
                </c:pt>
                <c:pt idx="39">
                  <c:v>69965.109339376417</c:v>
                </c:pt>
                <c:pt idx="40">
                  <c:v>76961.620273314067</c:v>
                </c:pt>
                <c:pt idx="41">
                  <c:v>84657.782300645486</c:v>
                </c:pt>
                <c:pt idx="42">
                  <c:v>93123.560530710049</c:v>
                </c:pt>
                <c:pt idx="43">
                  <c:v>102435.91658378106</c:v>
                </c:pt>
                <c:pt idx="44">
                  <c:v>112679.50824215918</c:v>
                </c:pt>
                <c:pt idx="45">
                  <c:v>123947.4590663751</c:v>
                </c:pt>
                <c:pt idx="46">
                  <c:v>136342.20497301262</c:v>
                </c:pt>
                <c:pt idx="47">
                  <c:v>149976.4254703139</c:v>
                </c:pt>
                <c:pt idx="48">
                  <c:v>164974.0680173453</c:v>
                </c:pt>
                <c:pt idx="49">
                  <c:v>181471.47481907986</c:v>
                </c:pt>
                <c:pt idx="50">
                  <c:v>199618.62230098786</c:v>
                </c:pt>
                <c:pt idx="51">
                  <c:v>219580.48453108667</c:v>
                </c:pt>
                <c:pt idx="52">
                  <c:v>241538.53298419536</c:v>
                </c:pt>
                <c:pt idx="53">
                  <c:v>265692.3862826149</c:v>
                </c:pt>
                <c:pt idx="54">
                  <c:v>292261.62491087639</c:v>
                </c:pt>
                <c:pt idx="55">
                  <c:v>321487.78740196407</c:v>
                </c:pt>
                <c:pt idx="56">
                  <c:v>353636.5661421605</c:v>
                </c:pt>
                <c:pt idx="57">
                  <c:v>389000.22275637661</c:v>
                </c:pt>
                <c:pt idx="58">
                  <c:v>427900.24503201433</c:v>
                </c:pt>
                <c:pt idx="59">
                  <c:v>470690.2695352158</c:v>
                </c:pt>
                <c:pt idx="60">
                  <c:v>517759.29648873745</c:v>
                </c:pt>
                <c:pt idx="61">
                  <c:v>569535.2261376112</c:v>
                </c:pt>
                <c:pt idx="62">
                  <c:v>626488.74875137233</c:v>
                </c:pt>
                <c:pt idx="63">
                  <c:v>689137.62362650956</c:v>
                </c:pt>
                <c:pt idx="64">
                  <c:v>758051.38598916063</c:v>
                </c:pt>
                <c:pt idx="65">
                  <c:v>833856.52458807675</c:v>
                </c:pt>
                <c:pt idx="66">
                  <c:v>917242.17704688455</c:v>
                </c:pt>
                <c:pt idx="67">
                  <c:v>1008966.3947515731</c:v>
                </c:pt>
                <c:pt idx="68">
                  <c:v>1109863.0342267305</c:v>
                </c:pt>
                <c:pt idx="69">
                  <c:v>1220849.3376494036</c:v>
                </c:pt>
                <c:pt idx="70">
                  <c:v>1342934.271414344</c:v>
                </c:pt>
                <c:pt idx="71">
                  <c:v>1477227.6985557785</c:v>
                </c:pt>
                <c:pt idx="72">
                  <c:v>1624950.4684113564</c:v>
                </c:pt>
                <c:pt idx="73">
                  <c:v>1787445.5152524922</c:v>
                </c:pt>
                <c:pt idx="74">
                  <c:v>1966190.0667777415</c:v>
                </c:pt>
                <c:pt idx="75">
                  <c:v>2162809.0734555158</c:v>
                </c:pt>
                <c:pt idx="76">
                  <c:v>2379089.9808010678</c:v>
                </c:pt>
                <c:pt idx="77">
                  <c:v>2616998.9788811747</c:v>
                </c:pt>
                <c:pt idx="78">
                  <c:v>2878698.8767692922</c:v>
                </c:pt>
                <c:pt idx="79">
                  <c:v>3166568.7644462218</c:v>
                </c:pt>
                <c:pt idx="80">
                  <c:v>3483225.6408908442</c:v>
                </c:pt>
                <c:pt idx="81">
                  <c:v>3831548.2049799287</c:v>
                </c:pt>
                <c:pt idx="82">
                  <c:v>4214703.0254779216</c:v>
                </c:pt>
                <c:pt idx="83">
                  <c:v>4636173.3280257145</c:v>
                </c:pt>
                <c:pt idx="84">
                  <c:v>5099790.6608282868</c:v>
                </c:pt>
                <c:pt idx="85">
                  <c:v>5609769.7269111155</c:v>
                </c:pt>
                <c:pt idx="86">
                  <c:v>6170746.6996022277</c:v>
                </c:pt>
                <c:pt idx="87">
                  <c:v>6787821.3695624508</c:v>
                </c:pt>
                <c:pt idx="88">
                  <c:v>7466603.5065186964</c:v>
                </c:pt>
                <c:pt idx="89">
                  <c:v>8213263.8571705669</c:v>
                </c:pt>
                <c:pt idx="90">
                  <c:v>9034590.2428876236</c:v>
                </c:pt>
                <c:pt idx="91">
                  <c:v>9938049.267176386</c:v>
                </c:pt>
                <c:pt idx="92">
                  <c:v>10931854.193894025</c:v>
                </c:pt>
                <c:pt idx="93">
                  <c:v>12025039.613283429</c:v>
                </c:pt>
                <c:pt idx="94">
                  <c:v>13227543.574611774</c:v>
                </c:pt>
                <c:pt idx="95">
                  <c:v>14550297.932072952</c:v>
                </c:pt>
                <c:pt idx="96">
                  <c:v>16005327.725280249</c:v>
                </c:pt>
                <c:pt idx="97">
                  <c:v>17605860.497808278</c:v>
                </c:pt>
                <c:pt idx="98">
                  <c:v>19366446.547589108</c:v>
                </c:pt>
                <c:pt idx="99">
                  <c:v>21303091.20234802</c:v>
                </c:pt>
                <c:pt idx="100">
                  <c:v>23433400.322582822</c:v>
                </c:pt>
                <c:pt idx="101">
                  <c:v>25776740.354841106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164-ABC4-CCF1AB3D6DD0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18424</c:v>
                </c:pt>
                <c:pt idx="26">
                  <c:v>23030</c:v>
                </c:pt>
                <c:pt idx="27">
                  <c:v>28787.5</c:v>
                </c:pt>
                <c:pt idx="28">
                  <c:v>35984.375</c:v>
                </c:pt>
                <c:pt idx="29">
                  <c:v>44980.46875</c:v>
                </c:pt>
                <c:pt idx="30">
                  <c:v>56225.5859375</c:v>
                </c:pt>
                <c:pt idx="31">
                  <c:v>70281.982421875</c:v>
                </c:pt>
                <c:pt idx="32">
                  <c:v>87852.47802734375</c:v>
                </c:pt>
                <c:pt idx="33">
                  <c:v>109815.59753417969</c:v>
                </c:pt>
                <c:pt idx="34">
                  <c:v>137269.49691772461</c:v>
                </c:pt>
                <c:pt idx="35">
                  <c:v>171586.87114715576</c:v>
                </c:pt>
                <c:pt idx="36">
                  <c:v>214483.5889339447</c:v>
                </c:pt>
                <c:pt idx="37">
                  <c:v>268104.48616743088</c:v>
                </c:pt>
                <c:pt idx="38">
                  <c:v>335130.6077092886</c:v>
                </c:pt>
                <c:pt idx="39">
                  <c:v>418913.25963661075</c:v>
                </c:pt>
                <c:pt idx="40">
                  <c:v>523641.57454576343</c:v>
                </c:pt>
                <c:pt idx="41">
                  <c:v>654551.96818220429</c:v>
                </c:pt>
                <c:pt idx="42">
                  <c:v>818189.96022775536</c:v>
                </c:pt>
                <c:pt idx="43">
                  <c:v>1022737.4502846942</c:v>
                </c:pt>
                <c:pt idx="44">
                  <c:v>1278421.8128558677</c:v>
                </c:pt>
                <c:pt idx="45">
                  <c:v>1598027.2660698346</c:v>
                </c:pt>
                <c:pt idx="46">
                  <c:v>1997534.0825872933</c:v>
                </c:pt>
                <c:pt idx="47">
                  <c:v>2496917.6032341169</c:v>
                </c:pt>
                <c:pt idx="48">
                  <c:v>3121147.0040426459</c:v>
                </c:pt>
                <c:pt idx="49">
                  <c:v>3901433.7550533074</c:v>
                </c:pt>
                <c:pt idx="50">
                  <c:v>4876792.1938166339</c:v>
                </c:pt>
                <c:pt idx="51">
                  <c:v>6095990.2422707919</c:v>
                </c:pt>
                <c:pt idx="52">
                  <c:v>7619987.8028384894</c:v>
                </c:pt>
                <c:pt idx="53">
                  <c:v>9524984.7535481118</c:v>
                </c:pt>
                <c:pt idx="54">
                  <c:v>11906230.941935141</c:v>
                </c:pt>
                <c:pt idx="55">
                  <c:v>14882788.677418925</c:v>
                </c:pt>
                <c:pt idx="56">
                  <c:v>18603485.846773654</c:v>
                </c:pt>
                <c:pt idx="57">
                  <c:v>23254357.308467068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1-4164-ABC4-CCF1AB3D6DD0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18424</c:v>
                </c:pt>
                <c:pt idx="26">
                  <c:v>25793.599999999999</c:v>
                </c:pt>
                <c:pt idx="27">
                  <c:v>36111.039999999994</c:v>
                </c:pt>
                <c:pt idx="28">
                  <c:v>50555.455999999991</c:v>
                </c:pt>
                <c:pt idx="29">
                  <c:v>70777.638399999982</c:v>
                </c:pt>
                <c:pt idx="30">
                  <c:v>99088.693759999966</c:v>
                </c:pt>
                <c:pt idx="31">
                  <c:v>138724.17126399995</c:v>
                </c:pt>
                <c:pt idx="32">
                  <c:v>194213.8397695999</c:v>
                </c:pt>
                <c:pt idx="33">
                  <c:v>271899.37567743985</c:v>
                </c:pt>
                <c:pt idx="34">
                  <c:v>380659.12594841578</c:v>
                </c:pt>
                <c:pt idx="35">
                  <c:v>532922.77632778208</c:v>
                </c:pt>
                <c:pt idx="36">
                  <c:v>746091.88685889484</c:v>
                </c:pt>
                <c:pt idx="37">
                  <c:v>1044528.6416024527</c:v>
                </c:pt>
                <c:pt idx="38">
                  <c:v>1462340.0982434337</c:v>
                </c:pt>
                <c:pt idx="39">
                  <c:v>2047276.137540807</c:v>
                </c:pt>
                <c:pt idx="40">
                  <c:v>2866186.5925571295</c:v>
                </c:pt>
                <c:pt idx="41">
                  <c:v>4012661.229579981</c:v>
                </c:pt>
                <c:pt idx="42">
                  <c:v>5617725.7214119732</c:v>
                </c:pt>
                <c:pt idx="43">
                  <c:v>7864816.0099767623</c:v>
                </c:pt>
                <c:pt idx="44">
                  <c:v>11010742.413967466</c:v>
                </c:pt>
                <c:pt idx="45">
                  <c:v>15415039.379554451</c:v>
                </c:pt>
                <c:pt idx="46">
                  <c:v>21581055.131376229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1-4164-ABC4-CCF1AB3D6DD0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31-4164-ABC4-CCF1AB3D6DD0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31-4164-ABC4-CCF1AB3D6DD0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18424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31-4164-ABC4-CCF1AB3D6DD0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0.4137931034482758</c:v>
                </c:pt>
                <c:pt idx="1">
                  <c:v>0.4137931034482758</c:v>
                </c:pt>
                <c:pt idx="2">
                  <c:v>0.3878105139130445</c:v>
                </c:pt>
                <c:pt idx="3">
                  <c:v>0.36047114587337598</c:v>
                </c:pt>
                <c:pt idx="4">
                  <c:v>0.31946404668985179</c:v>
                </c:pt>
                <c:pt idx="5">
                  <c:v>0.29768224660644549</c:v>
                </c:pt>
                <c:pt idx="6">
                  <c:v>0.26327479160607559</c:v>
                </c:pt>
                <c:pt idx="7">
                  <c:v>0.24375103757513239</c:v>
                </c:pt>
                <c:pt idx="8">
                  <c:v>0.2331445047650933</c:v>
                </c:pt>
                <c:pt idx="9">
                  <c:v>0.25217557109651495</c:v>
                </c:pt>
                <c:pt idx="10">
                  <c:v>0.26866258743322646</c:v>
                </c:pt>
                <c:pt idx="11">
                  <c:v>0.26441332233001691</c:v>
                </c:pt>
                <c:pt idx="12">
                  <c:v>0.24732057987444014</c:v>
                </c:pt>
                <c:pt idx="13">
                  <c:v>0.23178383810369976</c:v>
                </c:pt>
                <c:pt idx="14">
                  <c:v>0.20546183737703827</c:v>
                </c:pt>
                <c:pt idx="15">
                  <c:v>0.19802804215328088</c:v>
                </c:pt>
                <c:pt idx="16">
                  <c:v>0.21355425404870113</c:v>
                </c:pt>
                <c:pt idx="17">
                  <c:v>0.24451873664365462</c:v>
                </c:pt>
                <c:pt idx="18">
                  <c:v>0.24004499929983139</c:v>
                </c:pt>
                <c:pt idx="19">
                  <c:v>0.22812795673188679</c:v>
                </c:pt>
                <c:pt idx="20">
                  <c:v>0.20588472190383214</c:v>
                </c:pt>
                <c:pt idx="21">
                  <c:v>0.19697532363137316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0.18900617426596375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31-4164-ABC4-CCF1AB3D6DD0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5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684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8"/>
          <c:order val="10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  <c:pt idx="32">
                  <c:v>38309</c:v>
                </c:pt>
                <c:pt idx="33">
                  <c:v>41495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5"/>
          <c:order val="11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22"/>
          <c:order val="12"/>
          <c:tx>
            <c:strRef>
              <c:f>Days_Since_100!$H$22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9"/>
          <c:order val="13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14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15"/>
          <c:tx>
            <c:strRef>
              <c:f>Days_Since_100!$H$27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  <c:pt idx="18">
                  <c:v>4695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16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  <c:pt idx="17">
                  <c:v>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17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18"/>
          <c:tx>
            <c:strRef>
              <c:f>Days_Since_100!$H$30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6"/>
          <c:order val="19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20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21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51"/>
          <c:order val="22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23"/>
          <c:tx>
            <c:strRef>
              <c:f>Days_Since_100!$H$38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24"/>
          <c:tx>
            <c:strRef>
              <c:f>Days_Since_100!$H$39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25"/>
          <c:tx>
            <c:strRef>
              <c:f>Days_Since_100!$H$40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26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27"/>
          <c:tx>
            <c:strRef>
              <c:f>Days_Since_100!$H$42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28"/>
          <c:tx>
            <c:strRef>
              <c:f>Days_Since_100!$H$43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29"/>
          <c:tx>
            <c:strRef>
              <c:f>Days_Since_100!$H$44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30"/>
          <c:tx>
            <c:strRef>
              <c:f>Days_Since_100!$H$45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31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32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33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34"/>
          <c:tx>
            <c:strRef>
              <c:f>Days_Since_100!$H$49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35"/>
          <c:tx>
            <c:strRef>
              <c:f>Days_Since_100!$H$50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36"/>
          <c:tx>
            <c:strRef>
              <c:f>Days_Since_100!$H$51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37"/>
          <c:tx>
            <c:strRef>
              <c:f>Days_Since_100!$H$52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38"/>
          <c:tx>
            <c:strRef>
              <c:f>Days_Since_100!$H$53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39"/>
          <c:tx>
            <c:strRef>
              <c:f>Days_Since_100!$H$54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40"/>
          <c:tx>
            <c:strRef>
              <c:f>Days_Since_100!$H$55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41"/>
          <c:tx>
            <c:strRef>
              <c:f>Days_Since_100!$H$56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42"/>
          <c:tx>
            <c:strRef>
              <c:f>Days_Since_100!$H$57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43"/>
          <c:tx>
            <c:strRef>
              <c:f>Days_Since_100!$H$58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44"/>
          <c:tx>
            <c:strRef>
              <c:f>Days_Since_100!$H$59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45"/>
          <c:tx>
            <c:strRef>
              <c:f>Days_Since_100!$H$60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46"/>
          <c:tx>
            <c:strRef>
              <c:f>Days_Since_100!$H$61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47"/>
          <c:tx>
            <c:strRef>
              <c:f>Days_Since_100!$H$62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48"/>
          <c:tx>
            <c:strRef>
              <c:f>Days_Since_100!$H$63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49"/>
          <c:tx>
            <c:strRef>
              <c:f>Days_Since_100!$H$64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50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51"/>
          <c:tx>
            <c:strRef>
              <c:f>Days_Since_100!$H$66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52"/>
          <c:tx>
            <c:strRef>
              <c:f>Days_Since_100!$H$67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53"/>
          <c:tx>
            <c:strRef>
              <c:f>Days_Since_100!$H$68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54"/>
          <c:tx>
            <c:strRef>
              <c:f>Days_Since_100!$H$69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55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56"/>
          <c:tx>
            <c:strRef>
              <c:f>Days_Since_100!$H$71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57"/>
          <c:tx>
            <c:strRef>
              <c:f>Days_Since_100!$H$72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58"/>
          <c:tx>
            <c:strRef>
              <c:f>Days_Since_100!$H$73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59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60"/>
          <c:tx>
            <c:strRef>
              <c:f>Days_Since_100!$H$75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61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62"/>
          <c:tx>
            <c:strRef>
              <c:f>Days_Since_100!$H$77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63"/>
          <c:tx>
            <c:strRef>
              <c:f>Days_Since_100!$H$78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64"/>
          <c:tx>
            <c:strRef>
              <c:f>Days_Since_100!$H$79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65"/>
          <c:tx>
            <c:strRef>
              <c:f>Days_Since_100!$H$80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66"/>
          <c:tx>
            <c:strRef>
              <c:f>Days_Since_100!$H$81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67"/>
          <c:tx>
            <c:strRef>
              <c:f>Days_Since_100!$H$82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68"/>
          <c:tx>
            <c:strRef>
              <c:f>Days_Since_100!$H$83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69"/>
          <c:tx>
            <c:strRef>
              <c:f>Days_Since_100!$H$84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70"/>
          <c:tx>
            <c:strRef>
              <c:f>Days_Since_100!$H$85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71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72"/>
          <c:tx>
            <c:strRef>
              <c:f>Days_Since_100!$H$87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73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74"/>
          <c:tx>
            <c:strRef>
              <c:f>Days_Since_100!$H$89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75"/>
          <c:tx>
            <c:strRef>
              <c:f>Days_Since_100!$H$90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76"/>
          <c:tx>
            <c:strRef>
              <c:f>Days_Since_100!$H$91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77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78"/>
          <c:tx>
            <c:strRef>
              <c:f>Days_Since_100!$H$93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79"/>
          <c:tx>
            <c:strRef>
              <c:f>Days_Since_100!$H$94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80"/>
          <c:tx>
            <c:strRef>
              <c:f>Days_Since_100!$H$95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81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82"/>
          <c:tx>
            <c:strRef>
              <c:f>Days_Since_100!$H$97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83"/>
          <c:tx>
            <c:strRef>
              <c:f>Days_Since_100!$H$98</c:f>
              <c:strCache>
                <c:ptCount val="1"/>
                <c:pt idx="0">
                  <c:v>Afghanistan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84"/>
          <c:tx>
            <c:strRef>
              <c:f>Days_Since_100!$H$99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85"/>
          <c:tx>
            <c:strRef>
              <c:f>Days_Since_100!$H$100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  <c:pt idx="3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86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  <c:pt idx="4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14671104256298"/>
          <c:y val="7.8034561373258995E-2"/>
          <c:w val="0.17785328895743702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4"/>
          <c:order val="11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12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13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14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15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6"/>
          <c:tx>
            <c:strRef>
              <c:f>Deaths_since_10!$H$24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17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18"/>
          <c:tx>
            <c:strRef>
              <c:f>Deaths_since_10!$H$26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19"/>
          <c:tx>
            <c:strRef>
              <c:f>Deaths_since_10!$H$27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20"/>
          <c:tx>
            <c:strRef>
              <c:f>Deaths_since_10!$H$28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21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22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3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24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25"/>
          <c:tx>
            <c:strRef>
              <c:f>Deaths_since_10!$H$33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6"/>
          <c:tx>
            <c:strRef>
              <c:f>Deaths_since_10!$H$34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7"/>
          <c:tx>
            <c:strRef>
              <c:f>Deaths_since_10!$H$35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8"/>
          <c:tx>
            <c:strRef>
              <c:f>Deaths_since_10!$H$36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9"/>
          <c:tx>
            <c:strRef>
              <c:f>Deaths_since_10!$H$37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30"/>
          <c:tx>
            <c:strRef>
              <c:f>Deaths_since_10!$H$38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31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32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3"/>
          <c:tx>
            <c:strRef>
              <c:f>Deaths_since_10!$H$41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34"/>
          <c:tx>
            <c:strRef>
              <c:f>Deaths_since_10!$H$42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35"/>
          <c:tx>
            <c:strRef>
              <c:f>Deaths_since_10!$H$43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6"/>
          <c:tx>
            <c:strRef>
              <c:f>Deaths_since_10!$H$44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7"/>
          <c:tx>
            <c:strRef>
              <c:f>Deaths_since_10!$H$45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8"/>
          <c:tx>
            <c:strRef>
              <c:f>Deaths_since_10!$H$46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9"/>
          <c:tx>
            <c:strRef>
              <c:f>Deaths_since_10!$H$47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40"/>
          <c:tx>
            <c:strRef>
              <c:f>Deaths_since_10!$H$48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41"/>
          <c:tx>
            <c:strRef>
              <c:f>Deaths_since_10!$H$49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42"/>
          <c:tx>
            <c:strRef>
              <c:f>Deaths_since_10!$H$50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43"/>
          <c:tx>
            <c:strRef>
              <c:f>Deaths_since_10!$H$51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44"/>
          <c:tx>
            <c:strRef>
              <c:f>Deaths_since_10!$H$52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45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6"/>
          <c:tx>
            <c:strRef>
              <c:f>Deaths_since_10!$H$54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7"/>
          <c:tx>
            <c:strRef>
              <c:f>Deaths_since_10!$H$55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8"/>
          <c:tx>
            <c:strRef>
              <c:f>Deaths_since_10!$H$56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060629479054315"/>
          <c:y val="0.10493380998229521"/>
          <c:w val="0.16939370520945687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CumulativeConfirmed!$C$127:$BS$127</c:f>
              <c:numCache>
                <c:formatCode>General</c:formatCode>
                <c:ptCount val="69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CumulativeConfirmed!$C$128:$BS$128</c:f>
              <c:numCache>
                <c:formatCode>General</c:formatCode>
                <c:ptCount val="69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CumulativeConfirmed!$C$129:$BS$129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CumulativeConfirmed!$C$130:$BS$130</c:f>
              <c:numCache>
                <c:formatCode>General</c:formatCode>
                <c:ptCount val="6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CumulativeConfirmed!$C$131:$BS$131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CumulativeConfirmed!$C$132:$BS$132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CumulativeConfirmed!$C$133:$BS$133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4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CumulativeConfirmed!$C$128:$BS$128</c:f>
              <c:numCache>
                <c:formatCode>General</c:formatCode>
                <c:ptCount val="69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CumulativeConfirmed!$C$129:$BS$129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CumulativeConfirmed!$C$130:$BS$130</c:f>
              <c:numCache>
                <c:formatCode>General</c:formatCode>
                <c:ptCount val="6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CumulativeConfirmed!$C$131:$BS$131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CumulativeConfirmed!$C$132:$BS$132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CumulativeConfirmed!$C$1:$BS$1</c:f>
              <c:numCache>
                <c:formatCode>m/d/yyyy</c:formatCode>
                <c:ptCount val="6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</c:numCache>
            </c:numRef>
          </c:cat>
          <c:val>
            <c:numRef>
              <c:f>CumulativeConfirmed!$C$133:$BS$133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0.10754</cdr:x>
      <cdr:y>0.41645</cdr:y>
    </cdr:from>
    <cdr:to>
      <cdr:x>0.3458</cdr:x>
      <cdr:y>0.48428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43443" y="2690528"/>
          <a:ext cx="2533301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0.52626</cdr:x>
      <cdr:y>0.0755</cdr:y>
    </cdr:from>
    <cdr:to>
      <cdr:x>0.72517</cdr:x>
      <cdr:y>0.14333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595486" y="487793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0.57372</cdr:x>
      <cdr:y>0.70861</cdr:y>
    </cdr:from>
    <cdr:to>
      <cdr:x>0.68506</cdr:x>
      <cdr:y>0.76862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100105" y="4578133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2" t="str">
        <f>C7&amp;" Covid-19 Active Case Projections"</f>
        <v>United Kingdom Covid-19 Active Case Projections</v>
      </c>
      <c r="C2" s="103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4"/>
      <c r="C3" s="105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35" t="s">
        <v>542</v>
      </c>
      <c r="X3" s="136"/>
      <c r="Y3" s="137"/>
      <c r="Z3" s="129" t="s">
        <v>349</v>
      </c>
      <c r="AA3" s="157"/>
      <c r="AB3" s="157"/>
      <c r="AC3" s="130"/>
    </row>
    <row r="4" spans="1:32" x14ac:dyDescent="0.25">
      <c r="A4" s="46"/>
      <c r="B4" s="104"/>
      <c r="C4" s="105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38"/>
      <c r="X4" s="139"/>
      <c r="Y4" s="140"/>
      <c r="Z4" s="131"/>
      <c r="AA4" s="158"/>
      <c r="AB4" s="158"/>
      <c r="AC4" s="132"/>
    </row>
    <row r="5" spans="1:32" x14ac:dyDescent="0.25">
      <c r="A5" s="46"/>
      <c r="B5" s="106"/>
      <c r="C5" s="10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41"/>
      <c r="X5" s="142"/>
      <c r="Y5" s="143"/>
      <c r="Z5" s="133"/>
      <c r="AA5" s="159"/>
      <c r="AB5" s="159"/>
      <c r="AC5" s="13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0" t="s">
        <v>476</v>
      </c>
      <c r="C7" s="108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1"/>
      <c r="C8" s="109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35" t="s">
        <v>541</v>
      </c>
      <c r="X8" s="136"/>
      <c r="Y8" s="137"/>
      <c r="Z8" s="129">
        <v>4</v>
      </c>
      <c r="AA8" s="130"/>
      <c r="AB8" s="160" t="s">
        <v>550</v>
      </c>
      <c r="AC8" s="161"/>
      <c r="AD8" s="161"/>
      <c r="AE8" s="161"/>
      <c r="AF8" s="161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38"/>
      <c r="X9" s="139"/>
      <c r="Y9" s="140"/>
      <c r="Z9" s="131"/>
      <c r="AA9" s="132"/>
      <c r="AB9" s="160"/>
      <c r="AC9" s="161"/>
      <c r="AD9" s="161"/>
      <c r="AE9" s="161"/>
      <c r="AF9" s="161"/>
    </row>
    <row r="10" spans="1:32" ht="18.600000000000001" customHeight="1" x14ac:dyDescent="0.25">
      <c r="A10" s="46"/>
      <c r="B10" s="110" t="s">
        <v>504</v>
      </c>
      <c r="C10" s="118">
        <f>Projections_Data!C4</f>
        <v>22453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41"/>
      <c r="X10" s="142"/>
      <c r="Y10" s="143"/>
      <c r="Z10" s="133"/>
      <c r="AA10" s="134"/>
      <c r="AB10" s="160"/>
      <c r="AC10" s="161"/>
      <c r="AD10" s="161"/>
      <c r="AE10" s="161"/>
      <c r="AF10" s="161"/>
    </row>
    <row r="11" spans="1:32" ht="18.600000000000001" customHeight="1" x14ac:dyDescent="0.25">
      <c r="A11" s="46"/>
      <c r="B11" s="111"/>
      <c r="C11" s="11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0" t="s">
        <v>589</v>
      </c>
      <c r="C12" s="116">
        <f ca="1">Projections_Data!C6</f>
        <v>18424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1"/>
      <c r="C13" s="11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9" t="s">
        <v>543</v>
      </c>
      <c r="X13" s="149"/>
      <c r="Y13" s="149"/>
      <c r="Z13" s="149"/>
      <c r="AA13" s="149"/>
    </row>
    <row r="14" spans="1:32" ht="18.600000000000001" customHeight="1" x14ac:dyDescent="0.25">
      <c r="A14" s="46"/>
      <c r="B14" s="110" t="s">
        <v>590</v>
      </c>
      <c r="C14" s="114">
        <f ca="1">Projections_Data!C7</f>
        <v>2618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9"/>
      <c r="X14" s="149"/>
      <c r="Y14" s="149"/>
      <c r="Z14" s="149"/>
      <c r="AA14" s="149"/>
    </row>
    <row r="15" spans="1:32" ht="18.600000000000001" customHeight="1" x14ac:dyDescent="0.25">
      <c r="A15" s="46"/>
      <c r="B15" s="111"/>
      <c r="C15" s="11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62" t="s">
        <v>544</v>
      </c>
      <c r="X15" s="162"/>
      <c r="Y15" s="162"/>
      <c r="Z15" s="163">
        <v>0.4</v>
      </c>
      <c r="AA15" s="164"/>
    </row>
    <row r="16" spans="1:32" ht="18.600000000000001" customHeight="1" x14ac:dyDescent="0.25">
      <c r="A16" s="46"/>
      <c r="B16" s="110" t="s">
        <v>513</v>
      </c>
      <c r="C16" s="112">
        <f>Projections_Data!C8</f>
        <v>1411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62"/>
      <c r="X16" s="162"/>
      <c r="Y16" s="162"/>
      <c r="Z16" s="164"/>
      <c r="AA16" s="164"/>
    </row>
    <row r="17" spans="1:42" ht="18.600000000000001" customHeight="1" x14ac:dyDescent="0.25">
      <c r="A17" s="46"/>
      <c r="B17" s="111"/>
      <c r="C17" s="11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62" t="s">
        <v>545</v>
      </c>
      <c r="X17" s="162"/>
      <c r="Y17" s="162"/>
      <c r="Z17" s="163">
        <v>0.25</v>
      </c>
      <c r="AA17" s="164"/>
    </row>
    <row r="18" spans="1:42" ht="18.600000000000001" customHeight="1" x14ac:dyDescent="0.25">
      <c r="A18" s="46"/>
      <c r="B18" s="144" t="s">
        <v>602</v>
      </c>
      <c r="C18" s="154">
        <f ca="1">Projections_Data!C11</f>
        <v>0.18900617426596375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62"/>
      <c r="X18" s="162"/>
      <c r="Y18" s="162"/>
      <c r="Z18" s="164"/>
      <c r="AA18" s="164"/>
    </row>
    <row r="19" spans="1:42" ht="18.600000000000001" customHeight="1" x14ac:dyDescent="0.25">
      <c r="A19" s="46"/>
      <c r="B19" s="145"/>
      <c r="C19" s="155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62" t="s">
        <v>546</v>
      </c>
      <c r="X19" s="162"/>
      <c r="Y19" s="162"/>
      <c r="Z19" s="163">
        <v>0.1</v>
      </c>
      <c r="AA19" s="164"/>
    </row>
    <row r="20" spans="1:42" ht="18.600000000000001" customHeight="1" x14ac:dyDescent="0.25">
      <c r="A20" s="46"/>
      <c r="B20" s="150" t="s">
        <v>506</v>
      </c>
      <c r="C20" s="152">
        <f>Projections_Data!C14</f>
        <v>26589.724945971306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62"/>
      <c r="X20" s="162"/>
      <c r="Y20" s="162"/>
      <c r="Z20" s="164"/>
      <c r="AA20" s="164"/>
    </row>
    <row r="21" spans="1:42" ht="18.600000000000001" customHeight="1" x14ac:dyDescent="0.25">
      <c r="A21" s="46"/>
      <c r="B21" s="151"/>
      <c r="C21" s="153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44" t="s">
        <v>603</v>
      </c>
      <c r="C22" s="120">
        <f ca="1">Projections_Data!C13</f>
        <v>0.24504871986537191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45"/>
      <c r="C23" s="12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0" t="s">
        <v>604</v>
      </c>
      <c r="C24" s="112">
        <f ca="1">C16*(1+C22)</f>
        <v>1756.7637437300398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1"/>
      <c r="C25" s="11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614</v>
      </c>
    </row>
    <row r="26" spans="1:42" ht="18.600000000000001" customHeight="1" x14ac:dyDescent="0.25">
      <c r="A26" s="46"/>
      <c r="B26" s="146" t="s">
        <v>528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0" t="str">
        <f>"Source: Analysis of John Hopkins University and WHO data.
Data updated: "&amp;TEXT(Projections_Data!C2,"DD/MM/YYYY")&amp;"."</f>
        <v>Source: Analysis of John Hopkins University and WHO data.
Data updated: 30/03/2020.</v>
      </c>
      <c r="C27" s="10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4" t="str">
        <f>Projections_Data!B35</f>
        <v xml:space="preserve">United Kingdom critically ill projections </v>
      </c>
      <c r="C29" s="105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4"/>
      <c r="C30" s="105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4"/>
      <c r="C31" s="105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6"/>
      <c r="C32" s="10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9" t="s">
        <v>547</v>
      </c>
      <c r="X32" s="149"/>
      <c r="Y32" s="149"/>
      <c r="Z32" s="156"/>
      <c r="AA32" s="156"/>
      <c r="AB32" s="165" t="s">
        <v>548</v>
      </c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9"/>
      <c r="X33" s="149"/>
      <c r="Y33" s="149"/>
      <c r="Z33" s="156"/>
      <c r="AA33" s="156"/>
      <c r="AB33" s="165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</row>
    <row r="34" spans="1:43" ht="15.6" customHeight="1" x14ac:dyDescent="0.25">
      <c r="A34" s="46"/>
      <c r="B34" s="127" t="s">
        <v>464</v>
      </c>
      <c r="C34" s="147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9"/>
      <c r="X34" s="149"/>
      <c r="Y34" s="149"/>
      <c r="Z34" s="156"/>
      <c r="AA34" s="156"/>
      <c r="AB34" s="165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</row>
    <row r="35" spans="1:43" ht="18" customHeight="1" x14ac:dyDescent="0.25">
      <c r="A35" s="46"/>
      <c r="B35" s="127"/>
      <c r="C35" s="1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9"/>
      <c r="X35" s="149"/>
      <c r="Y35" s="149"/>
      <c r="Z35" s="156"/>
      <c r="AA35" s="156"/>
      <c r="AB35" s="165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</row>
    <row r="36" spans="1:43" ht="18" customHeight="1" x14ac:dyDescent="0.25">
      <c r="A36" s="46"/>
      <c r="B36" s="125" t="s">
        <v>518</v>
      </c>
      <c r="C36" s="122">
        <f>Projections_Data!C15</f>
        <v>0.15710595466084709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9"/>
      <c r="X36" s="149"/>
      <c r="Y36" s="149"/>
      <c r="Z36" s="156"/>
      <c r="AA36" s="156"/>
      <c r="AB36" s="165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</row>
    <row r="37" spans="1:43" ht="20.399999999999999" customHeight="1" x14ac:dyDescent="0.25">
      <c r="A37" s="46"/>
      <c r="B37" s="125"/>
      <c r="C37" s="12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25" t="s">
        <v>517</v>
      </c>
      <c r="C38" s="147">
        <f ca="1">Projections!C12*Projections!C36</f>
        <v>2894.5201086714469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25"/>
      <c r="C39" s="1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9" t="s">
        <v>464</v>
      </c>
      <c r="X39" s="149"/>
      <c r="Y39" s="149"/>
      <c r="Z39" s="148"/>
      <c r="AA39" s="148"/>
      <c r="AB39" s="167" t="s">
        <v>549</v>
      </c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</row>
    <row r="40" spans="1:43" ht="20.399999999999999" customHeight="1" x14ac:dyDescent="0.25">
      <c r="A40" s="46"/>
      <c r="B40" s="125" t="s">
        <v>487</v>
      </c>
      <c r="C40" s="128">
        <f ca="1">Projections_Data!D31</f>
        <v>43923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9"/>
      <c r="X40" s="149"/>
      <c r="Y40" s="149"/>
      <c r="Z40" s="148"/>
      <c r="AA40" s="148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</row>
    <row r="41" spans="1:43" ht="20.399999999999999" customHeight="1" x14ac:dyDescent="0.25">
      <c r="A41" s="46"/>
      <c r="B41" s="125"/>
      <c r="C41" s="12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9"/>
      <c r="X41" s="149"/>
      <c r="Y41" s="149"/>
      <c r="Z41" s="148"/>
      <c r="AA41" s="148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</row>
    <row r="42" spans="1:43" ht="20.399999999999999" customHeight="1" x14ac:dyDescent="0.25">
      <c r="A42" s="46"/>
      <c r="B42" s="127" t="s">
        <v>488</v>
      </c>
      <c r="C42" s="126">
        <f ca="1">IFERROR(C40-TODAY(),"N/A")</f>
        <v>2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9"/>
      <c r="X42" s="149"/>
      <c r="Y42" s="149"/>
      <c r="Z42" s="148"/>
      <c r="AA42" s="148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</row>
    <row r="43" spans="1:43" ht="18" customHeight="1" x14ac:dyDescent="0.25">
      <c r="A43" s="46"/>
      <c r="B43" s="127"/>
      <c r="C43" s="126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3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3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4"/>
      <c r="C45" s="124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35" t="s">
        <v>541</v>
      </c>
      <c r="X45" s="136"/>
      <c r="Y45" s="137"/>
      <c r="Z45" s="129"/>
      <c r="AA45" s="130"/>
    </row>
    <row r="46" spans="1:43" ht="15.6" customHeight="1" x14ac:dyDescent="0.25">
      <c r="A46" s="46"/>
      <c r="B46" s="124"/>
      <c r="C46" s="124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38"/>
      <c r="X46" s="139"/>
      <c r="Y46" s="140"/>
      <c r="Z46" s="131"/>
      <c r="AA46" s="132"/>
    </row>
    <row r="47" spans="1:43" ht="13.8" customHeight="1" x14ac:dyDescent="0.25">
      <c r="A47" s="46"/>
      <c r="B47" s="124"/>
      <c r="C47" s="124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41"/>
      <c r="X47" s="142"/>
      <c r="Y47" s="143"/>
      <c r="Z47" s="133"/>
      <c r="AA47" s="134"/>
    </row>
    <row r="48" spans="1:43" ht="14.4" customHeight="1" x14ac:dyDescent="0.25">
      <c r="A48" s="46"/>
      <c r="B48" s="124"/>
      <c r="C48" s="124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9" t="str">
        <f>"Source: Analysis of John Hopkins University and WHO data.
Data updated: "&amp;TEXT(Projections_Data!C2,"DD/MM/YYYY")&amp;"."</f>
        <v>Source: Analysis of John Hopkins University and WHO data.
Data updated: 30/03/2020.</v>
      </c>
      <c r="C49" s="9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0"/>
      <c r="C50" s="10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0"/>
      <c r="C51" s="10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0"/>
      <c r="C52" s="10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1"/>
      <c r="C53" s="10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  <mergeCell ref="Z39:AA42"/>
    <mergeCell ref="W39:Y42"/>
    <mergeCell ref="B20:B21"/>
    <mergeCell ref="C20:C21"/>
    <mergeCell ref="B18:B19"/>
    <mergeCell ref="C18:C19"/>
    <mergeCell ref="C38:C39"/>
    <mergeCell ref="B38:B39"/>
    <mergeCell ref="W32:Y36"/>
    <mergeCell ref="Z32:AA36"/>
    <mergeCell ref="Z8:AA10"/>
    <mergeCell ref="W8:Y10"/>
    <mergeCell ref="B36:B37"/>
    <mergeCell ref="B22:B23"/>
    <mergeCell ref="B29:C32"/>
    <mergeCell ref="B26:C26"/>
    <mergeCell ref="B27:C27"/>
    <mergeCell ref="C34:C35"/>
    <mergeCell ref="B34:B35"/>
    <mergeCell ref="B44:C48"/>
    <mergeCell ref="B40:B41"/>
    <mergeCell ref="C42:C43"/>
    <mergeCell ref="B42:B43"/>
    <mergeCell ref="C40:C41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Days_Since_100!$C$5:$C$114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558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557</v>
      </c>
      <c r="E3" s="64" t="s">
        <v>502</v>
      </c>
      <c r="F3" s="64" t="s">
        <v>564</v>
      </c>
      <c r="G3" s="64" t="s">
        <v>566</v>
      </c>
      <c r="H3" s="65" t="s">
        <v>567</v>
      </c>
      <c r="J3" s="72" t="s">
        <v>539</v>
      </c>
      <c r="K3" s="64" t="s">
        <v>514</v>
      </c>
      <c r="L3" s="64" t="s">
        <v>477</v>
      </c>
      <c r="M3" s="65" t="s">
        <v>515</v>
      </c>
      <c r="Q3" s="73" t="s">
        <v>540</v>
      </c>
    </row>
    <row r="4" spans="2:18" s="59" customFormat="1" ht="13.8" customHeight="1" x14ac:dyDescent="0.2">
      <c r="B4" s="83">
        <v>1</v>
      </c>
      <c r="C4" s="78" t="s">
        <v>78</v>
      </c>
      <c r="D4" s="79">
        <f>VLOOKUP(C4,Country_Data!B:F,5,FALSE)</f>
        <v>9618</v>
      </c>
      <c r="E4" s="75">
        <f>D4*Projections_Data!$C$15</f>
        <v>1511.0450719280273</v>
      </c>
      <c r="F4" s="79">
        <f>VLOOKUP(C4,Country_Data!C:G,5,FALSE)</f>
        <v>108</v>
      </c>
      <c r="G4" s="80">
        <f>IFERROR(VLOOKUP(C4,Days_Since_100!C:G,5,FALSE)-1,0)</f>
        <v>0.1147196967878179</v>
      </c>
      <c r="H4" s="84">
        <f>IFERROR(VLOOKUP(C4,Deaths_since_10!C:G,5,FALSE)-1,0)</f>
        <v>0.29199400995563329</v>
      </c>
      <c r="I4" s="58"/>
      <c r="J4" s="68" t="str">
        <f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108</v>
      </c>
      <c r="D5" s="75">
        <f>VLOOKUP(C5,Country_Data!B:F,5,FALSE)</f>
        <v>6408</v>
      </c>
      <c r="E5" s="75">
        <f>D5*Projections_Data!$C$15</f>
        <v>1006.7349574667081</v>
      </c>
      <c r="F5" s="75">
        <f>VLOOKUP(C5,Country_Data!C:G,5,FALSE)</f>
        <v>140</v>
      </c>
      <c r="G5" s="76">
        <f>IFERROR(VLOOKUP(C5,Days_Since_100!C:G,5,FALSE)-1,0)</f>
        <v>0.16430063754628299</v>
      </c>
      <c r="H5" s="77">
        <f>IFERROR(VLOOKUP(C5,Deaths_since_10!C:G,5,FALSE)-1,0)</f>
        <v>0.26628632265198093</v>
      </c>
      <c r="J5" s="68">
        <f>IFERROR(LOG((M5/E5),1+G5),"")</f>
        <v>1.0596037548708181</v>
      </c>
      <c r="K5" s="67">
        <v>11.6</v>
      </c>
      <c r="L5" s="61">
        <f>VLOOKUP(C5,Country_Data!C:J,8,FALSE)</f>
        <v>10196709</v>
      </c>
      <c r="M5" s="60">
        <f>(L5/100000)*K5</f>
        <v>1182.818244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38</v>
      </c>
      <c r="D6" s="75">
        <f>VLOOKUP(C6,Country_Data!B:F,5,FALSE)</f>
        <v>161807</v>
      </c>
      <c r="E6" s="75">
        <f>D6*Projections_Data!$C$15</f>
        <v>25420.843205807687</v>
      </c>
      <c r="F6" s="75">
        <f>VLOOKUP(C6,Country_Data!C:G,5,FALSE)</f>
        <v>2978</v>
      </c>
      <c r="G6" s="76">
        <f>IFERROR(VLOOKUP(C6,Days_Since_100!C:G,5,FALSE)-1,0)</f>
        <v>0.19724581678065833</v>
      </c>
      <c r="H6" s="77">
        <f>IFERROR(VLOOKUP(C6,Deaths_since_10!C:G,5,FALSE)-1,0)</f>
        <v>0.25885224320425682</v>
      </c>
      <c r="J6" s="68" t="str">
        <f>IFERROR(LOG((M6/E6),1+G6),"")</f>
        <v/>
      </c>
      <c r="K6" s="67"/>
      <c r="L6" s="61">
        <f>VLOOKUP(C6,Country_Data!C:J,8,FALSE)</f>
        <v>331002651</v>
      </c>
      <c r="M6" s="60">
        <f>(L6/100000)*K6</f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53</v>
      </c>
      <c r="D7" s="75">
        <f>VLOOKUP(C7,Country_Data!B:F,5,FALSE)</f>
        <v>66885</v>
      </c>
      <c r="E7" s="75">
        <f>D7*Projections_Data!$C$15</f>
        <v>10508.031777490758</v>
      </c>
      <c r="F7" s="75">
        <f>VLOOKUP(C7,Country_Data!C:G,5,FALSE)</f>
        <v>645</v>
      </c>
      <c r="G7" s="76">
        <f>IFERROR(VLOOKUP(C7,Days_Since_100!C:G,5,FALSE)-1,0)</f>
        <v>0.12375189557200628</v>
      </c>
      <c r="H7" s="77">
        <f>IFERROR(VLOOKUP(C7,Deaths_since_10!C:G,5,FALSE)-1,0)</f>
        <v>0.2564305823026849</v>
      </c>
      <c r="J7" s="68" t="str">
        <f>IFERROR(LOG((M7/E7),1+G7),"")</f>
        <v/>
      </c>
      <c r="K7" s="67"/>
      <c r="L7" s="61">
        <f>VLOOKUP(C7,Country_Data!C:J,8,FALSE)</f>
        <v>83783942</v>
      </c>
      <c r="M7" s="60">
        <f>(L7/100000)*K7</f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349</v>
      </c>
      <c r="D8" s="75">
        <f>VLOOKUP(C8,Country_Data!B:F,5,FALSE)</f>
        <v>22453</v>
      </c>
      <c r="E8" s="75">
        <f>D8*Projections_Data!$C$15</f>
        <v>3527.4999999999995</v>
      </c>
      <c r="F8" s="75">
        <f>VLOOKUP(C8,Country_Data!C:G,5,FALSE)</f>
        <v>1411</v>
      </c>
      <c r="G8" s="76">
        <f>IFERROR(VLOOKUP(C8,Days_Since_100!C:G,5,FALSE)-1,0)</f>
        <v>0.18423929746453949</v>
      </c>
      <c r="H8" s="77">
        <f>IFERROR(VLOOKUP(C8,Deaths_since_10!C:G,5,FALSE)-1,0)</f>
        <v>0.24803917982554546</v>
      </c>
      <c r="J8" s="68">
        <f>IFERROR(LOG((M8/E8),1+G8),"")</f>
        <v>8.4800417832145403</v>
      </c>
      <c r="K8" s="67">
        <v>21.8</v>
      </c>
      <c r="L8" s="61">
        <f>VLOOKUP(C8,Country_Data!C:J,8,FALSE)</f>
        <v>67886011</v>
      </c>
      <c r="M8" s="60">
        <f>(L8/100000)*K8</f>
        <v>14799.150398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63</v>
      </c>
      <c r="D9" s="75">
        <f>VLOOKUP(C9,Country_Data!B:F,5,FALSE)</f>
        <v>11899</v>
      </c>
      <c r="E9" s="75">
        <f>D9*Projections_Data!$C$15</f>
        <v>1869.4037545094195</v>
      </c>
      <c r="F9" s="75">
        <f>VLOOKUP(C9,Country_Data!C:G,5,FALSE)</f>
        <v>513</v>
      </c>
      <c r="G9" s="76">
        <f>IFERROR(VLOOKUP(C9,Days_Since_100!C:G,5,FALSE)-1,0)</f>
        <v>0.19236568073869398</v>
      </c>
      <c r="H9" s="77">
        <f>IFERROR(VLOOKUP(C9,Deaths_since_10!C:G,5,FALSE)-1,0)</f>
        <v>0.23577519197305064</v>
      </c>
      <c r="J9" s="68">
        <f>IFERROR(LOG((M9/E9),1+G9),"")</f>
        <v>-11.070695735719495</v>
      </c>
      <c r="K9" s="67">
        <v>2.2999999999999998</v>
      </c>
      <c r="L9" s="61">
        <f>VLOOKUP(C9,Country_Data!C:J,8,FALSE)</f>
        <v>11589623</v>
      </c>
      <c r="M9" s="60">
        <f>(L9/100000)*K9</f>
        <v>266.561329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81</v>
      </c>
      <c r="D10" s="75">
        <f>VLOOKUP(C10,Country_Data!B:F,5,FALSE)</f>
        <v>4579</v>
      </c>
      <c r="E10" s="75">
        <f>D10*Projections_Data!$C$15</f>
        <v>719.38816639201877</v>
      </c>
      <c r="F10" s="75">
        <f>VLOOKUP(C10,Country_Data!C:G,5,FALSE)</f>
        <v>159</v>
      </c>
      <c r="G10" s="76">
        <f>IFERROR(VLOOKUP(C10,Days_Since_100!C:G,5,FALSE)-1,0)</f>
        <v>0.12385414095008485</v>
      </c>
      <c r="H10" s="77">
        <f>IFERROR(VLOOKUP(C10,Deaths_since_10!C:G,5,FALSE)-1,0)</f>
        <v>0.21929564476428398</v>
      </c>
      <c r="J10" s="68">
        <f>IFERROR(LOG((M10/E10),1+G10),"")</f>
        <v>21.56906777567124</v>
      </c>
      <c r="K10" s="67">
        <v>4.2</v>
      </c>
      <c r="L10" s="61">
        <f>VLOOKUP(C10,Country_Data!C:J,8,FALSE)</f>
        <v>212559417</v>
      </c>
      <c r="M10" s="60">
        <f>(L10/100000)*K10</f>
        <v>8927.4955140000002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45</v>
      </c>
      <c r="D11" s="75">
        <f>VLOOKUP(C11,Country_Data!B:F,5,FALSE)</f>
        <v>7398</v>
      </c>
      <c r="E11" s="75">
        <f>D11*Projections_Data!$C$15</f>
        <v>1162.2698525809467</v>
      </c>
      <c r="F11" s="75">
        <f>VLOOKUP(C11,Country_Data!C:G,5,FALSE)</f>
        <v>80</v>
      </c>
      <c r="G11" s="76">
        <f>IFERROR(VLOOKUP(C11,Days_Since_100!C:G,5,FALSE)-1,0)</f>
        <v>0.17874393587984239</v>
      </c>
      <c r="H11" s="77">
        <f>IFERROR(VLOOKUP(C11,Deaths_since_10!C:G,5,FALSE)-1,0)</f>
        <v>0.21672868378641152</v>
      </c>
      <c r="J11" s="68">
        <f>IFERROR(LOG((M11/E11),1+G11),"")</f>
        <v>4.9057881934294247</v>
      </c>
      <c r="K11" s="67">
        <v>6.9</v>
      </c>
      <c r="L11" s="61">
        <f>VLOOKUP(C11,Country_Data!C:J,8,FALSE)</f>
        <v>37742154</v>
      </c>
      <c r="M11" s="60">
        <f>(L11/100000)*K11</f>
        <v>2604.2086260000001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89</v>
      </c>
      <c r="D12" s="75">
        <f>VLOOKUP(C12,Country_Data!B:F,5,FALSE)</f>
        <v>11817</v>
      </c>
      <c r="E12" s="75">
        <f>D12*Projections_Data!$C$15</f>
        <v>1856.52106622723</v>
      </c>
      <c r="F12" s="75">
        <f>VLOOKUP(C12,Country_Data!C:G,5,FALSE)</f>
        <v>865</v>
      </c>
      <c r="G12" s="76">
        <f>IFERROR(VLOOKUP(C12,Days_Since_100!C:G,5,FALSE)-1,0)</f>
        <v>0.12914899581898309</v>
      </c>
      <c r="H12" s="77">
        <f>IFERROR(VLOOKUP(C12,Deaths_since_10!C:G,5,FALSE)-1,0)</f>
        <v>0.19362959515740075</v>
      </c>
      <c r="J12" s="68" t="str">
        <f>IFERROR(LOG((M12/E12),1+G12),"")</f>
        <v/>
      </c>
      <c r="K12" s="67"/>
      <c r="L12" s="61">
        <f>VLOOKUP(C12,Country_Data!C:J,8,FALSE)</f>
        <v>17134872</v>
      </c>
      <c r="M12" s="60">
        <f>(L12/100000)*K12</f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77</v>
      </c>
      <c r="D13" s="75">
        <f>VLOOKUP(C13,Country_Data!B:F,5,FALSE)</f>
        <v>15922</v>
      </c>
      <c r="E13" s="75">
        <f>D13*Projections_Data!$C$15</f>
        <v>2501.4410101100075</v>
      </c>
      <c r="F13" s="75">
        <f>VLOOKUP(C13,Country_Data!C:G,5,FALSE)</f>
        <v>359</v>
      </c>
      <c r="G13" s="76">
        <f>IFERROR(VLOOKUP(C13,Days_Since_100!C:G,5,FALSE)-1,0)</f>
        <v>7.8793034697305586E-2</v>
      </c>
      <c r="H13" s="77">
        <f>IFERROR(VLOOKUP(C13,Deaths_since_10!C:G,5,FALSE)-1,0)</f>
        <v>0.18598884316502828</v>
      </c>
      <c r="J13" s="68" t="str">
        <f>IFERROR(LOG((M13/E13),1+G13),"")</f>
        <v/>
      </c>
      <c r="K13" s="67"/>
      <c r="L13" s="61">
        <f>VLOOKUP(C13,Country_Data!C:J,8,FALSE)</f>
        <v>8654622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41</v>
      </c>
      <c r="D14" s="75">
        <f>VLOOKUP(C14,Country_Data!B:F,5,FALSE)</f>
        <v>45170</v>
      </c>
      <c r="E14" s="75">
        <f>D14*Projections_Data!$C$15</f>
        <v>7096.4759720304628</v>
      </c>
      <c r="F14" s="75">
        <f>VLOOKUP(C14,Country_Data!C:G,5,FALSE)</f>
        <v>3030</v>
      </c>
      <c r="G14" s="76">
        <f>IFERROR(VLOOKUP(C14,Days_Since_100!C:G,5,FALSE)-1,0)</f>
        <v>0.12026824336611774</v>
      </c>
      <c r="H14" s="77">
        <f>IFERROR(VLOOKUP(C14,Deaths_since_10!C:G,5,FALSE)-1,0)</f>
        <v>0.17848075792833695</v>
      </c>
      <c r="J14" s="68">
        <f>IFERROR(LOG((M14/E14),1+G14),"")</f>
        <v>-4.6657814394421981</v>
      </c>
      <c r="K14" s="67">
        <v>6.4</v>
      </c>
      <c r="L14" s="61">
        <f>VLOOKUP(C14,Country_Data!C:J,8,FALSE)</f>
        <v>65273511</v>
      </c>
      <c r="M14" s="60">
        <f>(L14/100000)*K14</f>
        <v>4177.5047039999999</v>
      </c>
      <c r="O14" s="59">
        <f t="array" ref="O14">IF(OR(C14=$Q$4:$Q$22),1,0)</f>
        <v>1</v>
      </c>
      <c r="P14" s="95" t="s">
        <v>593</v>
      </c>
      <c r="Q14" s="96">
        <v>20</v>
      </c>
      <c r="R14" s="95" t="s">
        <v>594</v>
      </c>
    </row>
    <row r="15" spans="2:18" s="59" customFormat="1" ht="13.8" customHeight="1" x14ac:dyDescent="0.3">
      <c r="B15" s="66">
        <f t="shared" si="0"/>
        <v>12</v>
      </c>
      <c r="C15" s="62" t="s">
        <v>137</v>
      </c>
      <c r="D15" s="75">
        <f>VLOOKUP(C15,Country_Data!B:F,5,FALSE)</f>
        <v>2055</v>
      </c>
      <c r="E15" s="75">
        <f>D15*Projections_Data!$C$15</f>
        <v>322.85273682804075</v>
      </c>
      <c r="F15" s="75">
        <f>VLOOKUP(C15,Country_Data!C:G,5,FALSE)</f>
        <v>31</v>
      </c>
      <c r="G15" s="76">
        <f>IFERROR(VLOOKUP(C15,Days_Since_100!C:G,5,FALSE)-1,0)</f>
        <v>0.14351488472760487</v>
      </c>
      <c r="H15" s="77">
        <f>IFERROR(VLOOKUP(C15,Deaths_since_10!C:G,5,FALSE)-1,0)</f>
        <v>0.17232150472580798</v>
      </c>
      <c r="J15" s="68" t="str">
        <f>IFERROR(LOG((M15/E15),1+G15),"")</f>
        <v/>
      </c>
      <c r="K15" s="67"/>
      <c r="L15" s="61">
        <f>VLOOKUP(C15,Country_Data!C:J,8,FALSE)</f>
        <v>37846611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103</v>
      </c>
      <c r="D16" s="75">
        <f>VLOOKUP(C16,Country_Data!B:F,5,FALSE)</f>
        <v>1962</v>
      </c>
      <c r="E16" s="75">
        <f>D16*Projections_Data!$C$15</f>
        <v>308.24188304458198</v>
      </c>
      <c r="F16" s="75">
        <f>VLOOKUP(C16,Country_Data!C:G,5,FALSE)</f>
        <v>60</v>
      </c>
      <c r="G16" s="76">
        <f>IFERROR(VLOOKUP(C16,Days_Since_100!C:G,5,FALSE)-1,0)</f>
        <v>0.10835835186294895</v>
      </c>
      <c r="H16" s="77">
        <f>IFERROR(VLOOKUP(C16,Deaths_since_10!C:G,5,FALSE)-1,0)</f>
        <v>0.16465861577965679</v>
      </c>
      <c r="J16" s="68" t="str">
        <f>IFERROR(LOG((M16/E16),1+G16),"")</f>
        <v/>
      </c>
      <c r="K16" s="67"/>
      <c r="L16" s="61">
        <f>VLOOKUP(C16,Country_Data!C:J,8,FALSE)</f>
        <v>17643054</v>
      </c>
      <c r="M16" s="60"/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60</v>
      </c>
      <c r="D17" s="75">
        <f>VLOOKUP(C17,Country_Data!B:F,5,FALSE)</f>
        <v>87956</v>
      </c>
      <c r="E17" s="75">
        <f>D17*Projections_Data!$C$15</f>
        <v>13818.411348149466</v>
      </c>
      <c r="F17" s="75">
        <f>VLOOKUP(C17,Country_Data!C:G,5,FALSE)</f>
        <v>7716</v>
      </c>
      <c r="G17" s="76">
        <f>IFERROR(VLOOKUP(C17,Days_Since_100!C:G,5,FALSE)-1,0)</f>
        <v>0.12177494936452327</v>
      </c>
      <c r="H17" s="77">
        <f>IFERROR(VLOOKUP(C17,Deaths_since_10!C:G,5,FALSE)-1,0)</f>
        <v>0.16169278250357233</v>
      </c>
      <c r="J17" s="68">
        <f>IFERROR(LOG((M17/E17),1+G17),"")</f>
        <v>-13.046359301561214</v>
      </c>
      <c r="K17" s="67">
        <v>6.6</v>
      </c>
      <c r="L17" s="61">
        <f>VLOOKUP(C17,Country_Data!C:J,8,FALSE)</f>
        <v>46754778</v>
      </c>
      <c r="M17" s="60">
        <f>(L17/100000)*K17</f>
        <v>3085.8153479999996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0"/>
        <v>15</v>
      </c>
      <c r="C18" s="62" t="s">
        <v>107</v>
      </c>
      <c r="D18" s="75">
        <f>VLOOKUP(C18,Country_Data!B:F,5,FALSE)</f>
        <v>1414</v>
      </c>
      <c r="E18" s="75">
        <f>D18*Projections_Data!$C$15</f>
        <v>222.14781989043777</v>
      </c>
      <c r="F18" s="75">
        <f>VLOOKUP(C18,Country_Data!C:G,5,FALSE)</f>
        <v>122</v>
      </c>
      <c r="G18" s="76">
        <f>IFERROR(VLOOKUP(C18,Days_Since_100!C:G,5,FALSE)-1,0)</f>
        <v>0.12347771846993938</v>
      </c>
      <c r="H18" s="77">
        <f>IFERROR(VLOOKUP(C18,Deaths_since_10!C:G,5,FALSE)-1,0)</f>
        <v>0.16034294867976162</v>
      </c>
      <c r="J18" s="68" t="str">
        <f>IFERROR(LOG((M18/E18),1+G18),"")</f>
        <v/>
      </c>
      <c r="K18" s="67"/>
      <c r="L18" s="61">
        <f>VLOOKUP(C18,Country_Data!C:J,8,FALSE)</f>
        <v>273523615</v>
      </c>
      <c r="M18" s="60">
        <f>(L18/100000)*K18</f>
        <v>0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56</v>
      </c>
      <c r="D19" s="75">
        <f>VLOOKUP(C19,Country_Data!B:F,5,FALSE)</f>
        <v>1546</v>
      </c>
      <c r="E19" s="75">
        <f>D19*Projections_Data!$C$15</f>
        <v>242.8858059056696</v>
      </c>
      <c r="F19" s="75">
        <f>VLOOKUP(C19,Country_Data!C:G,5,FALSE)</f>
        <v>78</v>
      </c>
      <c r="G19" s="76">
        <f>IFERROR(VLOOKUP(C19,Days_Since_100!C:G,5,FALSE)-1,0)</f>
        <v>0.19440187033464662</v>
      </c>
      <c r="H19" s="77">
        <f>IFERROR(VLOOKUP(C19,Deaths_since_10!C:G,5,FALSE)-1,0)</f>
        <v>0.15468148270605053</v>
      </c>
      <c r="J19" s="68">
        <f>IFERROR(LOG((M19/E19),1+G19),"")</f>
        <v>22.699062457815398</v>
      </c>
      <c r="K19" s="67">
        <v>12.5</v>
      </c>
      <c r="L19" s="61">
        <f>VLOOKUP(C19,Country_Data!C:J,8,FALSE)</f>
        <v>109581078</v>
      </c>
      <c r="M19" s="60">
        <f>(L19/100000)*K19</f>
        <v>13697.634750000001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43</v>
      </c>
      <c r="D20" s="75">
        <f>VLOOKUP(C20,Country_Data!B:F,5,FALSE)</f>
        <v>2626</v>
      </c>
      <c r="E20" s="75">
        <f>D20*Projections_Data!$C$15</f>
        <v>412.56023693938448</v>
      </c>
      <c r="F20" s="75">
        <f>VLOOKUP(C20,Country_Data!C:G,5,FALSE)</f>
        <v>37</v>
      </c>
      <c r="G20" s="76">
        <f>IFERROR(VLOOKUP(C20,Days_Since_100!C:G,5,FALSE)-1,0)</f>
        <v>7.8940953258810787E-2</v>
      </c>
      <c r="H20" s="77">
        <f>IFERROR(VLOOKUP(C20,Deaths_since_10!C:G,5,FALSE)-1,0)</f>
        <v>0.1309264089979596</v>
      </c>
      <c r="J20" s="68">
        <f>IFERROR(LOG((M20/E20),1+G20),"")</f>
        <v>37.124291781791328</v>
      </c>
      <c r="K20" s="67">
        <v>21.4</v>
      </c>
      <c r="L20" s="61">
        <f>VLOOKUP(C20,Country_Data!C:J,8,FALSE)</f>
        <v>32365999</v>
      </c>
      <c r="M20" s="60">
        <f>(L20/100000)*K20</f>
        <v>6926.323785999999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58</v>
      </c>
      <c r="D21" s="75">
        <f>VLOOKUP(C21,Country_Data!B:F,5,FALSE)</f>
        <v>101739</v>
      </c>
      <c r="E21" s="75">
        <f>D21*Projections_Data!$C$15</f>
        <v>15983.802721239923</v>
      </c>
      <c r="F21" s="75">
        <f>VLOOKUP(C21,Country_Data!C:G,5,FALSE)</f>
        <v>11591</v>
      </c>
      <c r="G21" s="76">
        <f>IFERROR(VLOOKUP(C21,Days_Since_100!C:G,5,FALSE)-1,0)</f>
        <v>6.4631352824874089E-2</v>
      </c>
      <c r="H21" s="77">
        <f>IFERROR(VLOOKUP(C21,Deaths_since_10!C:G,5,FALSE)-1,0)</f>
        <v>9.0880533332673652E-2</v>
      </c>
      <c r="J21" s="68">
        <f>IFERROR(LOG((M21/E21),1+G21),"")</f>
        <v>-23.678872004409097</v>
      </c>
      <c r="K21" s="67">
        <v>6</v>
      </c>
      <c r="L21" s="61">
        <f>VLOOKUP(C21,Country_Data!C:J,8,FALSE)</f>
        <v>60461826</v>
      </c>
      <c r="M21" s="60">
        <f>(L21/100000)*K21</f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0"/>
        <v>19</v>
      </c>
      <c r="C22" s="62" t="s">
        <v>124</v>
      </c>
      <c r="D22" s="75">
        <f>VLOOKUP(C22,Country_Data!B:F,5,FALSE)</f>
        <v>2449</v>
      </c>
      <c r="E22" s="75">
        <f>D22*Projections_Data!$C$15</f>
        <v>384.75248296441453</v>
      </c>
      <c r="F22" s="75">
        <f>VLOOKUP(C22,Country_Data!C:G,5,FALSE)</f>
        <v>8</v>
      </c>
      <c r="G22" s="76">
        <f>IFERROR(VLOOKUP(C22,Days_Since_100!C:G,5,FALSE)-1,0)</f>
        <v>0.16483533461226174</v>
      </c>
      <c r="H22" s="77">
        <f>IFERROR(VLOOKUP(C22,Deaths_since_10!C:G,5,FALSE)-1,0)</f>
        <v>0</v>
      </c>
      <c r="J22" s="68">
        <f>IFERROR(LOG((M22/E22),1+G22),"")</f>
        <v>17.529784020836715</v>
      </c>
      <c r="K22" s="67">
        <v>29.2</v>
      </c>
      <c r="L22" s="61">
        <f>VLOOKUP(C22,Country_Data!C:J,8,FALSE)</f>
        <v>19116201</v>
      </c>
      <c r="M22" s="60">
        <f>(L22/100000)*K22</f>
        <v>5581.9306919999999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1326</v>
      </c>
      <c r="E23" s="75">
        <f>D23*Projections_Data!$C$15</f>
        <v>208.32249588028324</v>
      </c>
      <c r="F23" s="75">
        <f>VLOOKUP(C23,Country_Data!C:G,5,FALSE)</f>
        <v>3</v>
      </c>
      <c r="G23" s="76">
        <f>IFERROR(VLOOKUP(C23,Days_Since_100!C:G,5,FALSE)-1,0)</f>
        <v>0.13339021210113788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1988</v>
      </c>
      <c r="E24" s="75">
        <f>D24*Projections_Data!$C$15</f>
        <v>312.32663786576404</v>
      </c>
      <c r="F24" s="75">
        <f>VLOOKUP(C24,Country_Data!C:G,5,FALSE)</f>
        <v>22</v>
      </c>
      <c r="G24" s="76">
        <f>IFERROR(VLOOKUP(C24,Days_Since_100!C:G,5,FALSE)-1,0)</f>
        <v>8.3221436991085973E-2</v>
      </c>
      <c r="H24" s="77">
        <f>IFERROR(VLOOKUP(C24,Deaths_since_10!C:G,5,FALSE)-1,0)</f>
        <v>0.22423992536427462</v>
      </c>
      <c r="J24" s="68">
        <f t="shared" ref="J24:J43" si="1">IFERROR(LOG((M24/E24),1+G24),"")</f>
        <v>-8.7448835651543373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1524</v>
      </c>
      <c r="E25" s="75">
        <f>D25*Projections_Data!$C$15</f>
        <v>239.42947490313097</v>
      </c>
      <c r="F25" s="75">
        <f>VLOOKUP(C25,Country_Data!C:G,5,FALSE)</f>
        <v>9</v>
      </c>
      <c r="G25" s="76">
        <f>IFERROR(VLOOKUP(C25,Days_Since_100!C:G,5,FALSE)-1,0)</f>
        <v>0.10287836713039966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4361</v>
      </c>
      <c r="E26" s="75">
        <f>D26*Projections_Data!$C$15</f>
        <v>685.13906827595417</v>
      </c>
      <c r="F26" s="75">
        <f>VLOOKUP(C26,Country_Data!C:G,5,FALSE)</f>
        <v>17</v>
      </c>
      <c r="G26" s="76">
        <f>IFERROR(VLOOKUP(C26,Days_Since_100!C:G,5,FALSE)-1,0)</f>
        <v>0.1302843721832847</v>
      </c>
      <c r="H26" s="77">
        <f>IFERROR(VLOOKUP(C26,Deaths_since_10!C:G,5,FALSE)-1,0)</f>
        <v>0.16271101521949816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2109</v>
      </c>
      <c r="E27" s="75">
        <f>D27*Projections_Data!$C$15</f>
        <v>331.33645837972654</v>
      </c>
      <c r="F27" s="75">
        <f>VLOOKUP(C27,Country_Data!C:G,5,FALSE)</f>
        <v>65</v>
      </c>
      <c r="G27" s="76">
        <f>IFERROR(VLOOKUP(C27,Days_Since_100!C:G,5,FALSE)-1,0)</f>
        <v>0.18410353162186355</v>
      </c>
      <c r="H27" s="77">
        <f>IFERROR(VLOOKUP(C27,Deaths_since_10!C:G,5,FALSE)-1,0)</f>
        <v>0.30765412176865858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4695</v>
      </c>
      <c r="E28" s="75">
        <f>D28*Projections_Data!$C$15</f>
        <v>737.61245713267715</v>
      </c>
      <c r="F28" s="75">
        <f>VLOOKUP(C28,Country_Data!C:G,5,FALSE)</f>
        <v>16</v>
      </c>
      <c r="G28" s="76">
        <f>IFERROR(VLOOKUP(C28,Days_Since_100!C:G,5,FALSE)-1,0)</f>
        <v>0.1466057284331499</v>
      </c>
      <c r="H28" s="77">
        <f>IFERROR(VLOOKUP(C28,Deaths_since_10!C:G,5,FALSE)-1,0)</f>
        <v>0.18920711500272103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1453</v>
      </c>
      <c r="E29" s="75">
        <f>D29*Projections_Data!$C$15</f>
        <v>228.27495212221083</v>
      </c>
      <c r="F29" s="75">
        <f>VLOOKUP(C29,Country_Data!C:G,5,FALSE)</f>
        <v>8</v>
      </c>
      <c r="G29" s="76">
        <f>IFERROR(VLOOKUP(C29,Days_Since_100!C:G,5,FALSE)-1,0)</f>
        <v>0.10053693126999663</v>
      </c>
      <c r="H29" s="77">
        <f>IFERROR(VLOOKUP(C29,Deaths_since_10!C:G,5,FALSE)-1,0)</f>
        <v>0</v>
      </c>
      <c r="J29" s="68">
        <f t="shared" si="1"/>
        <v>28.123457498593329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1251</v>
      </c>
      <c r="E30" s="75">
        <f>D30*Projections_Data!$C$15</f>
        <v>196.53954928071971</v>
      </c>
      <c r="F30" s="75">
        <f>VLOOKUP(C30,Country_Data!C:G,5,FALSE)</f>
        <v>32</v>
      </c>
      <c r="G30" s="76">
        <f>IFERROR(VLOOKUP(C30,Days_Since_100!C:G,5,FALSE)-1,0)</f>
        <v>0.13746590571556094</v>
      </c>
      <c r="H30" s="77">
        <f>IFERROR(VLOOKUP(C30,Deaths_since_10!C:G,5,FALSE)-1,0)</f>
        <v>0.21672868378641152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1836</v>
      </c>
      <c r="E31" s="75">
        <f>D31*Projections_Data!$C$15</f>
        <v>288.44653275731525</v>
      </c>
      <c r="F31" s="75">
        <f>VLOOKUP(C31,Country_Data!C:G,5,FALSE)</f>
        <v>9</v>
      </c>
      <c r="G31" s="76">
        <f>IFERROR(VLOOKUP(C31,Days_Since_100!C:G,5,FALSE)-1,0)</f>
        <v>0.22780488414871369</v>
      </c>
      <c r="H31" s="77">
        <f>IFERROR(VLOOKUP(C31,Deaths_since_10!C:G,5,FALSE)-1,0)</f>
        <v>0.125</v>
      </c>
      <c r="J31" s="68">
        <f t="shared" si="1"/>
        <v>17.020272019359538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2910</v>
      </c>
      <c r="E32" s="75">
        <f>D32*Projections_Data!$C$15</f>
        <v>457.17832806306501</v>
      </c>
      <c r="F32" s="75">
        <f>VLOOKUP(C32,Country_Data!C:G,5,FALSE)</f>
        <v>54</v>
      </c>
      <c r="G32" s="76">
        <f>IFERROR(VLOOKUP(C32,Days_Since_100!C:G,5,FALSE)-1,0)</f>
        <v>0.13222111028276995</v>
      </c>
      <c r="H32" s="77">
        <f>IFERROR(VLOOKUP(C32,Deaths_since_10!C:G,5,FALSE)-1,0)</f>
        <v>0.43096908110525556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1717</v>
      </c>
      <c r="E33" s="75">
        <f>D33*Projections_Data!$C$15</f>
        <v>269.75092415267443</v>
      </c>
      <c r="F33" s="75">
        <f>VLOOKUP(C33,Country_Data!C:G,5,FALSE)</f>
        <v>21</v>
      </c>
      <c r="G33" s="76">
        <f>IFERROR(VLOOKUP(C33,Days_Since_100!C:G,5,FALSE)-1,0)</f>
        <v>0.10064535761547</v>
      </c>
      <c r="H33" s="77">
        <f>IFERROR(VLOOKUP(C33,Deaths_since_10!C:G,5,FALSE)-1,0)</f>
        <v>0.21290241716173264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376</v>
      </c>
      <c r="E34" s="75">
        <f>D34*Projections_Data!$C$15</f>
        <v>59.071838952478508</v>
      </c>
      <c r="F34" s="75">
        <f>VLOOKUP(C34,Country_Data!C:G,5,FALSE)</f>
        <v>0</v>
      </c>
      <c r="G34" s="76">
        <f>IFERROR(VLOOKUP(C34,Days_Since_100!C:G,5,FALSE)-1,0)</f>
        <v>0.11213911161192547</v>
      </c>
      <c r="H34" s="77">
        <f>IFERROR(VLOOKUP(C34,Deaths_since_10!C:G,5,FALSE)-1,0)</f>
        <v>0</v>
      </c>
      <c r="J34" s="68">
        <f t="shared" si="1"/>
        <v>11.819972784720314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446</v>
      </c>
      <c r="E35" s="75">
        <f>D35*Projections_Data!$C$15</f>
        <v>70.069255778737798</v>
      </c>
      <c r="F35" s="75">
        <f>VLOOKUP(C35,Country_Data!C:G,5,FALSE)</f>
        <v>11</v>
      </c>
      <c r="G35" s="76">
        <f>IFERROR(VLOOKUP(C35,Days_Since_100!C:G,5,FALSE)-1,0)</f>
        <v>6.0176382014175855E-2</v>
      </c>
      <c r="H35" s="77">
        <f>IFERROR(VLOOKUP(C35,Deaths_since_10!C:G,5,FALSE)-1,0)</f>
        <v>0.11199004528465784</v>
      </c>
      <c r="J35" s="68">
        <f t="shared" si="1"/>
        <v>30.496078823891153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306</v>
      </c>
      <c r="E36" s="75">
        <f>D36*Projections_Data!$C$15</f>
        <v>48.074422126219211</v>
      </c>
      <c r="F36" s="75">
        <f>VLOOKUP(C36,Country_Data!C:G,5,FALSE)</f>
        <v>5</v>
      </c>
      <c r="G36" s="76">
        <f>IFERROR(VLOOKUP(C36,Days_Since_100!C:G,5,FALSE)-1,0)</f>
        <v>5.4218693369459947E-2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1352</v>
      </c>
      <c r="E37" s="75">
        <f>D37*Projections_Data!$C$15</f>
        <v>212.40725070146527</v>
      </c>
      <c r="F37" s="75">
        <f>VLOOKUP(C37,Country_Data!C:G,5,FALSE)</f>
        <v>13</v>
      </c>
      <c r="G37" s="76">
        <f>IFERROR(VLOOKUP(C37,Days_Since_100!C:G,5,FALSE)-1,0)</f>
        <v>8.9679558319204045E-2</v>
      </c>
      <c r="H37" s="77">
        <f>IFERROR(VLOOKUP(C37,Deaths_since_10!C:G,5,FALSE)-1,0)</f>
        <v>0.20185042515466312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359</v>
      </c>
      <c r="E38" s="75">
        <f>D38*Projections_Data!$C$15</f>
        <v>56.401037723244109</v>
      </c>
      <c r="F38" s="75">
        <f>VLOOKUP(C38,Country_Data!C:G,5,FALSE)</f>
        <v>8</v>
      </c>
      <c r="G38" s="76">
        <f>IFERROR(VLOOKUP(C38,Days_Since_100!C:G,5,FALSE)-1,0)</f>
        <v>8.2071146048448451E-2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1086</v>
      </c>
      <c r="E39" s="75">
        <f>D39*Projections_Data!$C$15</f>
        <v>170.61706676167995</v>
      </c>
      <c r="F39" s="75">
        <f>VLOOKUP(C39,Country_Data!C:G,5,FALSE)</f>
        <v>5</v>
      </c>
      <c r="G39" s="76">
        <f>IFERROR(VLOOKUP(C39,Days_Since_100!C:G,5,FALSE)-1,0)</f>
        <v>8.0618672100586153E-2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1086</v>
      </c>
      <c r="E40" s="75">
        <f>D40*Projections_Data!$C$15</f>
        <v>170.61706676167995</v>
      </c>
      <c r="F40" s="75">
        <f>VLOOKUP(C40,Country_Data!C:G,5,FALSE)</f>
        <v>5</v>
      </c>
      <c r="G40" s="76">
        <f>IFERROR(VLOOKUP(C40,Days_Since_100!C:G,5,FALSE)-1,0)</f>
        <v>8.0618672100586153E-2</v>
      </c>
      <c r="H40" s="77">
        <f>IFERROR(VLOOKUP(C40,Deaths_since_10!C:G,5,FALSE)-1,0)</f>
        <v>0</v>
      </c>
      <c r="J40" s="68">
        <f t="shared" si="1"/>
        <v>-14.776511283604728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950</v>
      </c>
      <c r="E41" s="75">
        <f>D41*Projections_Data!$C$15</f>
        <v>149.25065692780473</v>
      </c>
      <c r="F41" s="75">
        <f>VLOOKUP(C41,Country_Data!C:G,5,FALSE)</f>
        <v>24</v>
      </c>
      <c r="G41" s="76">
        <f>IFERROR(VLOOKUP(C41,Days_Since_100!C:G,5,FALSE)-1,0)</f>
        <v>0.14629519930531232</v>
      </c>
      <c r="H41" s="77">
        <f>IFERROR(VLOOKUP(C41,Deaths_since_10!C:G,5,FALSE)-1,0)</f>
        <v>0.21672868378641152</v>
      </c>
      <c r="J41" s="68">
        <f t="shared" si="1"/>
        <v>30.543042911068188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336</v>
      </c>
      <c r="E42" s="75">
        <f>D42*Projections_Data!$C$15</f>
        <v>52.787600766044619</v>
      </c>
      <c r="F42" s="75">
        <f>VLOOKUP(C42,Country_Data!C:G,5,FALSE)</f>
        <v>1</v>
      </c>
      <c r="G42" s="76">
        <f>IFERROR(VLOOKUP(C42,Days_Since_100!C:G,5,FALSE)-1,0)</f>
        <v>9.2388464140372939E-2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879</v>
      </c>
      <c r="E43" s="75">
        <f>D43*Projections_Data!$C$15</f>
        <v>138.09613414688459</v>
      </c>
      <c r="F43" s="75">
        <f>VLOOKUP(C43,Country_Data!C:G,5,FALSE)</f>
        <v>3</v>
      </c>
      <c r="G43" s="76">
        <f>IFERROR(VLOOKUP(C43,Days_Since_100!C:G,5,FALSE)-1,0)</f>
        <v>6.8542752877763125E-2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656</v>
      </c>
      <c r="E44" s="75">
        <f>D44*Projections_Data!$C$15</f>
        <v>103.06150625751569</v>
      </c>
      <c r="F44" s="75">
        <f>VLOOKUP(C44,Country_Data!C:G,5,FALSE)</f>
        <v>41</v>
      </c>
      <c r="G44" s="76">
        <f>IFERROR(VLOOKUP(C44,Days_Since_100!C:G,5,FALSE)-1,0)</f>
        <v>7.544399604357821E-2</v>
      </c>
      <c r="H44" s="77">
        <f>IFERROR(VLOOKUP(C44,Deaths_since_10!C:G,5,FALSE)-1,0)</f>
        <v>0.1431755108178514</v>
      </c>
      <c r="J44" s="68">
        <f t="shared" ref="J44:J66" si="5">IFERROR(LOG((M44/E44),1+G44),"")</f>
        <v>36.817847328088469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4445</v>
      </c>
      <c r="E45" s="75">
        <f>D45*Projections_Data!$C$15</f>
        <v>698.33596846746536</v>
      </c>
      <c r="F45" s="75">
        <f>VLOOKUP(C45,Country_Data!C:G,5,FALSE)</f>
        <v>32</v>
      </c>
      <c r="G45" s="76">
        <f>IFERROR(VLOOKUP(C45,Days_Since_100!C:G,5,FALSE)-1,0)</f>
        <v>7.5849393043937896E-2</v>
      </c>
      <c r="H45" s="77">
        <f>IFERROR(VLOOKUP(C45,Deaths_since_10!C:G,5,FALSE)-1,0)</f>
        <v>0.17978912471277986</v>
      </c>
      <c r="J45" s="68">
        <f t="shared" si="5"/>
        <v>-6.51546685442786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4028</v>
      </c>
      <c r="E46" s="75">
        <f>D46*Projections_Data!$C$15</f>
        <v>632.82278537389209</v>
      </c>
      <c r="F46" s="75">
        <f>VLOOKUP(C46,Country_Data!C:G,5,FALSE)</f>
        <v>146</v>
      </c>
      <c r="G46" s="76">
        <f>IFERROR(VLOOKUP(C46,Days_Since_100!C:G,5,FALSE)-1,0)</f>
        <v>9.7820214034532782E-2</v>
      </c>
      <c r="H46" s="77">
        <f>IFERROR(VLOOKUP(C46,Deaths_since_10!C:G,5,FALSE)-1,0)</f>
        <v>0.18684015949694066</v>
      </c>
      <c r="J46" s="68">
        <f t="shared" si="5"/>
        <v>9.0636424829711384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1212</v>
      </c>
      <c r="E47" s="75">
        <f>D47*Projections_Data!$C$15</f>
        <v>190.41241704894668</v>
      </c>
      <c r="F47" s="75">
        <f>VLOOKUP(C47,Country_Data!C:G,5,FALSE)</f>
        <v>43</v>
      </c>
      <c r="G47" s="76">
        <f>IFERROR(VLOOKUP(C47,Days_Since_100!C:G,5,FALSE)-1,0)</f>
        <v>8.1015428983443938E-2</v>
      </c>
      <c r="H47" s="77">
        <f>IFERROR(VLOOKUP(C47,Deaths_since_10!C:G,5,FALSE)-1,0)</f>
        <v>0.14342887420949846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630</v>
      </c>
      <c r="E48" s="75">
        <f>D48*Projections_Data!$C$15</f>
        <v>98.976751436333672</v>
      </c>
      <c r="F48" s="75">
        <f>VLOOKUP(C48,Country_Data!C:G,5,FALSE)</f>
        <v>46</v>
      </c>
      <c r="G48" s="76">
        <f>IFERROR(VLOOKUP(C48,Days_Since_100!C:G,5,FALSE)-1,0)</f>
        <v>0.12733473918346383</v>
      </c>
      <c r="H48" s="77">
        <f>IFERROR(VLOOKUP(C48,Deaths_since_10!C:G,5,FALSE)-1,0)</f>
        <v>9.6659908140676709E-2</v>
      </c>
      <c r="J48" s="68">
        <f t="shared" si="5"/>
        <v>26.364795102282589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756</v>
      </c>
      <c r="E49" s="75">
        <f>D49*Projections_Data!$C$15</f>
        <v>118.7721017236004</v>
      </c>
      <c r="F49" s="75">
        <f>VLOOKUP(C49,Country_Data!C:G,5,FALSE)</f>
        <v>11</v>
      </c>
      <c r="G49" s="76">
        <f>IFERROR(VLOOKUP(C49,Days_Since_100!C:G,5,FALSE)-1,0)</f>
        <v>7.442863557808499E-2</v>
      </c>
      <c r="H49" s="77">
        <f>IFERROR(VLOOKUP(C49,Deaths_since_10!C:G,5,FALSE)-1,0)</f>
        <v>6.917810999860885E-2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2755</v>
      </c>
      <c r="E50" s="75">
        <f>D50*Projections_Data!$C$15</f>
        <v>432.82690509063372</v>
      </c>
      <c r="F50" s="75">
        <f>VLOOKUP(C50,Country_Data!C:G,5,FALSE)</f>
        <v>77</v>
      </c>
      <c r="G50" s="76">
        <f>IFERROR(VLOOKUP(C50,Days_Since_100!C:G,5,FALSE)-1,0)</f>
        <v>8.1504635685589522E-2</v>
      </c>
      <c r="H50" s="77">
        <f>IFERROR(VLOOKUP(C50,Deaths_since_10!C:G,5,FALSE)-1,0)</f>
        <v>0.17761237717688783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230</v>
      </c>
      <c r="E51" s="75">
        <f>D51*Projections_Data!$C$15</f>
        <v>36.134369571994831</v>
      </c>
      <c r="F51" s="75">
        <f>VLOOKUP(C51,Country_Data!C:G,5,FALSE)</f>
        <v>25</v>
      </c>
      <c r="G51" s="76">
        <f>IFERROR(VLOOKUP(C51,Days_Since_100!C:G,5,FALSE)-1,0)</f>
        <v>2.031177855938826E-2</v>
      </c>
      <c r="H51" s="77">
        <f>IFERROR(VLOOKUP(C51,Deaths_since_10!C:G,5,FALSE)-1,0)</f>
        <v>3.5485788455905221E-2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611</v>
      </c>
      <c r="E52" s="75">
        <f>D52*Projections_Data!$C$15</f>
        <v>95.991738297777573</v>
      </c>
      <c r="F52" s="75">
        <f>VLOOKUP(C52,Country_Data!C:G,5,FALSE)</f>
        <v>5</v>
      </c>
      <c r="G52" s="76">
        <f>IFERROR(VLOOKUP(C52,Days_Since_100!C:G,5,FALSE)-1,0)</f>
        <v>0.12906617112830832</v>
      </c>
      <c r="H52" s="77">
        <f>IFERROR(VLOOKUP(C52,Deaths_since_10!C:G,5,FALSE)-1,0)</f>
        <v>0</v>
      </c>
      <c r="J52" s="68">
        <f t="shared" si="5"/>
        <v>15.915487742648116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515</v>
      </c>
      <c r="E53" s="75">
        <f>D53*Projections_Data!$C$15</f>
        <v>80.909566650336245</v>
      </c>
      <c r="F53" s="75">
        <f>VLOOKUP(C53,Country_Data!C:G,5,FALSE)</f>
        <v>4</v>
      </c>
      <c r="G53" s="76">
        <f>IFERROR(VLOOKUP(C53,Days_Since_100!C:G,5,FALSE)-1,0)</f>
        <v>4.2122184598568868E-2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715</v>
      </c>
      <c r="E54" s="75">
        <f>D54*Projections_Data!$C$15</f>
        <v>112.33075758250567</v>
      </c>
      <c r="F54" s="75">
        <f>VLOOKUP(C54,Country_Data!C:G,5,FALSE)</f>
        <v>3</v>
      </c>
      <c r="G54" s="76">
        <f>IFERROR(VLOOKUP(C54,Days_Since_100!C:G,5,FALSE)-1,0)</f>
        <v>0.12094662917872401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266</v>
      </c>
      <c r="E55" s="75">
        <f>D55*Projections_Data!$C$15</f>
        <v>41.790183939785329</v>
      </c>
      <c r="F55" s="75">
        <f>VLOOKUP(C55,Country_Data!C:G,5,FALSE)</f>
        <v>0</v>
      </c>
      <c r="G55" s="76">
        <f>IFERROR(VLOOKUP(C55,Days_Since_100!C:G,5,FALSE)-1,0)</f>
        <v>6.4068054684418341E-2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41495</v>
      </c>
      <c r="E56" s="75">
        <f>D56*Projections_Data!$C$15</f>
        <v>6519.1115886518501</v>
      </c>
      <c r="F56" s="75">
        <f>VLOOKUP(C56,Country_Data!C:G,5,FALSE)</f>
        <v>2757</v>
      </c>
      <c r="G56" s="76">
        <f>IFERROR(VLOOKUP(C56,Days_Since_100!C:G,5,FALSE)-1,0)</f>
        <v>8.961162794298061E-2</v>
      </c>
      <c r="H56" s="77">
        <f>IFERROR(VLOOKUP(C56,Deaths_since_10!C:G,5,FALSE)-1,0)</f>
        <v>5.8278696965596843E-2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1866</v>
      </c>
      <c r="E57" s="75">
        <f>D57*Projections_Data!$C$15</f>
        <v>293.15971139714065</v>
      </c>
      <c r="F57" s="75">
        <f>VLOOKUP(C57,Country_Data!C:G,5,FALSE)</f>
        <v>54</v>
      </c>
      <c r="G57" s="76">
        <f>IFERROR(VLOOKUP(C57,Days_Since_100!C:G,5,FALSE)-1,0)</f>
        <v>7.380942215342956E-2</v>
      </c>
      <c r="H57" s="77">
        <f>IFERROR(VLOOKUP(C57,Deaths_since_10!C:G,5,FALSE)-1,0)</f>
        <v>3.7137289336648172E-2</v>
      </c>
      <c r="J57" s="68">
        <f t="shared" si="5"/>
        <v>48.443692845236448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693</v>
      </c>
      <c r="E58" s="75">
        <f>D58*Projections_Data!$C$15</f>
        <v>108.87442657996704</v>
      </c>
      <c r="F58" s="75">
        <f>VLOOKUP(C58,Country_Data!C:G,5,FALSE)</f>
        <v>1</v>
      </c>
      <c r="G58" s="76">
        <f>IFERROR(VLOOKUP(C58,Days_Since_100!C:G,5,FALSE)-1,0)</f>
        <v>5.2329608109879189E-2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82198</v>
      </c>
      <c r="E60" s="75">
        <f>D60*Projections_Data!$C$15</f>
        <v>12913.79526121231</v>
      </c>
      <c r="F60" s="75">
        <f>VLOOKUP(C60,Country_Data!C:G,5,FALSE)</f>
        <v>3308</v>
      </c>
      <c r="G60" s="76">
        <f>IFERROR(VLOOKUP(C60,Days_Since_100!C:G,5,FALSE)-1,0)</f>
        <v>1.3117474193824474E-3</v>
      </c>
      <c r="H60" s="77">
        <f>IFERROR(VLOOKUP(C60,Deaths_since_10!C:G,5,FALSE)-1,0)</f>
        <v>1.396399103524848E-3</v>
      </c>
      <c r="I60" s="59"/>
      <c r="J60" s="68">
        <f t="shared" si="5"/>
        <v>1059.889465372233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478</v>
      </c>
      <c r="D61" s="75">
        <f>VLOOKUP(C61,Country_Data!B:F,5,FALSE)</f>
        <v>3001</v>
      </c>
      <c r="E61" s="75">
        <f>D61*Projections_Data!$C$15</f>
        <v>471.4749699372021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475</v>
      </c>
      <c r="D62" s="75">
        <f>VLOOKUP(C62,Country_Data!B:F,5,FALSE)</f>
        <v>9661</v>
      </c>
      <c r="E62" s="75">
        <f>D62*Projections_Data!$C$15</f>
        <v>1517.8006279784438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230</v>
      </c>
      <c r="E63" s="75">
        <f>D63*Projections_Data!$C$15</f>
        <v>36.134369571994831</v>
      </c>
      <c r="F63" s="75">
        <f>VLOOKUP(C63,Country_Data!C:G,5,FALSE)</f>
        <v>7</v>
      </c>
      <c r="G63" s="76">
        <f>IFERROR(VLOOKUP(C63,Days_Since_100!C:G,5,FALSE)-1,0)</f>
        <v>0.11745689859000819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15</v>
      </c>
      <c r="G65" s="75"/>
      <c r="H65" s="77">
        <f>IFERROR(VLOOKUP(C65,Deaths_since_10!C:G,5,FALSE)-1,0)</f>
        <v>8.4471771197698553E-2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7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565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zoomScale="80" zoomScaleNormal="80" workbookViewId="0">
      <selection activeCell="N60" sqref="N60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595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15000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35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4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G4" activePane="bottomRight" state="frozen"/>
      <selection pane="topRight" activeCell="G1" sqref="G1"/>
      <selection pane="bottomLeft" activeCell="A4" sqref="A4"/>
      <selection pane="bottomRight" activeCell="AQ9" sqref="AQ9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43920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22453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26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2716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18424</v>
      </c>
      <c r="D6" s="42">
        <v>0.02</v>
      </c>
      <c r="F6" s="19" t="s">
        <v>583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2618</v>
      </c>
      <c r="F7" s="19" t="s">
        <v>588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40</v>
      </c>
      <c r="V7" s="40">
        <f t="shared" ref="V7" ca="1" si="15">(V5-U5)-(V6-U6)</f>
        <v>1258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>
        <f t="shared" ref="AA7" ca="1" si="19">(AA5-Z5)-(AA6-Z6)</f>
        <v>1433</v>
      </c>
      <c r="AB7" s="40">
        <f t="shared" ref="AB7" ca="1" si="20">(AB5-AA5)-(AB6-AA6)</f>
        <v>2058</v>
      </c>
      <c r="AC7" s="40">
        <f t="shared" ref="AC7" ca="1" si="21">(AC5-AB5)-(AC6-AB6)</f>
        <v>2752</v>
      </c>
      <c r="AD7" s="40">
        <f t="shared" ref="AD7" ca="1" si="22">(AD5-AC5)-(AD6-AC6)</f>
        <v>2307</v>
      </c>
      <c r="AE7" s="40">
        <f t="shared" ref="AE7" ca="1" si="23">(AE5-AD5)-(AE6-AD6)</f>
        <v>2258</v>
      </c>
      <c r="AF7" s="40">
        <f t="shared" ref="AF7" ca="1" si="24">(AF5-AE5)-(AF6-AE6)</f>
        <v>2493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ca="1">(AI5-AH5)-(AI6-AH6)</f>
        <v>#N/A</v>
      </c>
      <c r="AJ7" s="40" t="e">
        <f t="shared" ref="AJ7" ca="1" si="27">(AJ5-AI5)-(AJ6-AI6)</f>
        <v>#N/A</v>
      </c>
      <c r="AK7" s="40" t="e">
        <f t="shared" ref="AK7" ca="1" si="28">(AK5-AJ5)-(AK6-AJ6)</f>
        <v>#N/A</v>
      </c>
      <c r="AL7" s="40" t="e">
        <f t="shared" ref="AL7" ca="1" si="29">(AL5-AK5)-(AL6-AK6)</f>
        <v>#N/A</v>
      </c>
      <c r="AM7" s="40" t="e">
        <f t="shared" ref="AM7" ca="1" si="30">(AM5-AL5)-(AM6-AL6)</f>
        <v>#N/A</v>
      </c>
      <c r="AN7" s="40" t="e">
        <f t="shared" ref="AN7" ca="1" si="31">(AN5-AM5)-(AN6-AM6)</f>
        <v>#N/A</v>
      </c>
      <c r="AO7" s="40" t="e">
        <f t="shared" ref="AO7" ca="1" si="32">(AO5-AN5)-(AO6-AN6)</f>
        <v>#N/A</v>
      </c>
      <c r="AP7" s="40" t="e">
        <f t="shared" ref="AP7" ca="1" si="33">(AP5-AO5)-(AP6-AO6)</f>
        <v>#N/A</v>
      </c>
      <c r="AQ7" s="40" t="e">
        <f t="shared" ref="AQ7" ca="1" si="34">(AQ5-AP5)-(AQ6-AP6)</f>
        <v>#N/A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1411</v>
      </c>
      <c r="F8" s="19" t="s">
        <v>505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8">SUM(I7:S7)-H7</f>
        <v>1685</v>
      </c>
      <c r="T8" s="40">
        <f t="shared" ca="1" si="68"/>
        <v>2296</v>
      </c>
      <c r="U8" s="40">
        <f t="shared" ca="1" si="68"/>
        <v>2245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t="shared" ca="1" si="68"/>
        <v>18424</v>
      </c>
      <c r="AG8" s="40" t="e">
        <f t="shared" ca="1" si="68"/>
        <v>#N/A</v>
      </c>
      <c r="AH8" s="40" t="e">
        <f t="shared" ca="1" si="68"/>
        <v>#N/A</v>
      </c>
      <c r="AI8" s="40" t="e">
        <f ca="1">SUM(Y7:AI7)-X7</f>
        <v>#N/A</v>
      </c>
      <c r="AJ8" s="40" t="e">
        <f t="shared" ca="1" si="68"/>
        <v>#N/A</v>
      </c>
      <c r="AK8" s="40" t="e">
        <f ca="1">SUM(AA7:AK7)-Z7</f>
        <v>#N/A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8"/>
        <v>#N/A</v>
      </c>
      <c r="AP8" s="40" t="e">
        <f t="shared" ca="1" si="68"/>
        <v>#N/A</v>
      </c>
      <c r="AQ8" s="40" t="e">
        <f ca="1">SUM(AG7:AQ7)-AF7</f>
        <v>#N/A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573</v>
      </c>
      <c r="C9" s="85">
        <f ca="1">VLOOKUP(B2,Country_Data!C:P,14,FALSE)</f>
        <v>6</v>
      </c>
      <c r="F9" s="19" t="s">
        <v>584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164</v>
      </c>
      <c r="I9" s="40">
        <f t="shared" ca="1" si="72"/>
        <v>207</v>
      </c>
      <c r="J9" s="40">
        <f t="shared" ca="1" si="72"/>
        <v>274</v>
      </c>
      <c r="K9" s="40">
        <f t="shared" ca="1" si="72"/>
        <v>322</v>
      </c>
      <c r="L9" s="40">
        <f t="shared" ca="1" si="72"/>
        <v>384</v>
      </c>
      <c r="M9" s="40">
        <f t="shared" ca="1" si="72"/>
        <v>459</v>
      </c>
      <c r="N9" s="40">
        <f t="shared" ca="1" si="72"/>
        <v>588</v>
      </c>
      <c r="O9" s="40">
        <f t="shared" ca="1" si="72"/>
        <v>799</v>
      </c>
      <c r="P9" s="40">
        <f t="shared" ca="1" si="72"/>
        <v>1131</v>
      </c>
      <c r="Q9" s="40">
        <f t="shared" ca="1" si="72"/>
        <v>1328</v>
      </c>
      <c r="R9" s="40">
        <f t="shared" ca="1" si="72"/>
        <v>1271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2245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18424</v>
      </c>
      <c r="AG9" s="40">
        <f t="shared" ca="1" si="72"/>
        <v>21906.249754676115</v>
      </c>
      <c r="AH9" s="40">
        <f t="shared" ca="1" si="72"/>
        <v>26046.666213322154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30969.646946684708</v>
      </c>
      <c r="AJ9" s="40">
        <f t="shared" ca="1" si="72"/>
        <v>36823.101434445169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43782.894961177168</v>
      </c>
      <c r="AL9" s="40">
        <f t="shared" ca="1" si="72"/>
        <v>52058.132436077802</v>
      </c>
      <c r="AM9" s="40">
        <f t="shared" ca="1" si="72"/>
        <v>61897.440887251738</v>
      </c>
      <c r="AN9" s="40">
        <f t="shared" ca="1" si="72"/>
        <v>73596.439386204831</v>
      </c>
      <c r="AO9" s="40">
        <f t="shared" ca="1" si="72"/>
        <v>87506.620834188288</v>
      </c>
      <c r="AP9" s="40">
        <f t="shared" ca="1" si="72"/>
        <v>104045.91246100048</v>
      </c>
      <c r="AQ9" s="40">
        <f t="shared" ca="1" si="72"/>
        <v>123711.23232326553</v>
      </c>
      <c r="AR9" s="40">
        <f t="shared" ca="1" si="72"/>
        <v>147093.41905841377</v>
      </c>
      <c r="AS9" s="40">
        <f t="shared" ca="1" si="72"/>
        <v>174894.98345434474</v>
      </c>
      <c r="AT9" s="40">
        <f t="shared" ca="1" si="72"/>
        <v>207951.21517535945</v>
      </c>
      <c r="AU9" s="40">
        <f t="shared" ca="1" si="72"/>
        <v>247255.27878961235</v>
      </c>
      <c r="AV9" s="40">
        <f t="shared" ca="1" si="72"/>
        <v>293988.05310070125</v>
      </c>
      <c r="AW9" s="40">
        <f t="shared" ca="1" si="72"/>
        <v>349553.61029716377</v>
      </c>
      <c r="AX9" s="40">
        <f t="shared" ca="1" si="72"/>
        <v>415621.40088028624</v>
      </c>
      <c r="AY9" s="40">
        <f t="shared" ca="1" si="72"/>
        <v>494176.41180372954</v>
      </c>
      <c r="AZ9" s="40">
        <f t="shared" ca="1" si="72"/>
        <v>587578.80481123389</v>
      </c>
      <c r="BA9" s="40">
        <f t="shared" ca="1" si="72"/>
        <v>698634.82678837259</v>
      </c>
      <c r="BB9" s="40">
        <f t="shared" ca="1" si="72"/>
        <v>830681.12260860705</v>
      </c>
      <c r="BC9" s="40">
        <f t="shared" ca="1" si="72"/>
        <v>987684.98362781573</v>
      </c>
      <c r="BD9" s="40">
        <f t="shared" ca="1" si="72"/>
        <v>1174363.5437632501</v>
      </c>
      <c r="BE9" s="40">
        <f t="shared" ca="1" si="72"/>
        <v>1396325.5043673615</v>
      </c>
      <c r="BF9" s="40">
        <f t="shared" ca="1" si="72"/>
        <v>1660239.6459778287</v>
      </c>
      <c r="BG9" s="40">
        <f t="shared" ca="1" si="72"/>
        <v>1974035.1898287761</v>
      </c>
      <c r="BH9" s="40">
        <f t="shared" ca="1" si="72"/>
        <v>2347140.0289246985</v>
      </c>
      <c r="BI9" s="40">
        <f t="shared" ca="1" si="72"/>
        <v>2790763.986258259</v>
      </c>
      <c r="BJ9" s="40">
        <f t="shared" ca="1" si="72"/>
        <v>3318235.6105801631</v>
      </c>
      <c r="BK9" s="40">
        <f t="shared" ca="1" si="72"/>
        <v>3945402.6286490038</v>
      </c>
      <c r="BL9" s="40">
        <f t="shared" ca="1" si="72"/>
        <v>4691108.0854288284</v>
      </c>
      <c r="BM9" s="40">
        <f t="shared" ca="1" si="72"/>
        <v>5577756.4777238611</v>
      </c>
      <c r="BN9" s="40">
        <f t="shared" ca="1" si="72"/>
        <v>6631986.8905656449</v>
      </c>
      <c r="BO9" s="40">
        <f t="shared" ca="1" si="72"/>
        <v>7885473.3605334815</v>
      </c>
      <c r="BP9" s="40">
        <f t="shared" ca="1" si="72"/>
        <v>9375876.5126840863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11147975.06273661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13255011.180156823</v>
      </c>
      <c r="BS9" s="40">
        <f t="shared" ca="1" si="74"/>
        <v>15760290.133170841</v>
      </c>
      <c r="BT9" s="40">
        <f t="shared" ca="1" si="74"/>
        <v>18739082.276563078</v>
      </c>
      <c r="BU9" s="40">
        <f t="shared" ca="1" si="74"/>
        <v>22280884.526911389</v>
      </c>
      <c r="BV9" s="40">
        <f t="shared" ca="1" si="74"/>
        <v>26492109.270604618</v>
      </c>
      <c r="BW9" s="40">
        <f t="shared" ca="1" si="74"/>
        <v>27154404.400000002</v>
      </c>
      <c r="BX9" s="40">
        <f t="shared" ca="1" si="74"/>
        <v>27154404.400000002</v>
      </c>
      <c r="BY9" s="40">
        <f t="shared" ca="1" si="74"/>
        <v>27154404.400000002</v>
      </c>
      <c r="BZ9" s="40">
        <f t="shared" ca="1" si="74"/>
        <v>27154404.400000002</v>
      </c>
      <c r="CA9" s="40">
        <f t="shared" ca="1" si="74"/>
        <v>27154404.400000002</v>
      </c>
      <c r="CB9" s="40">
        <f t="shared" ca="1" si="74"/>
        <v>27154404.400000002</v>
      </c>
      <c r="CC9" s="40">
        <f t="shared" ca="1" si="74"/>
        <v>27154404.400000002</v>
      </c>
      <c r="CD9" s="40">
        <f t="shared" ca="1" si="74"/>
        <v>27154404.400000002</v>
      </c>
      <c r="CE9" s="40">
        <f t="shared" ca="1" si="74"/>
        <v>27154404.400000002</v>
      </c>
      <c r="CF9" s="40">
        <f t="shared" ca="1" si="74"/>
        <v>27154404.400000002</v>
      </c>
      <c r="CG9" s="40">
        <f t="shared" ca="1" si="74"/>
        <v>27154404.400000002</v>
      </c>
      <c r="CH9" s="40">
        <f t="shared" ca="1" si="74"/>
        <v>27154404.400000002</v>
      </c>
      <c r="CI9" s="40">
        <f t="shared" ca="1" si="74"/>
        <v>27154404.400000002</v>
      </c>
      <c r="CJ9" s="40">
        <f t="shared" ca="1" si="74"/>
        <v>27154404.400000002</v>
      </c>
      <c r="CK9" s="40">
        <f t="shared" ca="1" si="74"/>
        <v>27154404.400000002</v>
      </c>
      <c r="CL9" s="40">
        <f t="shared" ca="1" si="74"/>
        <v>27154404.400000002</v>
      </c>
      <c r="CM9" s="40">
        <f t="shared" ca="1" si="74"/>
        <v>27154404.400000002</v>
      </c>
      <c r="CN9" s="40">
        <f t="shared" ca="1" si="74"/>
        <v>27154404.400000002</v>
      </c>
      <c r="CO9" s="40">
        <f t="shared" ca="1" si="74"/>
        <v>27154404.400000002</v>
      </c>
      <c r="CP9" s="40">
        <f t="shared" ca="1" si="74"/>
        <v>27154404.400000002</v>
      </c>
      <c r="CQ9" s="40">
        <f t="shared" ca="1" si="74"/>
        <v>27154404.400000002</v>
      </c>
      <c r="CR9" s="40">
        <f t="shared" ca="1" si="74"/>
        <v>27154404.400000002</v>
      </c>
      <c r="CS9" s="40">
        <f t="shared" ca="1" si="74"/>
        <v>27154404.400000002</v>
      </c>
      <c r="CT9" s="40">
        <f t="shared" ca="1" si="74"/>
        <v>27154404.400000002</v>
      </c>
      <c r="CU9" s="40">
        <f t="shared" ca="1" si="74"/>
        <v>27154404.400000002</v>
      </c>
      <c r="CV9" s="40">
        <f t="shared" ca="1" si="74"/>
        <v>27154404.400000002</v>
      </c>
      <c r="CW9" s="40">
        <f t="shared" ca="1" si="74"/>
        <v>27154404.400000002</v>
      </c>
      <c r="CX9" s="40">
        <f t="shared" ca="1" si="74"/>
        <v>27154404.400000002</v>
      </c>
      <c r="CY9" s="40">
        <f t="shared" ca="1" si="74"/>
        <v>27154404.400000002</v>
      </c>
      <c r="CZ9" s="40">
        <f t="shared" ca="1" si="74"/>
        <v>27154404.400000002</v>
      </c>
      <c r="DA9" s="40">
        <f t="shared" ca="1" si="74"/>
        <v>27154404.400000002</v>
      </c>
      <c r="DB9" s="40">
        <f t="shared" ca="1" si="74"/>
        <v>27154404.400000002</v>
      </c>
      <c r="DC9" s="40">
        <f t="shared" ca="1" si="74"/>
        <v>27154404.400000002</v>
      </c>
      <c r="DD9" s="40">
        <f t="shared" ca="1" si="74"/>
        <v>27154404.400000002</v>
      </c>
      <c r="DE9" s="40">
        <f t="shared" ca="1" si="74"/>
        <v>27154404.400000002</v>
      </c>
      <c r="DF9" s="40">
        <f t="shared" ca="1" si="74"/>
        <v>27154404.400000002</v>
      </c>
      <c r="DG9" s="40">
        <f t="shared" ca="1" si="74"/>
        <v>27154404.400000002</v>
      </c>
      <c r="DH9" s="40">
        <f t="shared" ca="1" si="74"/>
        <v>27154404.400000002</v>
      </c>
      <c r="DI9" s="40">
        <f t="shared" ca="1" si="74"/>
        <v>27154404.400000002</v>
      </c>
      <c r="DJ9" s="40">
        <f t="shared" ca="1" si="74"/>
        <v>27154404.400000002</v>
      </c>
      <c r="DK9" s="40">
        <f t="shared" ca="1" si="74"/>
        <v>27154404.400000002</v>
      </c>
      <c r="DL9" s="40">
        <f t="shared" ca="1" si="74"/>
        <v>27154404.400000002</v>
      </c>
      <c r="DM9" s="40">
        <f t="shared" ca="1" si="74"/>
        <v>27154404.400000002</v>
      </c>
      <c r="DN9" s="40">
        <f t="shared" ca="1" si="74"/>
        <v>27154404.400000002</v>
      </c>
      <c r="DO9" s="40">
        <f t="shared" ca="1" si="74"/>
        <v>27154404.400000002</v>
      </c>
      <c r="DP9" s="40">
        <f t="shared" ca="1" si="74"/>
        <v>27154404.400000002</v>
      </c>
      <c r="DQ9" s="40">
        <f t="shared" ca="1" si="74"/>
        <v>27154404.400000002</v>
      </c>
      <c r="DR9" s="40">
        <f t="shared" ca="1" si="74"/>
        <v>27154404.400000002</v>
      </c>
      <c r="DS9" s="40">
        <f t="shared" ca="1" si="74"/>
        <v>27154404.400000002</v>
      </c>
      <c r="DT9" s="40">
        <f t="shared" ca="1" si="74"/>
        <v>27154404.400000002</v>
      </c>
      <c r="DU9" s="40">
        <f t="shared" ca="1" si="74"/>
        <v>27154404.400000002</v>
      </c>
      <c r="DV9" s="40">
        <f t="shared" ca="1" si="74"/>
        <v>27154404.400000002</v>
      </c>
      <c r="DW9" s="40">
        <f t="shared" ca="1" si="74"/>
        <v>27154404.400000002</v>
      </c>
      <c r="DX9" s="40">
        <f t="shared" ca="1" si="74"/>
        <v>27154404.400000002</v>
      </c>
      <c r="DY9" s="40">
        <f t="shared" ca="1" si="74"/>
        <v>27154404.400000002</v>
      </c>
      <c r="DZ9" s="40">
        <f t="shared" ca="1" si="74"/>
        <v>27154404.400000002</v>
      </c>
      <c r="EA9" s="40">
        <f t="shared" ca="1" si="74"/>
        <v>27154404.400000002</v>
      </c>
      <c r="EB9" s="40">
        <f t="shared" ca="1" si="74"/>
        <v>27154404.400000002</v>
      </c>
      <c r="EC9" s="40">
        <f t="shared" ca="1" si="74"/>
        <v>27154404.400000002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5"/>
        <v>27154404.400000002</v>
      </c>
      <c r="EF9" s="40">
        <f t="shared" ca="1" si="75"/>
        <v>27154404.400000002</v>
      </c>
      <c r="EG9" s="40">
        <f t="shared" ca="1" si="75"/>
        <v>27154404.400000002</v>
      </c>
      <c r="EH9" s="40">
        <f t="shared" ca="1" si="75"/>
        <v>27154404.400000002</v>
      </c>
      <c r="EI9" s="40">
        <f t="shared" ca="1" si="75"/>
        <v>27154404.400000002</v>
      </c>
      <c r="EJ9" s="40">
        <f t="shared" ca="1" si="75"/>
        <v>27154404.400000002</v>
      </c>
      <c r="EK9" s="40">
        <f t="shared" ca="1" si="75"/>
        <v>27154404.400000002</v>
      </c>
      <c r="EL9" s="40">
        <f t="shared" ca="1" si="75"/>
        <v>27154404.400000002</v>
      </c>
      <c r="EM9" s="40">
        <f t="shared" ca="1" si="75"/>
        <v>27154404.400000002</v>
      </c>
      <c r="EN9" s="40">
        <f t="shared" ca="1" si="75"/>
        <v>27154404.400000002</v>
      </c>
      <c r="EO9" s="40">
        <f t="shared" ca="1" si="75"/>
        <v>27154404.400000002</v>
      </c>
      <c r="EP9" s="40">
        <f t="shared" ca="1" si="75"/>
        <v>27154404.400000002</v>
      </c>
      <c r="EQ9" s="40">
        <f t="shared" ca="1" si="75"/>
        <v>27154404.400000002</v>
      </c>
      <c r="ER9" s="40">
        <f t="shared" ca="1" si="75"/>
        <v>27154404.400000002</v>
      </c>
      <c r="ES9" s="40">
        <f t="shared" ca="1" si="75"/>
        <v>27154404.400000002</v>
      </c>
      <c r="ET9" s="40">
        <f t="shared" ca="1" si="75"/>
        <v>27154404.400000002</v>
      </c>
      <c r="EU9" s="40">
        <f t="shared" ca="1" si="75"/>
        <v>27154404.400000002</v>
      </c>
      <c r="EV9" s="40">
        <f t="shared" ca="1" si="75"/>
        <v>27154404.400000002</v>
      </c>
      <c r="EW9" s="40">
        <f t="shared" ca="1" si="75"/>
        <v>27154404.400000002</v>
      </c>
      <c r="EX9" s="40">
        <f t="shared" ca="1" si="75"/>
        <v>27154404.400000002</v>
      </c>
      <c r="EY9" s="40">
        <f t="shared" ca="1" si="75"/>
        <v>27154404.400000002</v>
      </c>
      <c r="EZ9" s="40">
        <f t="shared" ca="1" si="75"/>
        <v>27154404.400000002</v>
      </c>
      <c r="FA9" s="40">
        <f t="shared" ca="1" si="75"/>
        <v>27154404.400000002</v>
      </c>
      <c r="FB9" s="40">
        <f t="shared" ca="1" si="75"/>
        <v>27154404.400000002</v>
      </c>
      <c r="FC9" s="40">
        <f t="shared" ca="1" si="75"/>
        <v>27154404.400000002</v>
      </c>
      <c r="FD9" s="40">
        <f t="shared" ca="1" si="75"/>
        <v>27154404.400000002</v>
      </c>
      <c r="FE9" s="40">
        <f t="shared" ca="1" si="75"/>
        <v>27154404.400000002</v>
      </c>
      <c r="FF9" s="40">
        <f t="shared" ca="1" si="75"/>
        <v>27154404.400000002</v>
      </c>
      <c r="FG9" s="40">
        <f t="shared" ca="1" si="75"/>
        <v>27154404.400000002</v>
      </c>
      <c r="FH9" s="40">
        <f t="shared" ca="1" si="75"/>
        <v>27154404.400000002</v>
      </c>
      <c r="FI9" s="40">
        <f t="shared" ca="1" si="75"/>
        <v>27154404.400000002</v>
      </c>
      <c r="FJ9" s="40">
        <f t="shared" ca="1" si="75"/>
        <v>27154404.400000002</v>
      </c>
      <c r="FK9" s="40">
        <f t="shared" ca="1" si="75"/>
        <v>27154404.400000002</v>
      </c>
      <c r="FL9" s="40">
        <f t="shared" ca="1" si="75"/>
        <v>27154404.400000002</v>
      </c>
      <c r="FM9" s="40">
        <f t="shared" ca="1" si="75"/>
        <v>27154404.400000002</v>
      </c>
      <c r="FN9" s="40">
        <f t="shared" ca="1" si="75"/>
        <v>27154404.400000002</v>
      </c>
      <c r="FO9" s="40">
        <f t="shared" ca="1" si="75"/>
        <v>27154404.400000002</v>
      </c>
      <c r="FP9" s="40">
        <f t="shared" ca="1" si="75"/>
        <v>27154404.400000002</v>
      </c>
      <c r="FQ9" s="40">
        <f t="shared" ca="1" si="75"/>
        <v>27154404.400000002</v>
      </c>
      <c r="FR9" s="40">
        <f t="shared" ca="1" si="75"/>
        <v>27154404.400000002</v>
      </c>
      <c r="FS9" s="40">
        <f t="shared" ca="1" si="75"/>
        <v>27154404.400000002</v>
      </c>
      <c r="FT9" s="40">
        <f t="shared" ca="1" si="75"/>
        <v>27154404.400000002</v>
      </c>
      <c r="FU9" s="40">
        <f t="shared" ca="1" si="75"/>
        <v>27154404.400000002</v>
      </c>
      <c r="FV9" s="40">
        <f t="shared" ca="1" si="75"/>
        <v>27154404.400000002</v>
      </c>
      <c r="FW9" s="40">
        <f t="shared" ca="1" si="75"/>
        <v>27154404.400000002</v>
      </c>
      <c r="FX9" s="40">
        <f t="shared" ca="1" si="75"/>
        <v>27154404.400000002</v>
      </c>
      <c r="FY9" s="40">
        <f t="shared" ca="1" si="75"/>
        <v>27154404.400000002</v>
      </c>
      <c r="FZ9" s="40">
        <f t="shared" ca="1" si="75"/>
        <v>27154404.400000002</v>
      </c>
      <c r="GA9" s="40">
        <f t="shared" ca="1" si="75"/>
        <v>27154404.400000002</v>
      </c>
      <c r="GB9" s="40">
        <f t="shared" ca="1" si="75"/>
        <v>27154404.400000002</v>
      </c>
      <c r="GC9" s="40">
        <f t="shared" ca="1" si="75"/>
        <v>27154404.400000002</v>
      </c>
      <c r="GD9" s="40">
        <f t="shared" ca="1" si="75"/>
        <v>27154404.400000002</v>
      </c>
      <c r="GE9" s="40">
        <f t="shared" ca="1" si="75"/>
        <v>27154404.400000002</v>
      </c>
      <c r="GF9" s="40">
        <f t="shared" ca="1" si="75"/>
        <v>27154404.400000002</v>
      </c>
      <c r="GG9" s="40">
        <f t="shared" ca="1" si="75"/>
        <v>27154404.400000002</v>
      </c>
      <c r="GH9" s="40">
        <f t="shared" ca="1" si="75"/>
        <v>27154404.400000002</v>
      </c>
      <c r="GI9" s="40">
        <f t="shared" ca="1" si="75"/>
        <v>27154404.400000002</v>
      </c>
      <c r="GJ9" s="40">
        <f t="shared" ca="1" si="75"/>
        <v>27154404.400000002</v>
      </c>
      <c r="GK9" s="40">
        <f t="shared" ca="1" si="75"/>
        <v>27154404.400000002</v>
      </c>
      <c r="GL9" s="40">
        <f t="shared" ca="1" si="75"/>
        <v>27154404.400000002</v>
      </c>
      <c r="GM9" s="40">
        <f t="shared" ca="1" si="75"/>
        <v>27154404.400000002</v>
      </c>
      <c r="GN9" s="40">
        <f t="shared" ca="1" si="75"/>
        <v>27154404.400000002</v>
      </c>
      <c r="GO9" s="40">
        <f t="shared" ca="1" si="75"/>
        <v>27154404.400000002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6"/>
        <v>27154404.400000002</v>
      </c>
      <c r="GR9" s="40">
        <f t="shared" ca="1" si="76"/>
        <v>27154404.400000002</v>
      </c>
      <c r="GS9" s="40">
        <f t="shared" ca="1" si="76"/>
        <v>27154404.400000002</v>
      </c>
      <c r="GT9" s="40">
        <f t="shared" ca="1" si="76"/>
        <v>27154404.400000002</v>
      </c>
      <c r="GU9" s="40">
        <f t="shared" ca="1" si="76"/>
        <v>27154404.400000002</v>
      </c>
      <c r="GV9" s="40">
        <f t="shared" ca="1" si="76"/>
        <v>27154404.400000002</v>
      </c>
      <c r="GW9" s="40">
        <f t="shared" ca="1" si="76"/>
        <v>27154404.400000002</v>
      </c>
      <c r="GX9" s="40">
        <f t="shared" ca="1" si="76"/>
        <v>27154404.400000002</v>
      </c>
      <c r="GY9" s="40">
        <f t="shared" ca="1" si="76"/>
        <v>27154404.400000002</v>
      </c>
      <c r="GZ9" s="40">
        <f t="shared" ca="1" si="76"/>
        <v>27154404.400000002</v>
      </c>
      <c r="HA9" s="40">
        <f t="shared" ca="1" si="76"/>
        <v>27154404.400000002</v>
      </c>
      <c r="HB9" s="40">
        <f t="shared" ca="1" si="76"/>
        <v>27154404.400000002</v>
      </c>
      <c r="HC9" s="40">
        <f t="shared" ca="1" si="76"/>
        <v>27154404.400000002</v>
      </c>
      <c r="HD9" s="40">
        <f t="shared" ca="1" si="76"/>
        <v>27154404.400000002</v>
      </c>
      <c r="HE9" s="40">
        <f t="shared" ca="1" si="76"/>
        <v>27154404.400000002</v>
      </c>
      <c r="HF9" s="40">
        <f t="shared" ca="1" si="76"/>
        <v>27154404.400000002</v>
      </c>
      <c r="HG9" s="40">
        <f t="shared" ca="1" si="76"/>
        <v>27154404.400000002</v>
      </c>
      <c r="HH9" s="40">
        <f t="shared" ca="1" si="76"/>
        <v>27154404.400000002</v>
      </c>
      <c r="HI9" s="40">
        <f t="shared" ca="1" si="76"/>
        <v>27154404.400000002</v>
      </c>
      <c r="HJ9" s="40">
        <f t="shared" ca="1" si="76"/>
        <v>27154404.400000002</v>
      </c>
      <c r="HK9" s="40">
        <f t="shared" ca="1" si="76"/>
        <v>27154404.400000002</v>
      </c>
      <c r="HL9" s="40">
        <f t="shared" ca="1" si="76"/>
        <v>27154404.400000002</v>
      </c>
      <c r="HM9" s="40">
        <f t="shared" ca="1" si="76"/>
        <v>27154404.400000002</v>
      </c>
      <c r="HN9" s="40">
        <f t="shared" ca="1" si="76"/>
        <v>27154404.400000002</v>
      </c>
      <c r="HO9" s="40">
        <f t="shared" ca="1" si="76"/>
        <v>27154404.400000002</v>
      </c>
      <c r="HP9" s="40">
        <f t="shared" ca="1" si="76"/>
        <v>27154404.400000002</v>
      </c>
      <c r="HQ9" s="40">
        <f t="shared" ca="1" si="76"/>
        <v>27154404.400000002</v>
      </c>
      <c r="HR9" s="40">
        <f t="shared" ca="1" si="76"/>
        <v>27154404.400000002</v>
      </c>
      <c r="HS9" s="40">
        <f t="shared" ca="1" si="76"/>
        <v>27154404.400000002</v>
      </c>
      <c r="HT9" s="40">
        <f t="shared" ca="1" si="76"/>
        <v>27154404.400000002</v>
      </c>
      <c r="HU9" s="40">
        <f t="shared" ca="1" si="76"/>
        <v>27154404.400000002</v>
      </c>
      <c r="HV9" s="40">
        <f t="shared" ca="1" si="76"/>
        <v>27154404.400000002</v>
      </c>
      <c r="HW9" s="40">
        <f t="shared" ca="1" si="76"/>
        <v>27154404.400000002</v>
      </c>
      <c r="HX9" s="40">
        <f t="shared" ca="1" si="76"/>
        <v>27154404.400000002</v>
      </c>
      <c r="HY9" s="40">
        <f t="shared" ca="1" si="76"/>
        <v>27154404.400000002</v>
      </c>
      <c r="HZ9" s="40">
        <f t="shared" ca="1" si="76"/>
        <v>27154404.400000002</v>
      </c>
      <c r="IA9" s="40">
        <f t="shared" ca="1" si="76"/>
        <v>27154404.400000002</v>
      </c>
      <c r="IB9" s="40">
        <f t="shared" ca="1" si="76"/>
        <v>27154404.400000002</v>
      </c>
      <c r="IC9" s="40">
        <f t="shared" ca="1" si="76"/>
        <v>27154404.400000002</v>
      </c>
      <c r="ID9" s="40">
        <f t="shared" ca="1" si="76"/>
        <v>27154404.400000002</v>
      </c>
      <c r="IE9" s="40">
        <f t="shared" ca="1" si="76"/>
        <v>27154404.400000002</v>
      </c>
      <c r="IF9" s="40">
        <f t="shared" ca="1" si="76"/>
        <v>27154404.400000002</v>
      </c>
      <c r="IG9" s="40">
        <f t="shared" ca="1" si="76"/>
        <v>27154404.400000002</v>
      </c>
      <c r="IH9" s="40">
        <f t="shared" ca="1" si="76"/>
        <v>27154404.400000002</v>
      </c>
      <c r="II9" s="40">
        <f t="shared" ca="1" si="76"/>
        <v>27154404.400000002</v>
      </c>
      <c r="IJ9" s="40">
        <f t="shared" ca="1" si="76"/>
        <v>27154404.400000002</v>
      </c>
      <c r="IK9" s="40">
        <f t="shared" ca="1" si="76"/>
        <v>27154404.400000002</v>
      </c>
      <c r="IL9" s="40">
        <f t="shared" ca="1" si="76"/>
        <v>27154404.400000002</v>
      </c>
      <c r="IM9" s="40">
        <f t="shared" ca="1" si="76"/>
        <v>27154404.400000002</v>
      </c>
      <c r="IN9" s="40">
        <f t="shared" ca="1" si="76"/>
        <v>27154404.400000002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78"/>
        <v>274</v>
      </c>
      <c r="K10" s="40">
        <f t="shared" ca="1" si="78"/>
        <v>322</v>
      </c>
      <c r="L10" s="40">
        <f t="shared" ca="1" si="78"/>
        <v>384</v>
      </c>
      <c r="M10" s="40">
        <f t="shared" ca="1" si="78"/>
        <v>459</v>
      </c>
      <c r="N10" s="40">
        <f t="shared" ca="1" si="78"/>
        <v>588</v>
      </c>
      <c r="O10" s="40">
        <f t="shared" ca="1" si="78"/>
        <v>799</v>
      </c>
      <c r="P10" s="40">
        <f t="shared" ca="1" si="78"/>
        <v>1131</v>
      </c>
      <c r="Q10" s="40">
        <f t="shared" ca="1" si="78"/>
        <v>1328</v>
      </c>
      <c r="R10" s="40">
        <f t="shared" ca="1" si="78"/>
        <v>1271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2245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18424</v>
      </c>
      <c r="AG10" s="40">
        <f t="shared" ca="1" si="78"/>
        <v>20266.400000000001</v>
      </c>
      <c r="AH10" s="40">
        <f t="shared" ca="1" si="78"/>
        <v>22293.040000000005</v>
      </c>
      <c r="AI10" s="40">
        <f t="shared" ca="1" si="78"/>
        <v>24522.344000000008</v>
      </c>
      <c r="AJ10" s="40">
        <f t="shared" ca="1" si="78"/>
        <v>26974.578400000009</v>
      </c>
      <c r="AK10" s="40">
        <f t="shared" ca="1" si="78"/>
        <v>29672.036240000012</v>
      </c>
      <c r="AL10" s="40">
        <f t="shared" ca="1" si="78"/>
        <v>32639.239864000017</v>
      </c>
      <c r="AM10" s="40">
        <f t="shared" ca="1" si="78"/>
        <v>35903.163850400022</v>
      </c>
      <c r="AN10" s="40">
        <f t="shared" ca="1" si="78"/>
        <v>39493.480235440031</v>
      </c>
      <c r="AO10" s="40">
        <f t="shared" ca="1" si="78"/>
        <v>43442.828258984038</v>
      </c>
      <c r="AP10" s="40">
        <f t="shared" ca="1" si="78"/>
        <v>47787.111084882446</v>
      </c>
      <c r="AQ10" s="40">
        <f t="shared" ca="1" si="78"/>
        <v>52565.822193370695</v>
      </c>
      <c r="AR10" s="40">
        <f t="shared" ca="1" si="78"/>
        <v>57822.404412707772</v>
      </c>
      <c r="AS10" s="40">
        <f t="shared" ca="1" si="78"/>
        <v>63604.644853978556</v>
      </c>
      <c r="AT10" s="40">
        <f t="shared" ca="1" si="78"/>
        <v>69965.109339376417</v>
      </c>
      <c r="AU10" s="40">
        <f t="shared" ca="1" si="78"/>
        <v>76961.620273314067</v>
      </c>
      <c r="AV10" s="40">
        <f t="shared" ca="1" si="78"/>
        <v>84657.782300645486</v>
      </c>
      <c r="AW10" s="40">
        <f t="shared" ca="1" si="78"/>
        <v>93123.560530710049</v>
      </c>
      <c r="AX10" s="40">
        <f t="shared" ca="1" si="78"/>
        <v>102435.91658378106</v>
      </c>
      <c r="AY10" s="40">
        <f t="shared" ca="1" si="78"/>
        <v>112679.50824215918</v>
      </c>
      <c r="AZ10" s="40">
        <f t="shared" ca="1" si="78"/>
        <v>123947.4590663751</v>
      </c>
      <c r="BA10" s="40">
        <f t="shared" ca="1" si="78"/>
        <v>136342.20497301262</v>
      </c>
      <c r="BB10" s="40">
        <f t="shared" ca="1" si="78"/>
        <v>149976.4254703139</v>
      </c>
      <c r="BC10" s="40">
        <f t="shared" ca="1" si="78"/>
        <v>164974.0680173453</v>
      </c>
      <c r="BD10" s="40">
        <f t="shared" ca="1" si="78"/>
        <v>181471.47481907986</v>
      </c>
      <c r="BE10" s="40">
        <f t="shared" ca="1" si="78"/>
        <v>199618.62230098786</v>
      </c>
      <c r="BF10" s="40">
        <f t="shared" ca="1" si="78"/>
        <v>219580.48453108667</v>
      </c>
      <c r="BG10" s="40">
        <f t="shared" ca="1" si="78"/>
        <v>241538.53298419536</v>
      </c>
      <c r="BH10" s="40">
        <f t="shared" ca="1" si="78"/>
        <v>265692.3862826149</v>
      </c>
      <c r="BI10" s="40">
        <f t="shared" ca="1" si="78"/>
        <v>292261.62491087639</v>
      </c>
      <c r="BJ10" s="40">
        <f t="shared" ca="1" si="78"/>
        <v>321487.78740196407</v>
      </c>
      <c r="BK10" s="40">
        <f t="shared" ca="1" si="78"/>
        <v>353636.5661421605</v>
      </c>
      <c r="BL10" s="40">
        <f t="shared" ca="1" si="78"/>
        <v>389000.22275637661</v>
      </c>
      <c r="BM10" s="40">
        <f t="shared" ca="1" si="78"/>
        <v>427900.24503201433</v>
      </c>
      <c r="BN10" s="40">
        <f t="shared" ca="1" si="78"/>
        <v>470690.2695352158</v>
      </c>
      <c r="BO10" s="40">
        <f t="shared" ca="1" si="78"/>
        <v>517759.29648873745</v>
      </c>
      <c r="BP10" s="40">
        <f t="shared" ca="1" si="78"/>
        <v>569535.2261376112</v>
      </c>
      <c r="BQ10" s="40">
        <f t="shared" ca="1" si="78"/>
        <v>626488.74875137233</v>
      </c>
      <c r="BR10" s="40">
        <f t="shared" ca="1" si="78"/>
        <v>689137.62362650956</v>
      </c>
      <c r="BS10" s="40">
        <f t="shared" ca="1" si="78"/>
        <v>758051.38598916063</v>
      </c>
      <c r="BT10" s="40">
        <f t="shared" ca="1" si="78"/>
        <v>833856.52458807675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917242.17704688455</v>
      </c>
      <c r="BV10" s="40">
        <f t="shared" ca="1" si="79"/>
        <v>1008966.3947515731</v>
      </c>
      <c r="BW10" s="40">
        <f t="shared" ca="1" si="79"/>
        <v>1109863.0342267305</v>
      </c>
      <c r="BX10" s="40">
        <f t="shared" ca="1" si="79"/>
        <v>1220849.3376494036</v>
      </c>
      <c r="BY10" s="40">
        <f t="shared" ca="1" si="79"/>
        <v>1342934.271414344</v>
      </c>
      <c r="BZ10" s="40">
        <f t="shared" ca="1" si="79"/>
        <v>1477227.6985557785</v>
      </c>
      <c r="CA10" s="40">
        <f t="shared" ca="1" si="79"/>
        <v>1624950.4684113564</v>
      </c>
      <c r="CB10" s="40">
        <f t="shared" ca="1" si="79"/>
        <v>1787445.5152524922</v>
      </c>
      <c r="CC10" s="40">
        <f t="shared" ca="1" si="79"/>
        <v>1966190.0667777415</v>
      </c>
      <c r="CD10" s="40">
        <f t="shared" ca="1" si="79"/>
        <v>2162809.0734555158</v>
      </c>
      <c r="CE10" s="40">
        <f t="shared" ca="1" si="79"/>
        <v>2379089.9808010678</v>
      </c>
      <c r="CF10" s="40">
        <f t="shared" ca="1" si="79"/>
        <v>2616998.9788811747</v>
      </c>
      <c r="CG10" s="40">
        <f t="shared" ca="1" si="79"/>
        <v>2878698.8767692922</v>
      </c>
      <c r="CH10" s="40">
        <f t="shared" ca="1" si="79"/>
        <v>3166568.7644462218</v>
      </c>
      <c r="CI10" s="40">
        <f t="shared" ca="1" si="79"/>
        <v>3483225.6408908442</v>
      </c>
      <c r="CJ10" s="40">
        <f t="shared" ca="1" si="79"/>
        <v>3831548.2049799287</v>
      </c>
      <c r="CK10" s="40">
        <f t="shared" ca="1" si="79"/>
        <v>4214703.0254779216</v>
      </c>
      <c r="CL10" s="40">
        <f t="shared" ca="1" si="79"/>
        <v>4636173.3280257145</v>
      </c>
      <c r="CM10" s="40">
        <f t="shared" ca="1" si="79"/>
        <v>5099790.6608282868</v>
      </c>
      <c r="CN10" s="40">
        <f t="shared" ca="1" si="79"/>
        <v>5609769.7269111155</v>
      </c>
      <c r="CO10" s="40">
        <f t="shared" ca="1" si="79"/>
        <v>6170746.6996022277</v>
      </c>
      <c r="CP10" s="40">
        <f t="shared" ca="1" si="79"/>
        <v>6787821.3695624508</v>
      </c>
      <c r="CQ10" s="40">
        <f t="shared" ca="1" si="79"/>
        <v>7466603.5065186964</v>
      </c>
      <c r="CR10" s="40">
        <f t="shared" ca="1" si="79"/>
        <v>8213263.8571705669</v>
      </c>
      <c r="CS10" s="40">
        <f t="shared" ca="1" si="79"/>
        <v>9034590.2428876236</v>
      </c>
      <c r="CT10" s="40">
        <f t="shared" ca="1" si="79"/>
        <v>9938049.267176386</v>
      </c>
      <c r="CU10" s="40">
        <f t="shared" ca="1" si="79"/>
        <v>10931854.193894025</v>
      </c>
      <c r="CV10" s="40">
        <f t="shared" ca="1" si="79"/>
        <v>12025039.613283429</v>
      </c>
      <c r="CW10" s="40">
        <f t="shared" ca="1" si="79"/>
        <v>13227543.574611774</v>
      </c>
      <c r="CX10" s="40">
        <f t="shared" ca="1" si="79"/>
        <v>14550297.932072952</v>
      </c>
      <c r="CY10" s="40">
        <f t="shared" ca="1" si="79"/>
        <v>16005327.725280249</v>
      </c>
      <c r="CZ10" s="40">
        <f t="shared" ca="1" si="79"/>
        <v>17605860.497808278</v>
      </c>
      <c r="DA10" s="40">
        <f t="shared" ca="1" si="79"/>
        <v>19366446.547589108</v>
      </c>
      <c r="DB10" s="40">
        <f t="shared" ca="1" si="79"/>
        <v>21303091.20234802</v>
      </c>
      <c r="DC10" s="40">
        <f t="shared" ca="1" si="79"/>
        <v>23433400.322582822</v>
      </c>
      <c r="DD10" s="40">
        <f t="shared" ca="1" si="79"/>
        <v>25776740.354841106</v>
      </c>
      <c r="DE10" s="40">
        <f t="shared" ca="1" si="79"/>
        <v>27154404.400000002</v>
      </c>
      <c r="DF10" s="40">
        <f t="shared" ca="1" si="79"/>
        <v>27154404.400000002</v>
      </c>
      <c r="DG10" s="40">
        <f t="shared" ca="1" si="79"/>
        <v>27154404.400000002</v>
      </c>
      <c r="DH10" s="40">
        <f t="shared" ca="1" si="79"/>
        <v>27154404.400000002</v>
      </c>
      <c r="DI10" s="40">
        <f t="shared" ca="1" si="79"/>
        <v>27154404.400000002</v>
      </c>
      <c r="DJ10" s="40">
        <f t="shared" ca="1" si="79"/>
        <v>27154404.400000002</v>
      </c>
      <c r="DK10" s="40">
        <f t="shared" ca="1" si="79"/>
        <v>27154404.400000002</v>
      </c>
      <c r="DL10" s="40">
        <f t="shared" ca="1" si="79"/>
        <v>27154404.400000002</v>
      </c>
      <c r="DM10" s="40">
        <f t="shared" ca="1" si="79"/>
        <v>27154404.400000002</v>
      </c>
      <c r="DN10" s="40">
        <f t="shared" ca="1" si="79"/>
        <v>27154404.400000002</v>
      </c>
      <c r="DO10" s="40">
        <f t="shared" ca="1" si="79"/>
        <v>27154404.400000002</v>
      </c>
      <c r="DP10" s="40">
        <f t="shared" ca="1" si="79"/>
        <v>27154404.400000002</v>
      </c>
      <c r="DQ10" s="40">
        <f t="shared" ca="1" si="79"/>
        <v>27154404.400000002</v>
      </c>
      <c r="DR10" s="40">
        <f t="shared" ca="1" si="79"/>
        <v>27154404.400000002</v>
      </c>
      <c r="DS10" s="40">
        <f t="shared" ca="1" si="79"/>
        <v>27154404.400000002</v>
      </c>
      <c r="DT10" s="40">
        <f t="shared" ca="1" si="79"/>
        <v>27154404.400000002</v>
      </c>
      <c r="DU10" s="40">
        <f t="shared" ca="1" si="79"/>
        <v>27154404.400000002</v>
      </c>
      <c r="DV10" s="40">
        <f t="shared" ca="1" si="79"/>
        <v>27154404.400000002</v>
      </c>
      <c r="DW10" s="40">
        <f t="shared" ca="1" si="79"/>
        <v>27154404.400000002</v>
      </c>
      <c r="DX10" s="40">
        <f t="shared" ca="1" si="79"/>
        <v>27154404.400000002</v>
      </c>
      <c r="DY10" s="40">
        <f t="shared" ca="1" si="79"/>
        <v>27154404.400000002</v>
      </c>
      <c r="DZ10" s="40">
        <f t="shared" ca="1" si="79"/>
        <v>27154404.400000002</v>
      </c>
      <c r="EA10" s="40">
        <f t="shared" ca="1" si="79"/>
        <v>27154404.400000002</v>
      </c>
      <c r="EB10" s="40">
        <f t="shared" ca="1" si="79"/>
        <v>27154404.400000002</v>
      </c>
      <c r="EC10" s="40">
        <f t="shared" ca="1" si="79"/>
        <v>27154404.400000002</v>
      </c>
      <c r="ED10" s="40">
        <f t="shared" ca="1" si="79"/>
        <v>27154404.400000002</v>
      </c>
      <c r="EE10" s="40">
        <f t="shared" ca="1" si="79"/>
        <v>27154404.400000002</v>
      </c>
      <c r="EF10" s="40">
        <f t="shared" ca="1" si="79"/>
        <v>27154404.400000002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0"/>
        <v>27154404.400000002</v>
      </c>
      <c r="EI10" s="40">
        <f t="shared" ca="1" si="80"/>
        <v>27154404.400000002</v>
      </c>
      <c r="EJ10" s="40">
        <f t="shared" ca="1" si="80"/>
        <v>27154404.400000002</v>
      </c>
      <c r="EK10" s="40">
        <f t="shared" ca="1" si="80"/>
        <v>27154404.400000002</v>
      </c>
      <c r="EL10" s="40">
        <f t="shared" ca="1" si="80"/>
        <v>27154404.400000002</v>
      </c>
      <c r="EM10" s="40">
        <f t="shared" ca="1" si="80"/>
        <v>27154404.400000002</v>
      </c>
      <c r="EN10" s="40">
        <f t="shared" ca="1" si="80"/>
        <v>27154404.400000002</v>
      </c>
      <c r="EO10" s="40">
        <f t="shared" ca="1" si="80"/>
        <v>27154404.400000002</v>
      </c>
      <c r="EP10" s="40">
        <f t="shared" ca="1" si="80"/>
        <v>27154404.400000002</v>
      </c>
      <c r="EQ10" s="40">
        <f t="shared" ca="1" si="80"/>
        <v>27154404.400000002</v>
      </c>
      <c r="ER10" s="40">
        <f t="shared" ca="1" si="80"/>
        <v>27154404.400000002</v>
      </c>
      <c r="ES10" s="40">
        <f t="shared" ca="1" si="80"/>
        <v>27154404.400000002</v>
      </c>
      <c r="ET10" s="40">
        <f t="shared" ca="1" si="80"/>
        <v>27154404.400000002</v>
      </c>
      <c r="EU10" s="40">
        <f t="shared" ca="1" si="80"/>
        <v>27154404.400000002</v>
      </c>
      <c r="EV10" s="40">
        <f t="shared" ca="1" si="80"/>
        <v>27154404.400000002</v>
      </c>
      <c r="EW10" s="40">
        <f t="shared" ca="1" si="80"/>
        <v>27154404.400000002</v>
      </c>
      <c r="EX10" s="40">
        <f t="shared" ca="1" si="80"/>
        <v>27154404.400000002</v>
      </c>
      <c r="EY10" s="40">
        <f t="shared" ca="1" si="80"/>
        <v>27154404.400000002</v>
      </c>
      <c r="EZ10" s="40">
        <f t="shared" ca="1" si="80"/>
        <v>27154404.400000002</v>
      </c>
      <c r="FA10" s="40">
        <f t="shared" ca="1" si="80"/>
        <v>27154404.400000002</v>
      </c>
      <c r="FB10" s="40">
        <f t="shared" ca="1" si="80"/>
        <v>27154404.400000002</v>
      </c>
      <c r="FC10" s="40">
        <f t="shared" ca="1" si="80"/>
        <v>27154404.400000002</v>
      </c>
      <c r="FD10" s="40">
        <f t="shared" ca="1" si="80"/>
        <v>27154404.400000002</v>
      </c>
      <c r="FE10" s="40">
        <f t="shared" ca="1" si="80"/>
        <v>27154404.400000002</v>
      </c>
      <c r="FF10" s="40">
        <f t="shared" ca="1" si="80"/>
        <v>27154404.400000002</v>
      </c>
      <c r="FG10" s="40">
        <f t="shared" ca="1" si="80"/>
        <v>27154404.400000002</v>
      </c>
      <c r="FH10" s="40">
        <f t="shared" ca="1" si="80"/>
        <v>27154404.400000002</v>
      </c>
      <c r="FI10" s="40">
        <f t="shared" ca="1" si="80"/>
        <v>27154404.400000002</v>
      </c>
      <c r="FJ10" s="40">
        <f t="shared" ca="1" si="80"/>
        <v>27154404.400000002</v>
      </c>
      <c r="FK10" s="40">
        <f t="shared" ca="1" si="80"/>
        <v>27154404.400000002</v>
      </c>
      <c r="FL10" s="40">
        <f t="shared" ca="1" si="80"/>
        <v>27154404.400000002</v>
      </c>
      <c r="FM10" s="40">
        <f t="shared" ca="1" si="80"/>
        <v>27154404.400000002</v>
      </c>
      <c r="FN10" s="40">
        <f t="shared" ca="1" si="80"/>
        <v>27154404.400000002</v>
      </c>
      <c r="FO10" s="40">
        <f t="shared" ca="1" si="80"/>
        <v>27154404.400000002</v>
      </c>
      <c r="FP10" s="40">
        <f t="shared" ca="1" si="80"/>
        <v>27154404.400000002</v>
      </c>
      <c r="FQ10" s="40">
        <f t="shared" ca="1" si="80"/>
        <v>27154404.400000002</v>
      </c>
      <c r="FR10" s="40">
        <f t="shared" ca="1" si="80"/>
        <v>27154404.400000002</v>
      </c>
      <c r="FS10" s="40">
        <f t="shared" ca="1" si="80"/>
        <v>27154404.400000002</v>
      </c>
      <c r="FT10" s="40">
        <f t="shared" ca="1" si="80"/>
        <v>27154404.400000002</v>
      </c>
      <c r="FU10" s="40">
        <f t="shared" ca="1" si="80"/>
        <v>27154404.400000002</v>
      </c>
      <c r="FV10" s="40">
        <f t="shared" ca="1" si="80"/>
        <v>27154404.400000002</v>
      </c>
      <c r="FW10" s="40">
        <f t="shared" ca="1" si="80"/>
        <v>27154404.400000002</v>
      </c>
      <c r="FX10" s="40">
        <f t="shared" ca="1" si="80"/>
        <v>27154404.400000002</v>
      </c>
      <c r="FY10" s="40">
        <f t="shared" ca="1" si="80"/>
        <v>27154404.400000002</v>
      </c>
      <c r="FZ10" s="40">
        <f t="shared" ca="1" si="80"/>
        <v>27154404.400000002</v>
      </c>
      <c r="GA10" s="40">
        <f t="shared" ca="1" si="80"/>
        <v>27154404.400000002</v>
      </c>
      <c r="GB10" s="40">
        <f t="shared" ca="1" si="80"/>
        <v>27154404.400000002</v>
      </c>
      <c r="GC10" s="40">
        <f t="shared" ca="1" si="80"/>
        <v>27154404.400000002</v>
      </c>
      <c r="GD10" s="40">
        <f t="shared" ca="1" si="80"/>
        <v>27154404.400000002</v>
      </c>
      <c r="GE10" s="40">
        <f t="shared" ca="1" si="80"/>
        <v>27154404.400000002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526</v>
      </c>
      <c r="C11" s="53">
        <f ca="1">HLOOKUP($C$5-1,G4:IN16,13,FALSE)</f>
        <v>0.18900617426596375</v>
      </c>
      <c r="E11" s="19"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4"/>
        <v>274</v>
      </c>
      <c r="K11" s="40">
        <f t="shared" ca="1" si="84"/>
        <v>322</v>
      </c>
      <c r="L11" s="40">
        <f t="shared" ca="1" si="84"/>
        <v>384</v>
      </c>
      <c r="M11" s="40">
        <f t="shared" ca="1" si="84"/>
        <v>459</v>
      </c>
      <c r="N11" s="40">
        <f t="shared" ca="1" si="84"/>
        <v>588</v>
      </c>
      <c r="O11" s="40">
        <f t="shared" ca="1" si="84"/>
        <v>799</v>
      </c>
      <c r="P11" s="40">
        <f t="shared" ca="1" si="84"/>
        <v>1131</v>
      </c>
      <c r="Q11" s="40">
        <f t="shared" ca="1" si="84"/>
        <v>1328</v>
      </c>
      <c r="R11" s="40">
        <f t="shared" ca="1" si="84"/>
        <v>1271</v>
      </c>
      <c r="S11" s="40">
        <f t="shared" ca="1" si="84"/>
        <v>1685</v>
      </c>
      <c r="T11" s="40">
        <f t="shared" ca="1" si="84"/>
        <v>2296</v>
      </c>
      <c r="U11" s="40">
        <f t="shared" ca="1" si="84"/>
        <v>2245</v>
      </c>
      <c r="V11" s="40">
        <f t="shared" ca="1" si="84"/>
        <v>3474</v>
      </c>
      <c r="W11" s="40">
        <f t="shared" ca="1" si="84"/>
        <v>4395</v>
      </c>
      <c r="X11" s="40">
        <f t="shared" ca="1" si="84"/>
        <v>4937</v>
      </c>
      <c r="Y11" s="40">
        <f t="shared" ca="1" si="84"/>
        <v>5681</v>
      </c>
      <c r="Z11" s="40">
        <f t="shared" ca="1" si="84"/>
        <v>6739</v>
      </c>
      <c r="AA11" s="40">
        <f t="shared" ca="1" si="84"/>
        <v>7719</v>
      </c>
      <c r="AB11" s="40">
        <f t="shared" ca="1" si="84"/>
        <v>9715</v>
      </c>
      <c r="AC11" s="40">
        <f t="shared" ca="1" si="84"/>
        <v>12314</v>
      </c>
      <c r="AD11" s="40">
        <f t="shared" ca="1" si="84"/>
        <v>14008</v>
      </c>
      <c r="AE11" s="40">
        <f t="shared" ca="1" si="84"/>
        <v>15362</v>
      </c>
      <c r="AF11" s="40">
        <f t="shared" ca="1" si="84"/>
        <v>18424</v>
      </c>
      <c r="AG11" s="40">
        <f t="shared" ca="1" si="84"/>
        <v>23030</v>
      </c>
      <c r="AH11" s="40">
        <f t="shared" ca="1" si="84"/>
        <v>28787.5</v>
      </c>
      <c r="AI11" s="40">
        <f t="shared" ca="1" si="84"/>
        <v>35984.375</v>
      </c>
      <c r="AJ11" s="40">
        <f t="shared" ca="1" si="84"/>
        <v>44980.46875</v>
      </c>
      <c r="AK11" s="40">
        <f t="shared" ca="1" si="84"/>
        <v>56225.5859375</v>
      </c>
      <c r="AL11" s="40">
        <f t="shared" ca="1" si="84"/>
        <v>70281.982421875</v>
      </c>
      <c r="AM11" s="40">
        <f t="shared" ca="1" si="84"/>
        <v>87852.47802734375</v>
      </c>
      <c r="AN11" s="40">
        <f t="shared" ca="1" si="84"/>
        <v>109815.59753417969</v>
      </c>
      <c r="AO11" s="40">
        <f t="shared" ca="1" si="84"/>
        <v>137269.49691772461</v>
      </c>
      <c r="AP11" s="40">
        <f t="shared" ca="1" si="84"/>
        <v>171586.87114715576</v>
      </c>
      <c r="AQ11" s="40">
        <f t="shared" ca="1" si="84"/>
        <v>214483.5889339447</v>
      </c>
      <c r="AR11" s="40">
        <f t="shared" ca="1" si="84"/>
        <v>268104.48616743088</v>
      </c>
      <c r="AS11" s="40">
        <f t="shared" ca="1" si="84"/>
        <v>335130.6077092886</v>
      </c>
      <c r="AT11" s="40">
        <f t="shared" ca="1" si="84"/>
        <v>418913.25963661075</v>
      </c>
      <c r="AU11" s="40">
        <f t="shared" ca="1" si="84"/>
        <v>523641.57454576343</v>
      </c>
      <c r="AV11" s="40">
        <f t="shared" ca="1" si="84"/>
        <v>654551.96818220429</v>
      </c>
      <c r="AW11" s="40">
        <f t="shared" ca="1" si="84"/>
        <v>818189.96022775536</v>
      </c>
      <c r="AX11" s="40">
        <f t="shared" ca="1" si="84"/>
        <v>1022737.4502846942</v>
      </c>
      <c r="AY11" s="40">
        <f t="shared" ca="1" si="84"/>
        <v>1278421.8128558677</v>
      </c>
      <c r="AZ11" s="40">
        <f t="shared" ca="1" si="84"/>
        <v>1598027.2660698346</v>
      </c>
      <c r="BA11" s="40">
        <f t="shared" ca="1" si="84"/>
        <v>1997534.0825872933</v>
      </c>
      <c r="BB11" s="40">
        <f t="shared" ca="1" si="84"/>
        <v>2496917.6032341169</v>
      </c>
      <c r="BC11" s="40">
        <f t="shared" ca="1" si="84"/>
        <v>3121147.0040426459</v>
      </c>
      <c r="BD11" s="40">
        <f t="shared" ca="1" si="84"/>
        <v>3901433.7550533074</v>
      </c>
      <c r="BE11" s="40">
        <f t="shared" ca="1" si="84"/>
        <v>4876792.1938166339</v>
      </c>
      <c r="BF11" s="40">
        <f t="shared" ca="1" si="84"/>
        <v>6095990.2422707919</v>
      </c>
      <c r="BG11" s="40">
        <f t="shared" ca="1" si="84"/>
        <v>7619987.8028384894</v>
      </c>
      <c r="BH11" s="40">
        <f t="shared" ca="1" si="84"/>
        <v>9524984.7535481118</v>
      </c>
      <c r="BI11" s="40">
        <f t="shared" ca="1" si="84"/>
        <v>11906230.941935141</v>
      </c>
      <c r="BJ11" s="40">
        <f t="shared" ca="1" si="84"/>
        <v>14882788.677418925</v>
      </c>
      <c r="BK11" s="40">
        <f t="shared" ca="1" si="84"/>
        <v>18603485.846773654</v>
      </c>
      <c r="BL11" s="40">
        <f t="shared" ca="1" si="84"/>
        <v>23254357.308467068</v>
      </c>
      <c r="BM11" s="40">
        <f t="shared" ca="1" si="84"/>
        <v>27154404.400000002</v>
      </c>
      <c r="BN11" s="40">
        <f t="shared" ca="1" si="84"/>
        <v>27154404.400000002</v>
      </c>
      <c r="BO11" s="40">
        <f t="shared" ca="1" si="84"/>
        <v>27154404.400000002</v>
      </c>
      <c r="BP11" s="40">
        <f t="shared" ca="1" si="84"/>
        <v>27154404.400000002</v>
      </c>
      <c r="BQ11" s="40">
        <f t="shared" ca="1" si="84"/>
        <v>27154404.400000002</v>
      </c>
      <c r="BR11" s="40">
        <f t="shared" ca="1" si="84"/>
        <v>27154404.400000002</v>
      </c>
      <c r="BS11" s="40">
        <f t="shared" ca="1" si="84"/>
        <v>27154404.400000002</v>
      </c>
      <c r="BT11" s="40">
        <f t="shared" ca="1" si="84"/>
        <v>27154404.400000002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5"/>
        <v>27154404.400000002</v>
      </c>
      <c r="BW11" s="40">
        <f t="shared" ca="1" si="85"/>
        <v>27154404.400000002</v>
      </c>
      <c r="BX11" s="40">
        <f t="shared" ca="1" si="85"/>
        <v>27154404.400000002</v>
      </c>
      <c r="BY11" s="40">
        <f t="shared" ca="1" si="85"/>
        <v>27154404.400000002</v>
      </c>
      <c r="BZ11" s="40">
        <f t="shared" ca="1" si="85"/>
        <v>27154404.400000002</v>
      </c>
      <c r="CA11" s="40">
        <f t="shared" ca="1" si="85"/>
        <v>27154404.400000002</v>
      </c>
      <c r="CB11" s="40">
        <f t="shared" ca="1" si="85"/>
        <v>27154404.400000002</v>
      </c>
      <c r="CC11" s="40">
        <f t="shared" ca="1" si="85"/>
        <v>27154404.400000002</v>
      </c>
      <c r="CD11" s="40">
        <f t="shared" ca="1" si="85"/>
        <v>27154404.400000002</v>
      </c>
      <c r="CE11" s="40">
        <f t="shared" ca="1" si="85"/>
        <v>27154404.400000002</v>
      </c>
      <c r="CF11" s="40">
        <f t="shared" ca="1" si="85"/>
        <v>27154404.400000002</v>
      </c>
      <c r="CG11" s="40">
        <f t="shared" ca="1" si="85"/>
        <v>27154404.400000002</v>
      </c>
      <c r="CH11" s="40">
        <f t="shared" ca="1" si="85"/>
        <v>27154404.400000002</v>
      </c>
      <c r="CI11" s="40">
        <f t="shared" ca="1" si="85"/>
        <v>27154404.400000002</v>
      </c>
      <c r="CJ11" s="40">
        <f t="shared" ca="1" si="85"/>
        <v>27154404.400000002</v>
      </c>
      <c r="CK11" s="40">
        <f t="shared" ca="1" si="85"/>
        <v>27154404.400000002</v>
      </c>
      <c r="CL11" s="40">
        <f t="shared" ca="1" si="85"/>
        <v>27154404.400000002</v>
      </c>
      <c r="CM11" s="40">
        <f t="shared" ca="1" si="85"/>
        <v>27154404.400000002</v>
      </c>
      <c r="CN11" s="40">
        <f t="shared" ca="1" si="85"/>
        <v>27154404.400000002</v>
      </c>
      <c r="CO11" s="40">
        <f t="shared" ca="1" si="85"/>
        <v>27154404.400000002</v>
      </c>
      <c r="CP11" s="40">
        <f t="shared" ca="1" si="85"/>
        <v>27154404.400000002</v>
      </c>
      <c r="CQ11" s="40">
        <f t="shared" ca="1" si="85"/>
        <v>27154404.400000002</v>
      </c>
      <c r="CR11" s="40">
        <f t="shared" ca="1" si="85"/>
        <v>27154404.400000002</v>
      </c>
      <c r="CS11" s="40">
        <f t="shared" ca="1" si="85"/>
        <v>27154404.400000002</v>
      </c>
      <c r="CT11" s="40">
        <f t="shared" ca="1" si="85"/>
        <v>27154404.400000002</v>
      </c>
      <c r="CU11" s="40">
        <f t="shared" ca="1" si="85"/>
        <v>27154404.400000002</v>
      </c>
      <c r="CV11" s="40">
        <f t="shared" ca="1" si="85"/>
        <v>27154404.400000002</v>
      </c>
      <c r="CW11" s="40">
        <f t="shared" ca="1" si="85"/>
        <v>27154404.400000002</v>
      </c>
      <c r="CX11" s="40">
        <f t="shared" ca="1" si="85"/>
        <v>27154404.400000002</v>
      </c>
      <c r="CY11" s="40">
        <f t="shared" ca="1" si="85"/>
        <v>27154404.400000002</v>
      </c>
      <c r="CZ11" s="40">
        <f t="shared" ca="1" si="85"/>
        <v>27154404.400000002</v>
      </c>
      <c r="DA11" s="40">
        <f t="shared" ca="1" si="85"/>
        <v>27154404.400000002</v>
      </c>
      <c r="DB11" s="40">
        <f t="shared" ca="1" si="85"/>
        <v>27154404.400000002</v>
      </c>
      <c r="DC11" s="40">
        <f t="shared" ca="1" si="85"/>
        <v>27154404.400000002</v>
      </c>
      <c r="DD11" s="40">
        <f t="shared" ca="1" si="85"/>
        <v>27154404.400000002</v>
      </c>
      <c r="DE11" s="40">
        <f t="shared" ca="1" si="85"/>
        <v>27154404.400000002</v>
      </c>
      <c r="DF11" s="40">
        <f t="shared" ca="1" si="85"/>
        <v>27154404.400000002</v>
      </c>
      <c r="DG11" s="40">
        <f t="shared" ca="1" si="85"/>
        <v>27154404.400000002</v>
      </c>
      <c r="DH11" s="40">
        <f t="shared" ca="1" si="85"/>
        <v>27154404.400000002</v>
      </c>
      <c r="DI11" s="40">
        <f t="shared" ca="1" si="85"/>
        <v>27154404.400000002</v>
      </c>
      <c r="DJ11" s="40">
        <f t="shared" ca="1" si="85"/>
        <v>27154404.400000002</v>
      </c>
      <c r="DK11" s="40">
        <f t="shared" ca="1" si="85"/>
        <v>27154404.400000002</v>
      </c>
      <c r="DL11" s="40">
        <f t="shared" ca="1" si="85"/>
        <v>27154404.400000002</v>
      </c>
      <c r="DM11" s="40">
        <f t="shared" ca="1" si="85"/>
        <v>27154404.400000002</v>
      </c>
      <c r="DN11" s="40">
        <f t="shared" ca="1" si="85"/>
        <v>27154404.400000002</v>
      </c>
      <c r="DO11" s="40">
        <f t="shared" ca="1" si="85"/>
        <v>27154404.400000002</v>
      </c>
      <c r="DP11" s="40">
        <f t="shared" ca="1" si="85"/>
        <v>27154404.400000002</v>
      </c>
      <c r="DQ11" s="40">
        <f t="shared" ca="1" si="85"/>
        <v>27154404.400000002</v>
      </c>
      <c r="DR11" s="40">
        <f t="shared" ca="1" si="85"/>
        <v>27154404.400000002</v>
      </c>
      <c r="DS11" s="40">
        <f t="shared" ca="1" si="85"/>
        <v>27154404.400000002</v>
      </c>
      <c r="DT11" s="40">
        <f t="shared" ca="1" si="85"/>
        <v>27154404.400000002</v>
      </c>
      <c r="DU11" s="40">
        <f t="shared" ca="1" si="85"/>
        <v>27154404.400000002</v>
      </c>
      <c r="DV11" s="40">
        <f t="shared" ca="1" si="85"/>
        <v>27154404.400000002</v>
      </c>
      <c r="DW11" s="40">
        <f t="shared" ca="1" si="85"/>
        <v>27154404.400000002</v>
      </c>
      <c r="DX11" s="40">
        <f t="shared" ca="1" si="85"/>
        <v>27154404.400000002</v>
      </c>
      <c r="DY11" s="40">
        <f t="shared" ca="1" si="85"/>
        <v>27154404.400000002</v>
      </c>
      <c r="DZ11" s="40">
        <f t="shared" ca="1" si="85"/>
        <v>27154404.400000002</v>
      </c>
      <c r="EA11" s="40">
        <f t="shared" ca="1" si="85"/>
        <v>27154404.400000002</v>
      </c>
      <c r="EB11" s="40">
        <f t="shared" ca="1" si="85"/>
        <v>27154404.400000002</v>
      </c>
      <c r="EC11" s="40">
        <f t="shared" ca="1" si="85"/>
        <v>27154404.400000002</v>
      </c>
      <c r="ED11" s="40">
        <f t="shared" ca="1" si="85"/>
        <v>27154404.400000002</v>
      </c>
      <c r="EE11" s="40">
        <f t="shared" ca="1" si="85"/>
        <v>27154404.400000002</v>
      </c>
      <c r="EF11" s="40">
        <f t="shared" ca="1" si="85"/>
        <v>27154404.400000002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6"/>
        <v>27154404.400000002</v>
      </c>
      <c r="EI11" s="40">
        <f t="shared" ca="1" si="86"/>
        <v>27154404.400000002</v>
      </c>
      <c r="EJ11" s="40">
        <f t="shared" ca="1" si="86"/>
        <v>27154404.400000002</v>
      </c>
      <c r="EK11" s="40">
        <f t="shared" ca="1" si="86"/>
        <v>27154404.400000002</v>
      </c>
      <c r="EL11" s="40">
        <f t="shared" ca="1" si="86"/>
        <v>27154404.400000002</v>
      </c>
      <c r="EM11" s="40">
        <f t="shared" ca="1" si="86"/>
        <v>27154404.400000002</v>
      </c>
      <c r="EN11" s="40">
        <f t="shared" ca="1" si="86"/>
        <v>27154404.400000002</v>
      </c>
      <c r="EO11" s="40">
        <f t="shared" ca="1" si="86"/>
        <v>27154404.400000002</v>
      </c>
      <c r="EP11" s="40">
        <f t="shared" ca="1" si="86"/>
        <v>27154404.400000002</v>
      </c>
      <c r="EQ11" s="40">
        <f t="shared" ca="1" si="86"/>
        <v>27154404.400000002</v>
      </c>
      <c r="ER11" s="40">
        <f t="shared" ca="1" si="86"/>
        <v>27154404.400000002</v>
      </c>
      <c r="ES11" s="40">
        <f t="shared" ca="1" si="86"/>
        <v>27154404.400000002</v>
      </c>
      <c r="ET11" s="40">
        <f t="shared" ca="1" si="86"/>
        <v>27154404.400000002</v>
      </c>
      <c r="EU11" s="40">
        <f t="shared" ca="1" si="86"/>
        <v>27154404.400000002</v>
      </c>
      <c r="EV11" s="40">
        <f t="shared" ca="1" si="86"/>
        <v>27154404.400000002</v>
      </c>
      <c r="EW11" s="40">
        <f t="shared" ca="1" si="86"/>
        <v>27154404.400000002</v>
      </c>
      <c r="EX11" s="40">
        <f t="shared" ca="1" si="86"/>
        <v>27154404.400000002</v>
      </c>
      <c r="EY11" s="40">
        <f t="shared" ca="1" si="86"/>
        <v>27154404.400000002</v>
      </c>
      <c r="EZ11" s="40">
        <f t="shared" ca="1" si="86"/>
        <v>27154404.400000002</v>
      </c>
      <c r="FA11" s="40">
        <f t="shared" ca="1" si="86"/>
        <v>27154404.400000002</v>
      </c>
      <c r="FB11" s="40">
        <f t="shared" ca="1" si="86"/>
        <v>27154404.400000002</v>
      </c>
      <c r="FC11" s="40">
        <f t="shared" ca="1" si="86"/>
        <v>27154404.400000002</v>
      </c>
      <c r="FD11" s="40">
        <f t="shared" ca="1" si="86"/>
        <v>27154404.400000002</v>
      </c>
      <c r="FE11" s="40">
        <f t="shared" ca="1" si="86"/>
        <v>27154404.400000002</v>
      </c>
      <c r="FF11" s="40">
        <f t="shared" ca="1" si="86"/>
        <v>27154404.400000002</v>
      </c>
      <c r="FG11" s="40">
        <f t="shared" ca="1" si="86"/>
        <v>27154404.400000002</v>
      </c>
      <c r="FH11" s="40">
        <f t="shared" ca="1" si="86"/>
        <v>27154404.400000002</v>
      </c>
      <c r="FI11" s="40">
        <f t="shared" ca="1" si="86"/>
        <v>27154404.400000002</v>
      </c>
      <c r="FJ11" s="40">
        <f t="shared" ca="1" si="86"/>
        <v>27154404.400000002</v>
      </c>
      <c r="FK11" s="40">
        <f t="shared" ca="1" si="86"/>
        <v>27154404.400000002</v>
      </c>
      <c r="FL11" s="40">
        <f t="shared" ca="1" si="86"/>
        <v>27154404.400000002</v>
      </c>
      <c r="FM11" s="40">
        <f t="shared" ca="1" si="86"/>
        <v>27154404.400000002</v>
      </c>
      <c r="FN11" s="40">
        <f t="shared" ca="1" si="86"/>
        <v>27154404.400000002</v>
      </c>
      <c r="FO11" s="40">
        <f t="shared" ca="1" si="86"/>
        <v>27154404.400000002</v>
      </c>
      <c r="FP11" s="40">
        <f t="shared" ca="1" si="86"/>
        <v>27154404.400000002</v>
      </c>
      <c r="FQ11" s="40">
        <f t="shared" ca="1" si="86"/>
        <v>27154404.400000002</v>
      </c>
      <c r="FR11" s="40">
        <f t="shared" ca="1" si="86"/>
        <v>27154404.400000002</v>
      </c>
      <c r="FS11" s="40">
        <f t="shared" ca="1" si="86"/>
        <v>27154404.400000002</v>
      </c>
      <c r="FT11" s="40">
        <f t="shared" ca="1" si="86"/>
        <v>27154404.400000002</v>
      </c>
      <c r="FU11" s="40">
        <f t="shared" ca="1" si="86"/>
        <v>27154404.400000002</v>
      </c>
      <c r="FV11" s="40">
        <f t="shared" ca="1" si="86"/>
        <v>27154404.400000002</v>
      </c>
      <c r="FW11" s="40">
        <f t="shared" ca="1" si="86"/>
        <v>27154404.400000002</v>
      </c>
      <c r="FX11" s="40">
        <f t="shared" ca="1" si="86"/>
        <v>27154404.400000002</v>
      </c>
      <c r="FY11" s="40">
        <f t="shared" ca="1" si="86"/>
        <v>27154404.400000002</v>
      </c>
      <c r="FZ11" s="40">
        <f t="shared" ca="1" si="86"/>
        <v>27154404.400000002</v>
      </c>
      <c r="GA11" s="40">
        <f t="shared" ca="1" si="86"/>
        <v>27154404.400000002</v>
      </c>
      <c r="GB11" s="40">
        <f t="shared" ca="1" si="86"/>
        <v>27154404.400000002</v>
      </c>
      <c r="GC11" s="40">
        <f t="shared" ca="1" si="86"/>
        <v>27154404.400000002</v>
      </c>
      <c r="GD11" s="40">
        <f t="shared" ca="1" si="86"/>
        <v>27154404.400000002</v>
      </c>
      <c r="GE11" s="40">
        <f t="shared" ca="1" si="86"/>
        <v>27154404.400000002</v>
      </c>
      <c r="GF11" s="40">
        <f t="shared" ca="1" si="86"/>
        <v>27154404.400000002</v>
      </c>
      <c r="GG11" s="40">
        <f t="shared" ca="1" si="86"/>
        <v>27154404.400000002</v>
      </c>
      <c r="GH11" s="40">
        <f t="shared" ca="1" si="86"/>
        <v>27154404.400000002</v>
      </c>
      <c r="GI11" s="40">
        <f t="shared" ca="1" si="86"/>
        <v>27154404.400000002</v>
      </c>
      <c r="GJ11" s="40">
        <f t="shared" ca="1" si="86"/>
        <v>27154404.400000002</v>
      </c>
      <c r="GK11" s="40">
        <f t="shared" ca="1" si="86"/>
        <v>27154404.400000002</v>
      </c>
      <c r="GL11" s="40">
        <f t="shared" ca="1" si="86"/>
        <v>27154404.400000002</v>
      </c>
      <c r="GM11" s="40">
        <f t="shared" ca="1" si="86"/>
        <v>27154404.400000002</v>
      </c>
      <c r="GN11" s="40">
        <f t="shared" ca="1" si="86"/>
        <v>27154404.400000002</v>
      </c>
      <c r="GO11" s="40">
        <f t="shared" ca="1" si="86"/>
        <v>27154404.400000002</v>
      </c>
      <c r="GP11" s="40">
        <f t="shared" ca="1" si="86"/>
        <v>27154404.400000002</v>
      </c>
      <c r="GQ11" s="40">
        <f t="shared" ca="1" si="86"/>
        <v>27154404.400000002</v>
      </c>
      <c r="GR11" s="40">
        <f t="shared" ca="1" si="86"/>
        <v>27154404.400000002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7"/>
        <v>27154404.400000002</v>
      </c>
      <c r="GU11" s="40">
        <f t="shared" ca="1" si="87"/>
        <v>27154404.400000002</v>
      </c>
      <c r="GV11" s="40">
        <f t="shared" ca="1" si="87"/>
        <v>27154404.400000002</v>
      </c>
      <c r="GW11" s="40">
        <f t="shared" ca="1" si="87"/>
        <v>27154404.400000002</v>
      </c>
      <c r="GX11" s="40">
        <f t="shared" ca="1" si="87"/>
        <v>27154404.400000002</v>
      </c>
      <c r="GY11" s="40">
        <f t="shared" ca="1" si="87"/>
        <v>27154404.400000002</v>
      </c>
      <c r="GZ11" s="40">
        <f t="shared" ca="1" si="87"/>
        <v>27154404.400000002</v>
      </c>
      <c r="HA11" s="40">
        <f t="shared" ca="1" si="87"/>
        <v>27154404.400000002</v>
      </c>
      <c r="HB11" s="40">
        <f t="shared" ca="1" si="87"/>
        <v>27154404.400000002</v>
      </c>
      <c r="HC11" s="40">
        <f t="shared" ca="1" si="87"/>
        <v>27154404.400000002</v>
      </c>
      <c r="HD11" s="40">
        <f t="shared" ca="1" si="87"/>
        <v>27154404.400000002</v>
      </c>
      <c r="HE11" s="40">
        <f t="shared" ca="1" si="87"/>
        <v>27154404.400000002</v>
      </c>
      <c r="HF11" s="40">
        <f t="shared" ca="1" si="87"/>
        <v>27154404.400000002</v>
      </c>
      <c r="HG11" s="40">
        <f t="shared" ca="1" si="87"/>
        <v>27154404.400000002</v>
      </c>
      <c r="HH11" s="40">
        <f t="shared" ca="1" si="87"/>
        <v>27154404.400000002</v>
      </c>
      <c r="HI11" s="40">
        <f t="shared" ca="1" si="87"/>
        <v>27154404.400000002</v>
      </c>
      <c r="HJ11" s="40">
        <f t="shared" ca="1" si="87"/>
        <v>27154404.400000002</v>
      </c>
      <c r="HK11" s="40">
        <f t="shared" ca="1" si="87"/>
        <v>27154404.400000002</v>
      </c>
      <c r="HL11" s="40">
        <f t="shared" ca="1" si="87"/>
        <v>27154404.400000002</v>
      </c>
      <c r="HM11" s="40">
        <f t="shared" ca="1" si="87"/>
        <v>27154404.400000002</v>
      </c>
      <c r="HN11" s="40">
        <f t="shared" ca="1" si="87"/>
        <v>27154404.400000002</v>
      </c>
      <c r="HO11" s="40">
        <f t="shared" ca="1" si="87"/>
        <v>27154404.400000002</v>
      </c>
      <c r="HP11" s="40">
        <f t="shared" ca="1" si="87"/>
        <v>27154404.400000002</v>
      </c>
      <c r="HQ11" s="40">
        <f t="shared" ca="1" si="87"/>
        <v>27154404.400000002</v>
      </c>
      <c r="HR11" s="40">
        <f t="shared" ca="1" si="87"/>
        <v>27154404.400000002</v>
      </c>
      <c r="HS11" s="40">
        <f t="shared" ca="1" si="87"/>
        <v>27154404.400000002</v>
      </c>
      <c r="HT11" s="40">
        <f t="shared" ca="1" si="87"/>
        <v>27154404.400000002</v>
      </c>
      <c r="HU11" s="40">
        <f t="shared" ca="1" si="87"/>
        <v>27154404.400000002</v>
      </c>
      <c r="HV11" s="40">
        <f t="shared" ca="1" si="87"/>
        <v>27154404.400000002</v>
      </c>
      <c r="HW11" s="40">
        <f t="shared" ca="1" si="87"/>
        <v>27154404.400000002</v>
      </c>
      <c r="HX11" s="40">
        <f t="shared" ca="1" si="87"/>
        <v>27154404.400000002</v>
      </c>
      <c r="HY11" s="40">
        <f t="shared" ca="1" si="87"/>
        <v>27154404.400000002</v>
      </c>
      <c r="HZ11" s="40">
        <f t="shared" ca="1" si="87"/>
        <v>27154404.400000002</v>
      </c>
      <c r="IA11" s="40">
        <f t="shared" ca="1" si="87"/>
        <v>27154404.400000002</v>
      </c>
      <c r="IB11" s="40">
        <f t="shared" ca="1" si="87"/>
        <v>27154404.400000002</v>
      </c>
      <c r="IC11" s="40">
        <f t="shared" ca="1" si="87"/>
        <v>27154404.400000002</v>
      </c>
      <c r="ID11" s="40">
        <f t="shared" ca="1" si="87"/>
        <v>27154404.400000002</v>
      </c>
      <c r="IE11" s="40">
        <f t="shared" ca="1" si="87"/>
        <v>27154404.400000002</v>
      </c>
      <c r="IF11" s="40">
        <f t="shared" ca="1" si="87"/>
        <v>27154404.400000002</v>
      </c>
      <c r="IG11" s="40">
        <f t="shared" ca="1" si="87"/>
        <v>27154404.400000002</v>
      </c>
      <c r="IH11" s="40">
        <f t="shared" ca="1" si="87"/>
        <v>27154404.400000002</v>
      </c>
      <c r="II11" s="40">
        <f t="shared" ca="1" si="87"/>
        <v>27154404.400000002</v>
      </c>
      <c r="IJ11" s="40">
        <f t="shared" ca="1" si="87"/>
        <v>27154404.400000002</v>
      </c>
      <c r="IK11" s="40">
        <f t="shared" ca="1" si="87"/>
        <v>27154404.400000002</v>
      </c>
      <c r="IL11" s="40">
        <f t="shared" ca="1" si="87"/>
        <v>27154404.400000002</v>
      </c>
      <c r="IM11" s="40">
        <f t="shared" ca="1" si="87"/>
        <v>27154404.400000002</v>
      </c>
      <c r="IN11" s="40">
        <f t="shared" ca="1" si="87"/>
        <v>27154404.400000002</v>
      </c>
    </row>
    <row r="12" spans="2:248" x14ac:dyDescent="0.3">
      <c r="B12" s="19" t="s">
        <v>527</v>
      </c>
      <c r="C12" s="74">
        <f>VLOOKUP(B2,Days_Since_100!C:G,5,FALSE)-1</f>
        <v>0.18423929746453949</v>
      </c>
      <c r="E12" s="19"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0"/>
        <v>274</v>
      </c>
      <c r="K12" s="40">
        <f t="shared" ca="1" si="90"/>
        <v>322</v>
      </c>
      <c r="L12" s="40">
        <f t="shared" ca="1" si="90"/>
        <v>384</v>
      </c>
      <c r="M12" s="40">
        <f t="shared" ca="1" si="90"/>
        <v>459</v>
      </c>
      <c r="N12" s="40">
        <f t="shared" ca="1" si="90"/>
        <v>588</v>
      </c>
      <c r="O12" s="40">
        <f t="shared" ca="1" si="90"/>
        <v>799</v>
      </c>
      <c r="P12" s="40">
        <f t="shared" ca="1" si="90"/>
        <v>1131</v>
      </c>
      <c r="Q12" s="40">
        <f t="shared" ca="1" si="90"/>
        <v>1328</v>
      </c>
      <c r="R12" s="40">
        <f t="shared" ca="1" si="90"/>
        <v>1271</v>
      </c>
      <c r="S12" s="40">
        <f t="shared" ca="1" si="90"/>
        <v>1685</v>
      </c>
      <c r="T12" s="40">
        <f t="shared" ca="1" si="90"/>
        <v>2296</v>
      </c>
      <c r="U12" s="40">
        <f t="shared" ca="1" si="90"/>
        <v>2245</v>
      </c>
      <c r="V12" s="40">
        <f t="shared" ca="1" si="90"/>
        <v>3474</v>
      </c>
      <c r="W12" s="40">
        <f t="shared" ca="1" si="90"/>
        <v>4395</v>
      </c>
      <c r="X12" s="40">
        <f t="shared" ca="1" si="90"/>
        <v>4937</v>
      </c>
      <c r="Y12" s="40">
        <f t="shared" ca="1" si="90"/>
        <v>5681</v>
      </c>
      <c r="Z12" s="40">
        <f t="shared" ca="1" si="90"/>
        <v>6739</v>
      </c>
      <c r="AA12" s="40">
        <f t="shared" ca="1" si="90"/>
        <v>7719</v>
      </c>
      <c r="AB12" s="40">
        <f t="shared" ca="1" si="90"/>
        <v>9715</v>
      </c>
      <c r="AC12" s="40">
        <f t="shared" ca="1" si="90"/>
        <v>12314</v>
      </c>
      <c r="AD12" s="40">
        <f t="shared" ca="1" si="90"/>
        <v>14008</v>
      </c>
      <c r="AE12" s="40">
        <f t="shared" ca="1" si="90"/>
        <v>15362</v>
      </c>
      <c r="AF12" s="40">
        <f t="shared" ca="1" si="90"/>
        <v>18424</v>
      </c>
      <c r="AG12" s="40">
        <f t="shared" ca="1" si="90"/>
        <v>25793.599999999999</v>
      </c>
      <c r="AH12" s="40">
        <f t="shared" ca="1" si="90"/>
        <v>36111.039999999994</v>
      </c>
      <c r="AI12" s="40">
        <f t="shared" ca="1" si="90"/>
        <v>50555.455999999991</v>
      </c>
      <c r="AJ12" s="40">
        <f t="shared" ca="1" si="90"/>
        <v>70777.638399999982</v>
      </c>
      <c r="AK12" s="40">
        <f t="shared" ca="1" si="90"/>
        <v>99088.693759999966</v>
      </c>
      <c r="AL12" s="40">
        <f t="shared" ca="1" si="90"/>
        <v>138724.17126399995</v>
      </c>
      <c r="AM12" s="40">
        <f t="shared" ca="1" si="90"/>
        <v>194213.8397695999</v>
      </c>
      <c r="AN12" s="40">
        <f t="shared" ca="1" si="90"/>
        <v>271899.37567743985</v>
      </c>
      <c r="AO12" s="40">
        <f t="shared" ca="1" si="90"/>
        <v>380659.12594841578</v>
      </c>
      <c r="AP12" s="40">
        <f t="shared" ca="1" si="90"/>
        <v>532922.77632778208</v>
      </c>
      <c r="AQ12" s="40">
        <f t="shared" ca="1" si="90"/>
        <v>746091.88685889484</v>
      </c>
      <c r="AR12" s="40">
        <f t="shared" ca="1" si="90"/>
        <v>1044528.6416024527</v>
      </c>
      <c r="AS12" s="40">
        <f t="shared" ca="1" si="90"/>
        <v>1462340.0982434337</v>
      </c>
      <c r="AT12" s="40">
        <f t="shared" ca="1" si="90"/>
        <v>2047276.137540807</v>
      </c>
      <c r="AU12" s="40">
        <f t="shared" ca="1" si="90"/>
        <v>2866186.5925571295</v>
      </c>
      <c r="AV12" s="40">
        <f t="shared" ca="1" si="90"/>
        <v>4012661.229579981</v>
      </c>
      <c r="AW12" s="40">
        <f t="shared" ca="1" si="90"/>
        <v>5617725.7214119732</v>
      </c>
      <c r="AX12" s="40">
        <f t="shared" ca="1" si="90"/>
        <v>7864816.0099767623</v>
      </c>
      <c r="AY12" s="40">
        <f t="shared" ca="1" si="90"/>
        <v>11010742.413967466</v>
      </c>
      <c r="AZ12" s="40">
        <f t="shared" ca="1" si="90"/>
        <v>15415039.379554451</v>
      </c>
      <c r="BA12" s="40">
        <f t="shared" ca="1" si="90"/>
        <v>21581055.131376229</v>
      </c>
      <c r="BB12" s="40">
        <f t="shared" ca="1" si="90"/>
        <v>27154404.400000002</v>
      </c>
      <c r="BC12" s="40">
        <f t="shared" ca="1" si="90"/>
        <v>27154404.400000002</v>
      </c>
      <c r="BD12" s="40">
        <f t="shared" ca="1" si="90"/>
        <v>27154404.400000002</v>
      </c>
      <c r="BE12" s="40">
        <f t="shared" ca="1" si="90"/>
        <v>27154404.400000002</v>
      </c>
      <c r="BF12" s="40">
        <f t="shared" ca="1" si="90"/>
        <v>27154404.400000002</v>
      </c>
      <c r="BG12" s="40">
        <f t="shared" ca="1" si="90"/>
        <v>27154404.400000002</v>
      </c>
      <c r="BH12" s="40">
        <f t="shared" ca="1" si="90"/>
        <v>27154404.400000002</v>
      </c>
      <c r="BI12" s="40">
        <f t="shared" ca="1" si="90"/>
        <v>27154404.400000002</v>
      </c>
      <c r="BJ12" s="40">
        <f t="shared" ca="1" si="90"/>
        <v>27154404.400000002</v>
      </c>
      <c r="BK12" s="40">
        <f t="shared" ca="1" si="90"/>
        <v>27154404.400000002</v>
      </c>
      <c r="BL12" s="40">
        <f t="shared" ca="1" si="90"/>
        <v>27154404.400000002</v>
      </c>
      <c r="BM12" s="40">
        <f t="shared" ca="1" si="90"/>
        <v>27154404.400000002</v>
      </c>
      <c r="BN12" s="40">
        <f t="shared" ca="1" si="90"/>
        <v>27154404.400000002</v>
      </c>
      <c r="BO12" s="40">
        <f t="shared" ca="1" si="90"/>
        <v>27154404.400000002</v>
      </c>
      <c r="BP12" s="40">
        <f t="shared" ca="1" si="90"/>
        <v>27154404.400000002</v>
      </c>
      <c r="BQ12" s="40">
        <f t="shared" ca="1" si="90"/>
        <v>27154404.400000002</v>
      </c>
      <c r="BR12" s="40">
        <f t="shared" ca="1" si="90"/>
        <v>27154404.400000002</v>
      </c>
      <c r="BS12" s="40">
        <f t="shared" ca="1" si="90"/>
        <v>27154404.400000002</v>
      </c>
      <c r="BT12" s="40">
        <f t="shared" ca="1" si="90"/>
        <v>27154404.400000002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1"/>
        <v>27154404.400000002</v>
      </c>
      <c r="BW12" s="40">
        <f t="shared" ca="1" si="91"/>
        <v>27154404.400000002</v>
      </c>
      <c r="BX12" s="40">
        <f t="shared" ca="1" si="91"/>
        <v>27154404.400000002</v>
      </c>
      <c r="BY12" s="40">
        <f t="shared" ca="1" si="91"/>
        <v>27154404.400000002</v>
      </c>
      <c r="BZ12" s="40">
        <f t="shared" ca="1" si="91"/>
        <v>27154404.400000002</v>
      </c>
      <c r="CA12" s="40">
        <f t="shared" ca="1" si="91"/>
        <v>27154404.400000002</v>
      </c>
      <c r="CB12" s="40">
        <f t="shared" ca="1" si="91"/>
        <v>27154404.400000002</v>
      </c>
      <c r="CC12" s="40">
        <f t="shared" ca="1" si="91"/>
        <v>27154404.400000002</v>
      </c>
      <c r="CD12" s="40">
        <f t="shared" ca="1" si="91"/>
        <v>27154404.400000002</v>
      </c>
      <c r="CE12" s="40">
        <f t="shared" ca="1" si="91"/>
        <v>27154404.400000002</v>
      </c>
      <c r="CF12" s="40">
        <f t="shared" ca="1" si="91"/>
        <v>27154404.400000002</v>
      </c>
      <c r="CG12" s="40">
        <f t="shared" ca="1" si="91"/>
        <v>27154404.400000002</v>
      </c>
      <c r="CH12" s="40">
        <f t="shared" ca="1" si="91"/>
        <v>27154404.400000002</v>
      </c>
      <c r="CI12" s="40">
        <f t="shared" ca="1" si="91"/>
        <v>27154404.400000002</v>
      </c>
      <c r="CJ12" s="40">
        <f t="shared" ca="1" si="91"/>
        <v>27154404.400000002</v>
      </c>
      <c r="CK12" s="40">
        <f t="shared" ca="1" si="91"/>
        <v>27154404.400000002</v>
      </c>
      <c r="CL12" s="40">
        <f t="shared" ca="1" si="91"/>
        <v>27154404.400000002</v>
      </c>
      <c r="CM12" s="40">
        <f t="shared" ca="1" si="91"/>
        <v>27154404.400000002</v>
      </c>
      <c r="CN12" s="40">
        <f t="shared" ca="1" si="91"/>
        <v>27154404.400000002</v>
      </c>
      <c r="CO12" s="40">
        <f t="shared" ca="1" si="91"/>
        <v>27154404.400000002</v>
      </c>
      <c r="CP12" s="40">
        <f t="shared" ca="1" si="91"/>
        <v>27154404.400000002</v>
      </c>
      <c r="CQ12" s="40">
        <f t="shared" ca="1" si="91"/>
        <v>27154404.400000002</v>
      </c>
      <c r="CR12" s="40">
        <f t="shared" ca="1" si="91"/>
        <v>27154404.400000002</v>
      </c>
      <c r="CS12" s="40">
        <f t="shared" ca="1" si="91"/>
        <v>27154404.400000002</v>
      </c>
      <c r="CT12" s="40">
        <f t="shared" ca="1" si="91"/>
        <v>27154404.400000002</v>
      </c>
      <c r="CU12" s="40">
        <f t="shared" ca="1" si="91"/>
        <v>27154404.400000002</v>
      </c>
      <c r="CV12" s="40">
        <f t="shared" ca="1" si="91"/>
        <v>27154404.400000002</v>
      </c>
      <c r="CW12" s="40">
        <f t="shared" ca="1" si="91"/>
        <v>27154404.400000002</v>
      </c>
      <c r="CX12" s="40">
        <f t="shared" ca="1" si="91"/>
        <v>27154404.400000002</v>
      </c>
      <c r="CY12" s="40">
        <f t="shared" ca="1" si="91"/>
        <v>27154404.400000002</v>
      </c>
      <c r="CZ12" s="40">
        <f t="shared" ca="1" si="91"/>
        <v>27154404.400000002</v>
      </c>
      <c r="DA12" s="40">
        <f t="shared" ca="1" si="91"/>
        <v>27154404.400000002</v>
      </c>
      <c r="DB12" s="40">
        <f t="shared" ca="1" si="91"/>
        <v>27154404.400000002</v>
      </c>
      <c r="DC12" s="40">
        <f t="shared" ca="1" si="91"/>
        <v>27154404.400000002</v>
      </c>
      <c r="DD12" s="40">
        <f t="shared" ca="1" si="91"/>
        <v>27154404.400000002</v>
      </c>
      <c r="DE12" s="40">
        <f t="shared" ca="1" si="91"/>
        <v>27154404.400000002</v>
      </c>
      <c r="DF12" s="40">
        <f t="shared" ca="1" si="91"/>
        <v>27154404.400000002</v>
      </c>
      <c r="DG12" s="40">
        <f t="shared" ca="1" si="91"/>
        <v>27154404.400000002</v>
      </c>
      <c r="DH12" s="40">
        <f t="shared" ca="1" si="91"/>
        <v>27154404.400000002</v>
      </c>
      <c r="DI12" s="40">
        <f t="shared" ca="1" si="91"/>
        <v>27154404.400000002</v>
      </c>
      <c r="DJ12" s="40">
        <f t="shared" ca="1" si="91"/>
        <v>27154404.400000002</v>
      </c>
      <c r="DK12" s="40">
        <f t="shared" ca="1" si="91"/>
        <v>27154404.400000002</v>
      </c>
      <c r="DL12" s="40">
        <f t="shared" ca="1" si="91"/>
        <v>27154404.400000002</v>
      </c>
      <c r="DM12" s="40">
        <f t="shared" ca="1" si="91"/>
        <v>27154404.400000002</v>
      </c>
      <c r="DN12" s="40">
        <f t="shared" ca="1" si="91"/>
        <v>27154404.400000002</v>
      </c>
      <c r="DO12" s="40">
        <f t="shared" ca="1" si="91"/>
        <v>27154404.400000002</v>
      </c>
      <c r="DP12" s="40">
        <f t="shared" ca="1" si="91"/>
        <v>27154404.400000002</v>
      </c>
      <c r="DQ12" s="40">
        <f t="shared" ca="1" si="91"/>
        <v>27154404.400000002</v>
      </c>
      <c r="DR12" s="40">
        <f t="shared" ca="1" si="91"/>
        <v>27154404.400000002</v>
      </c>
      <c r="DS12" s="40">
        <f t="shared" ca="1" si="91"/>
        <v>27154404.400000002</v>
      </c>
      <c r="DT12" s="40">
        <f t="shared" ca="1" si="91"/>
        <v>27154404.400000002</v>
      </c>
      <c r="DU12" s="40">
        <f t="shared" ca="1" si="91"/>
        <v>27154404.400000002</v>
      </c>
      <c r="DV12" s="40">
        <f t="shared" ca="1" si="91"/>
        <v>27154404.400000002</v>
      </c>
      <c r="DW12" s="40">
        <f t="shared" ca="1" si="91"/>
        <v>27154404.400000002</v>
      </c>
      <c r="DX12" s="40">
        <f t="shared" ca="1" si="91"/>
        <v>27154404.400000002</v>
      </c>
      <c r="DY12" s="40">
        <f t="shared" ca="1" si="91"/>
        <v>27154404.400000002</v>
      </c>
      <c r="DZ12" s="40">
        <f t="shared" ca="1" si="91"/>
        <v>27154404.400000002</v>
      </c>
      <c r="EA12" s="40">
        <f t="shared" ca="1" si="91"/>
        <v>27154404.400000002</v>
      </c>
      <c r="EB12" s="40">
        <f t="shared" ca="1" si="91"/>
        <v>27154404.400000002</v>
      </c>
      <c r="EC12" s="40">
        <f t="shared" ca="1" si="91"/>
        <v>27154404.400000002</v>
      </c>
      <c r="ED12" s="40">
        <f t="shared" ca="1" si="91"/>
        <v>27154404.400000002</v>
      </c>
      <c r="EE12" s="40">
        <f t="shared" ca="1" si="91"/>
        <v>27154404.400000002</v>
      </c>
      <c r="EF12" s="40">
        <f t="shared" ca="1" si="91"/>
        <v>27154404.400000002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2"/>
        <v>27154404.400000002</v>
      </c>
      <c r="EI12" s="40">
        <f t="shared" ca="1" si="92"/>
        <v>27154404.400000002</v>
      </c>
      <c r="EJ12" s="40">
        <f t="shared" ca="1" si="92"/>
        <v>27154404.400000002</v>
      </c>
      <c r="EK12" s="40">
        <f t="shared" ca="1" si="92"/>
        <v>27154404.400000002</v>
      </c>
      <c r="EL12" s="40">
        <f t="shared" ca="1" si="92"/>
        <v>27154404.400000002</v>
      </c>
      <c r="EM12" s="40">
        <f t="shared" ca="1" si="92"/>
        <v>27154404.400000002</v>
      </c>
      <c r="EN12" s="40">
        <f t="shared" ca="1" si="92"/>
        <v>27154404.400000002</v>
      </c>
      <c r="EO12" s="40">
        <f t="shared" ca="1" si="92"/>
        <v>27154404.400000002</v>
      </c>
      <c r="EP12" s="40">
        <f t="shared" ca="1" si="92"/>
        <v>27154404.400000002</v>
      </c>
      <c r="EQ12" s="40">
        <f t="shared" ca="1" si="92"/>
        <v>27154404.400000002</v>
      </c>
      <c r="ER12" s="40">
        <f t="shared" ca="1" si="92"/>
        <v>27154404.400000002</v>
      </c>
      <c r="ES12" s="40">
        <f t="shared" ca="1" si="92"/>
        <v>27154404.400000002</v>
      </c>
      <c r="ET12" s="40">
        <f t="shared" ca="1" si="92"/>
        <v>27154404.400000002</v>
      </c>
      <c r="EU12" s="40">
        <f t="shared" ca="1" si="92"/>
        <v>27154404.400000002</v>
      </c>
      <c r="EV12" s="40">
        <f t="shared" ca="1" si="92"/>
        <v>27154404.400000002</v>
      </c>
      <c r="EW12" s="40">
        <f t="shared" ca="1" si="92"/>
        <v>27154404.400000002</v>
      </c>
      <c r="EX12" s="40">
        <f t="shared" ca="1" si="92"/>
        <v>27154404.400000002</v>
      </c>
      <c r="EY12" s="40">
        <f t="shared" ca="1" si="92"/>
        <v>27154404.400000002</v>
      </c>
      <c r="EZ12" s="40">
        <f t="shared" ca="1" si="92"/>
        <v>27154404.400000002</v>
      </c>
      <c r="FA12" s="40">
        <f t="shared" ca="1" si="92"/>
        <v>27154404.400000002</v>
      </c>
      <c r="FB12" s="40">
        <f t="shared" ca="1" si="92"/>
        <v>27154404.400000002</v>
      </c>
      <c r="FC12" s="40">
        <f t="shared" ca="1" si="92"/>
        <v>27154404.400000002</v>
      </c>
      <c r="FD12" s="40">
        <f t="shared" ca="1" si="92"/>
        <v>27154404.400000002</v>
      </c>
      <c r="FE12" s="40">
        <f t="shared" ca="1" si="92"/>
        <v>27154404.400000002</v>
      </c>
      <c r="FF12" s="40">
        <f t="shared" ca="1" si="92"/>
        <v>27154404.400000002</v>
      </c>
      <c r="FG12" s="40">
        <f t="shared" ca="1" si="92"/>
        <v>27154404.400000002</v>
      </c>
      <c r="FH12" s="40">
        <f t="shared" ca="1" si="92"/>
        <v>27154404.400000002</v>
      </c>
      <c r="FI12" s="40">
        <f t="shared" ca="1" si="92"/>
        <v>27154404.400000002</v>
      </c>
      <c r="FJ12" s="40">
        <f t="shared" ca="1" si="92"/>
        <v>27154404.400000002</v>
      </c>
      <c r="FK12" s="40">
        <f t="shared" ca="1" si="92"/>
        <v>27154404.400000002</v>
      </c>
      <c r="FL12" s="40">
        <f t="shared" ca="1" si="92"/>
        <v>27154404.400000002</v>
      </c>
      <c r="FM12" s="40">
        <f t="shared" ca="1" si="92"/>
        <v>27154404.400000002</v>
      </c>
      <c r="FN12" s="40">
        <f t="shared" ca="1" si="92"/>
        <v>27154404.400000002</v>
      </c>
      <c r="FO12" s="40">
        <f t="shared" ca="1" si="92"/>
        <v>27154404.400000002</v>
      </c>
      <c r="FP12" s="40">
        <f t="shared" ca="1" si="92"/>
        <v>27154404.400000002</v>
      </c>
      <c r="FQ12" s="40">
        <f t="shared" ca="1" si="92"/>
        <v>27154404.400000002</v>
      </c>
      <c r="FR12" s="40">
        <f t="shared" ca="1" si="92"/>
        <v>27154404.400000002</v>
      </c>
      <c r="FS12" s="40">
        <f t="shared" ca="1" si="92"/>
        <v>27154404.400000002</v>
      </c>
      <c r="FT12" s="40">
        <f t="shared" ca="1" si="92"/>
        <v>27154404.400000002</v>
      </c>
      <c r="FU12" s="40">
        <f t="shared" ca="1" si="92"/>
        <v>27154404.400000002</v>
      </c>
      <c r="FV12" s="40">
        <f t="shared" ca="1" si="92"/>
        <v>27154404.400000002</v>
      </c>
      <c r="FW12" s="40">
        <f t="shared" ca="1" si="92"/>
        <v>27154404.400000002</v>
      </c>
      <c r="FX12" s="40">
        <f t="shared" ca="1" si="92"/>
        <v>27154404.400000002</v>
      </c>
      <c r="FY12" s="40">
        <f t="shared" ca="1" si="92"/>
        <v>27154404.400000002</v>
      </c>
      <c r="FZ12" s="40">
        <f t="shared" ca="1" si="92"/>
        <v>27154404.400000002</v>
      </c>
      <c r="GA12" s="40">
        <f t="shared" ca="1" si="92"/>
        <v>27154404.400000002</v>
      </c>
      <c r="GB12" s="40">
        <f t="shared" ca="1" si="92"/>
        <v>27154404.400000002</v>
      </c>
      <c r="GC12" s="40">
        <f t="shared" ca="1" si="92"/>
        <v>27154404.400000002</v>
      </c>
      <c r="GD12" s="40">
        <f t="shared" ca="1" si="92"/>
        <v>27154404.400000002</v>
      </c>
      <c r="GE12" s="40">
        <f t="shared" ca="1" si="92"/>
        <v>27154404.400000002</v>
      </c>
      <c r="GF12" s="40">
        <f t="shared" ca="1" si="92"/>
        <v>27154404.400000002</v>
      </c>
      <c r="GG12" s="40">
        <f t="shared" ca="1" si="92"/>
        <v>27154404.400000002</v>
      </c>
      <c r="GH12" s="40">
        <f t="shared" ca="1" si="92"/>
        <v>27154404.400000002</v>
      </c>
      <c r="GI12" s="40">
        <f t="shared" ca="1" si="92"/>
        <v>27154404.400000002</v>
      </c>
      <c r="GJ12" s="40">
        <f t="shared" ca="1" si="92"/>
        <v>27154404.400000002</v>
      </c>
      <c r="GK12" s="40">
        <f t="shared" ca="1" si="92"/>
        <v>27154404.400000002</v>
      </c>
      <c r="GL12" s="40">
        <f t="shared" ca="1" si="92"/>
        <v>27154404.400000002</v>
      </c>
      <c r="GM12" s="40">
        <f t="shared" ca="1" si="92"/>
        <v>27154404.400000002</v>
      </c>
      <c r="GN12" s="40">
        <f t="shared" ca="1" si="92"/>
        <v>27154404.400000002</v>
      </c>
      <c r="GO12" s="40">
        <f t="shared" ca="1" si="92"/>
        <v>27154404.400000002</v>
      </c>
      <c r="GP12" s="40">
        <f t="shared" ca="1" si="92"/>
        <v>27154404.400000002</v>
      </c>
      <c r="GQ12" s="40">
        <f t="shared" ca="1" si="92"/>
        <v>27154404.400000002</v>
      </c>
      <c r="GR12" s="40">
        <f t="shared" ca="1" si="92"/>
        <v>27154404.400000002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3"/>
        <v>27154404.400000002</v>
      </c>
      <c r="GU12" s="40">
        <f t="shared" ca="1" si="93"/>
        <v>27154404.400000002</v>
      </c>
      <c r="GV12" s="40">
        <f t="shared" ca="1" si="93"/>
        <v>27154404.400000002</v>
      </c>
      <c r="GW12" s="40">
        <f t="shared" ca="1" si="93"/>
        <v>27154404.400000002</v>
      </c>
      <c r="GX12" s="40">
        <f t="shared" ca="1" si="93"/>
        <v>27154404.400000002</v>
      </c>
      <c r="GY12" s="40">
        <f t="shared" ca="1" si="93"/>
        <v>27154404.400000002</v>
      </c>
      <c r="GZ12" s="40">
        <f t="shared" ca="1" si="93"/>
        <v>27154404.400000002</v>
      </c>
      <c r="HA12" s="40">
        <f t="shared" ca="1" si="93"/>
        <v>27154404.400000002</v>
      </c>
      <c r="HB12" s="40">
        <f t="shared" ca="1" si="93"/>
        <v>27154404.400000002</v>
      </c>
      <c r="HC12" s="40">
        <f t="shared" ca="1" si="93"/>
        <v>27154404.400000002</v>
      </c>
      <c r="HD12" s="40">
        <f t="shared" ca="1" si="93"/>
        <v>27154404.400000002</v>
      </c>
      <c r="HE12" s="40">
        <f t="shared" ca="1" si="93"/>
        <v>27154404.400000002</v>
      </c>
      <c r="HF12" s="40">
        <f t="shared" ca="1" si="93"/>
        <v>27154404.400000002</v>
      </c>
      <c r="HG12" s="40">
        <f t="shared" ca="1" si="93"/>
        <v>27154404.400000002</v>
      </c>
      <c r="HH12" s="40">
        <f t="shared" ca="1" si="93"/>
        <v>27154404.400000002</v>
      </c>
      <c r="HI12" s="40">
        <f t="shared" ca="1" si="93"/>
        <v>27154404.400000002</v>
      </c>
      <c r="HJ12" s="40">
        <f t="shared" ca="1" si="93"/>
        <v>27154404.400000002</v>
      </c>
      <c r="HK12" s="40">
        <f t="shared" ca="1" si="93"/>
        <v>27154404.400000002</v>
      </c>
      <c r="HL12" s="40">
        <f t="shared" ca="1" si="93"/>
        <v>27154404.400000002</v>
      </c>
      <c r="HM12" s="40">
        <f t="shared" ca="1" si="93"/>
        <v>27154404.400000002</v>
      </c>
      <c r="HN12" s="40">
        <f t="shared" ca="1" si="93"/>
        <v>27154404.400000002</v>
      </c>
      <c r="HO12" s="40">
        <f t="shared" ca="1" si="93"/>
        <v>27154404.400000002</v>
      </c>
      <c r="HP12" s="40">
        <f t="shared" ca="1" si="93"/>
        <v>27154404.400000002</v>
      </c>
      <c r="HQ12" s="40">
        <f t="shared" ca="1" si="93"/>
        <v>27154404.400000002</v>
      </c>
      <c r="HR12" s="40">
        <f t="shared" ca="1" si="93"/>
        <v>27154404.400000002</v>
      </c>
      <c r="HS12" s="40">
        <f t="shared" ca="1" si="93"/>
        <v>27154404.400000002</v>
      </c>
      <c r="HT12" s="40">
        <f t="shared" ca="1" si="93"/>
        <v>27154404.400000002</v>
      </c>
      <c r="HU12" s="40">
        <f t="shared" ca="1" si="93"/>
        <v>27154404.400000002</v>
      </c>
      <c r="HV12" s="40">
        <f t="shared" ca="1" si="93"/>
        <v>27154404.400000002</v>
      </c>
      <c r="HW12" s="40">
        <f t="shared" ca="1" si="93"/>
        <v>27154404.400000002</v>
      </c>
      <c r="HX12" s="40">
        <f t="shared" ca="1" si="93"/>
        <v>27154404.400000002</v>
      </c>
      <c r="HY12" s="40">
        <f t="shared" ca="1" si="93"/>
        <v>27154404.400000002</v>
      </c>
      <c r="HZ12" s="40">
        <f t="shared" ca="1" si="93"/>
        <v>27154404.400000002</v>
      </c>
      <c r="IA12" s="40">
        <f t="shared" ca="1" si="93"/>
        <v>27154404.400000002</v>
      </c>
      <c r="IB12" s="40">
        <f t="shared" ca="1" si="93"/>
        <v>27154404.400000002</v>
      </c>
      <c r="IC12" s="40">
        <f t="shared" ca="1" si="93"/>
        <v>27154404.400000002</v>
      </c>
      <c r="ID12" s="40">
        <f t="shared" ca="1" si="93"/>
        <v>27154404.400000002</v>
      </c>
      <c r="IE12" s="40">
        <f t="shared" ca="1" si="93"/>
        <v>27154404.400000002</v>
      </c>
      <c r="IF12" s="40">
        <f t="shared" ca="1" si="93"/>
        <v>27154404.400000002</v>
      </c>
      <c r="IG12" s="40">
        <f t="shared" ca="1" si="93"/>
        <v>27154404.400000002</v>
      </c>
      <c r="IH12" s="40">
        <f t="shared" ca="1" si="93"/>
        <v>27154404.400000002</v>
      </c>
      <c r="II12" s="40">
        <f t="shared" ca="1" si="93"/>
        <v>27154404.400000002</v>
      </c>
      <c r="IJ12" s="40">
        <f t="shared" ca="1" si="93"/>
        <v>27154404.400000002</v>
      </c>
      <c r="IK12" s="40">
        <f t="shared" ca="1" si="93"/>
        <v>27154404.400000002</v>
      </c>
      <c r="IL12" s="40">
        <f t="shared" ca="1" si="93"/>
        <v>27154404.400000002</v>
      </c>
      <c r="IM12" s="40">
        <f t="shared" ca="1" si="93"/>
        <v>27154404.400000002</v>
      </c>
      <c r="IN12" s="40">
        <f t="shared" ca="1" si="93"/>
        <v>27154404.400000002</v>
      </c>
    </row>
    <row r="13" spans="2:248" x14ac:dyDescent="0.3">
      <c r="B13" s="19" t="s">
        <v>586</v>
      </c>
      <c r="C13" s="74">
        <f ca="1">HLOOKUP($C$5-1,G4:IN17,14,FALSE)</f>
        <v>0.24504871986537191</v>
      </c>
      <c r="F13" s="19" t="s">
        <v>587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4">IF(ISNA(I5),NA(),IF(J4&lt;$C$10,(J5/OFFSET(J5,0,-J4))^(1/(J4)),(J5/OFFSET(J5,0,-$C$10))^(1/$C$10))-1)</f>
        <v>0.33177499932927024</v>
      </c>
      <c r="K13" s="53">
        <f t="shared" ca="1" si="94"/>
        <v>0.29077180589770335</v>
      </c>
      <c r="L13" s="53">
        <f t="shared" ca="1" si="94"/>
        <v>0.27049993459236288</v>
      </c>
      <c r="M13" s="53">
        <f t="shared" ca="1" si="94"/>
        <v>0.22855263432816053</v>
      </c>
      <c r="N13" s="53">
        <f t="shared" ca="1" si="94"/>
        <v>0.23303763733800897</v>
      </c>
      <c r="O13" s="53">
        <f t="shared" ca="1" si="94"/>
        <v>0.23960911526381667</v>
      </c>
      <c r="P13" s="53">
        <f t="shared" ca="1" si="94"/>
        <v>0.28858784541083837</v>
      </c>
      <c r="Q13" s="53">
        <f t="shared" ca="1" si="94"/>
        <v>0.28683129505090266</v>
      </c>
      <c r="R13" s="53">
        <f t="shared" ca="1" si="94"/>
        <v>0.27573309599233808</v>
      </c>
      <c r="S13" s="53">
        <f t="shared" ca="1" si="94"/>
        <v>0.27139591569100419</v>
      </c>
      <c r="T13" s="53">
        <f t="shared" ca="1" si="94"/>
        <v>0.26926320102738721</v>
      </c>
      <c r="U13" s="53">
        <f t="shared" ca="1" si="94"/>
        <v>0.18877796979811801</v>
      </c>
      <c r="V13" s="53">
        <f t="shared" ca="1" si="94"/>
        <v>0.2425893143830935</v>
      </c>
      <c r="W13" s="53">
        <f t="shared" ca="1" si="94"/>
        <v>0.26714939712946473</v>
      </c>
      <c r="X13" s="53">
        <f t="shared" ca="1" si="94"/>
        <v>0.23995747864251982</v>
      </c>
      <c r="Y13" s="53">
        <f t="shared" ca="1" si="94"/>
        <v>0.20549332492930561</v>
      </c>
      <c r="Z13" s="53">
        <f t="shared" ca="1" si="94"/>
        <v>0.24621979719354981</v>
      </c>
      <c r="AA13" s="53">
        <f t="shared" ca="1" si="94"/>
        <v>0.19151614981125942</v>
      </c>
      <c r="AB13" s="53">
        <f t="shared" ca="1" si="94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4"/>
        <v>0.20814226047075834</v>
      </c>
      <c r="AE13" s="53">
        <f t="shared" ca="1" si="94"/>
        <v>0.19361607286565263</v>
      </c>
      <c r="AF13" s="53">
        <f t="shared" ca="1" si="94"/>
        <v>0.18423929746453949</v>
      </c>
      <c r="AG13" s="53" t="e">
        <f t="shared" ca="1" si="94"/>
        <v>#N/A</v>
      </c>
      <c r="AH13" s="53" t="e">
        <f t="shared" ca="1" si="94"/>
        <v>#N/A</v>
      </c>
      <c r="AI13" s="53" t="e">
        <f t="shared" ca="1" si="94"/>
        <v>#N/A</v>
      </c>
      <c r="AJ13" s="53" t="e">
        <f t="shared" ca="1" si="94"/>
        <v>#N/A</v>
      </c>
      <c r="AK13" s="53" t="e">
        <f t="shared" ca="1" si="94"/>
        <v>#N/A</v>
      </c>
      <c r="AL13" s="53" t="e">
        <f t="shared" ca="1" si="94"/>
        <v>#N/A</v>
      </c>
      <c r="AM13" s="53" t="e">
        <f t="shared" ca="1" si="94"/>
        <v>#N/A</v>
      </c>
      <c r="AN13" s="53" t="e">
        <f t="shared" ca="1" si="94"/>
        <v>#N/A</v>
      </c>
      <c r="AO13" s="53" t="e">
        <f t="shared" ca="1" si="94"/>
        <v>#N/A</v>
      </c>
      <c r="AP13" s="53" t="e">
        <f t="shared" ca="1" si="94"/>
        <v>#N/A</v>
      </c>
      <c r="AQ13" s="53" t="e">
        <f t="shared" ca="1" si="94"/>
        <v>#N/A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26589.724945971306</v>
      </c>
      <c r="F14" s="19" t="s">
        <v>601</v>
      </c>
      <c r="G14" s="53">
        <f ca="1">H14</f>
        <v>0.4137931034482758</v>
      </c>
      <c r="H14" s="53">
        <f ca="1">IF(ISNA(G8),NA(),IF(H4&lt;$C$10,(H8/OFFSET(H8,0,-H4))^(1/(H4)),(H8/OFFSET(H8,0,-$C$10))^(1/$C$10))-1)</f>
        <v>0.4137931034482758</v>
      </c>
      <c r="I14" s="53">
        <f t="shared" ref="I14:BT14" ca="1" si="98">IF(ISNA(H8),NA(),IF(I4&lt;$C$10,(I8/OFFSET(I8,0,-I4))^(1/(I4)),(I8/OFFSET(I8,0,-$C$10))^(1/$C$10))-1)</f>
        <v>0.33584533484258183</v>
      </c>
      <c r="J14" s="53">
        <f t="shared" ca="1" si="98"/>
        <v>0.33177499932927024</v>
      </c>
      <c r="K14" s="53">
        <f t="shared" ca="1" si="98"/>
        <v>0.29077180589770335</v>
      </c>
      <c r="L14" s="53">
        <f t="shared" ca="1" si="98"/>
        <v>0.27049993459236288</v>
      </c>
      <c r="M14" s="53">
        <f t="shared" ca="1" si="98"/>
        <v>0.22855263432816053</v>
      </c>
      <c r="N14" s="53">
        <f t="shared" ca="1" si="98"/>
        <v>0.23220054380487376</v>
      </c>
      <c r="O14" s="53">
        <f t="shared" ca="1" si="98"/>
        <v>0.2386803361622456</v>
      </c>
      <c r="P14" s="53">
        <f t="shared" ca="1" si="98"/>
        <v>0.28564583332242544</v>
      </c>
      <c r="Q14" s="53">
        <f t="shared" ca="1" si="98"/>
        <v>0.28166159281500835</v>
      </c>
      <c r="R14" s="53">
        <f t="shared" ca="1" si="98"/>
        <v>0.22593254085261694</v>
      </c>
      <c r="S14" s="53">
        <f t="shared" ca="1" si="98"/>
        <v>0.23436760595569517</v>
      </c>
      <c r="T14" s="53">
        <f t="shared" ca="1" si="98"/>
        <v>0.23505136750278721</v>
      </c>
      <c r="U14" s="53">
        <f t="shared" ca="1" si="98"/>
        <v>0.14696653867263243</v>
      </c>
      <c r="V14" s="53">
        <f t="shared" ca="1" si="98"/>
        <v>0.21206622028442301</v>
      </c>
      <c r="W14" s="53">
        <f t="shared" ca="1" si="98"/>
        <v>0.28163000318904796</v>
      </c>
      <c r="X14" s="53">
        <f t="shared" ca="1" si="98"/>
        <v>0.23985998645749285</v>
      </c>
      <c r="Y14" s="53">
        <f t="shared" ca="1" si="98"/>
        <v>0.19864500825295339</v>
      </c>
      <c r="Z14" s="53">
        <f t="shared" ca="1" si="98"/>
        <v>0.24587887548521414</v>
      </c>
      <c r="AA14" s="53">
        <f t="shared" ca="1" si="98"/>
        <v>0.17313028197332891</v>
      </c>
      <c r="AB14" s="53">
        <f t="shared" ca="1" si="98"/>
        <v>0.17191681343557641</v>
      </c>
      <c r="AC14" s="53">
        <f t="shared" ca="1" si="98"/>
        <v>0.20056921893977764</v>
      </c>
      <c r="AD14" s="53">
        <f t="shared" ca="1" si="98"/>
        <v>0.19781643804142401</v>
      </c>
      <c r="AE14" s="53">
        <f t="shared" ca="1" si="98"/>
        <v>0.1791538162033961</v>
      </c>
      <c r="AF14" s="53">
        <f t="shared" ca="1" si="98"/>
        <v>0.19004826855307111</v>
      </c>
      <c r="AG14" s="53" t="e">
        <f t="shared" ca="1" si="98"/>
        <v>#N/A</v>
      </c>
      <c r="AH14" s="53" t="e">
        <f t="shared" ca="1" si="98"/>
        <v>#N/A</v>
      </c>
      <c r="AI14" s="53" t="e">
        <f t="shared" ca="1" si="98"/>
        <v>#N/A</v>
      </c>
      <c r="AJ14" s="53" t="e">
        <f t="shared" ca="1" si="98"/>
        <v>#N/A</v>
      </c>
      <c r="AK14" s="53" t="e">
        <f t="shared" ca="1" si="98"/>
        <v>#N/A</v>
      </c>
      <c r="AL14" s="53" t="e">
        <f t="shared" ca="1" si="98"/>
        <v>#N/A</v>
      </c>
      <c r="AM14" s="53" t="e">
        <f t="shared" ca="1" si="98"/>
        <v>#N/A</v>
      </c>
      <c r="AN14" s="53" t="e">
        <f t="shared" ca="1" si="98"/>
        <v>#N/A</v>
      </c>
      <c r="AO14" s="53" t="e">
        <f t="shared" ca="1" si="98"/>
        <v>#N/A</v>
      </c>
      <c r="AP14" s="53" t="e">
        <f t="shared" ca="1" si="98"/>
        <v>#N/A</v>
      </c>
      <c r="AQ14" s="53" t="e">
        <f t="shared" ca="1" si="98"/>
        <v>#N/A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0.15710595466084709</v>
      </c>
      <c r="E15" s="93"/>
      <c r="F15" s="19" t="s">
        <v>568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>
        <f t="shared" ca="1" si="102"/>
        <v>0.25</v>
      </c>
      <c r="O15" s="53">
        <f t="shared" ca="1" si="102"/>
        <v>0.17260393995585743</v>
      </c>
      <c r="P15" s="53">
        <f t="shared" ca="1" si="102"/>
        <v>0.37946208819056038</v>
      </c>
      <c r="Q15" s="53">
        <f t="shared" ca="1" si="102"/>
        <v>0.44625380425953898</v>
      </c>
      <c r="R15" s="53">
        <f t="shared" ca="1" si="102"/>
        <v>0.47577316159455196</v>
      </c>
      <c r="S15" s="53">
        <f t="shared" ca="1" si="102"/>
        <v>0.47996576656540446</v>
      </c>
      <c r="T15" s="53">
        <f t="shared" ca="1" si="102"/>
        <v>0.56721338021581857</v>
      </c>
      <c r="U15" s="53">
        <f t="shared" ca="1" si="102"/>
        <v>0.45724293460350629</v>
      </c>
      <c r="V15" s="53">
        <f t="shared" ca="1" si="102"/>
        <v>0.3844280551246313</v>
      </c>
      <c r="W15" s="53">
        <f t="shared" ca="1" si="102"/>
        <v>0.33108431554633166</v>
      </c>
      <c r="X15" s="53">
        <f t="shared" ca="1" si="102"/>
        <v>0.31764419159315649</v>
      </c>
      <c r="Y15" s="53">
        <f t="shared" ca="1" si="102"/>
        <v>0.26433216777748192</v>
      </c>
      <c r="Z15" s="53">
        <f t="shared" ca="1" si="102"/>
        <v>0.25110066863380553</v>
      </c>
      <c r="AA15" s="53">
        <f t="shared" ca="1" si="102"/>
        <v>0.21225276364631673</v>
      </c>
      <c r="AB15" s="53">
        <f t="shared" ca="1" si="102"/>
        <v>0.1990641741051542</v>
      </c>
      <c r="AC15" s="53">
        <f t="shared" ca="1" si="102"/>
        <v>0.219627223303684</v>
      </c>
      <c r="AD15" s="53">
        <f t="shared" ca="1" si="102"/>
        <v>0.24892768561407141</v>
      </c>
      <c r="AE15" s="53">
        <f t="shared" ca="1" si="102"/>
        <v>0.23817929415649886</v>
      </c>
      <c r="AF15" s="53">
        <f t="shared" ca="1" si="102"/>
        <v>0.24803917982554546</v>
      </c>
      <c r="AG15" s="53" t="e">
        <f t="shared" ca="1" si="102"/>
        <v>#N/A</v>
      </c>
      <c r="AH15" s="53" t="e">
        <f t="shared" ca="1" si="102"/>
        <v>#N/A</v>
      </c>
      <c r="AI15" s="53" t="e">
        <f t="shared" ca="1" si="102"/>
        <v>#N/A</v>
      </c>
      <c r="AJ15" s="53" t="e">
        <f t="shared" ca="1" si="102"/>
        <v>#N/A</v>
      </c>
      <c r="AK15" s="53" t="e">
        <f t="shared" ca="1" si="102"/>
        <v>#N/A</v>
      </c>
      <c r="AL15" s="53" t="e">
        <f t="shared" ca="1" si="102"/>
        <v>#N/A</v>
      </c>
      <c r="AM15" s="53" t="e">
        <f t="shared" ca="1" si="102"/>
        <v>#N/A</v>
      </c>
      <c r="AN15" s="53" t="e">
        <f t="shared" ca="1" si="102"/>
        <v>#N/A</v>
      </c>
      <c r="AO15" s="53" t="e">
        <f t="shared" ca="1" si="102"/>
        <v>#N/A</v>
      </c>
      <c r="AP15" s="53" t="e">
        <f t="shared" ca="1" si="102"/>
        <v>#N/A</v>
      </c>
      <c r="AQ15" s="53" t="e">
        <f t="shared" ca="1" si="102"/>
        <v>#N/A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3" t="s">
        <v>585</v>
      </c>
      <c r="F16" s="19" t="s">
        <v>569</v>
      </c>
      <c r="G16" s="94">
        <f ca="1">IFERROR(AVERAGE(E14:G14),NA())</f>
        <v>0.4137931034482758</v>
      </c>
      <c r="H16" s="94">
        <f t="shared" ref="H16:O16" ca="1" si="106">IFERROR(AVERAGE(F14:H14),NA())</f>
        <v>0.4137931034482758</v>
      </c>
      <c r="I16" s="94">
        <f t="shared" ca="1" si="106"/>
        <v>0.3878105139130445</v>
      </c>
      <c r="J16" s="94">
        <f t="shared" ca="1" si="106"/>
        <v>0.36047114587337598</v>
      </c>
      <c r="K16" s="94">
        <f t="shared" ca="1" si="106"/>
        <v>0.31946404668985179</v>
      </c>
      <c r="L16" s="94">
        <f t="shared" ca="1" si="106"/>
        <v>0.29768224660644549</v>
      </c>
      <c r="M16" s="94">
        <f ca="1">IFERROR(AVERAGE(K14:M14),NA())</f>
        <v>0.26327479160607559</v>
      </c>
      <c r="N16" s="94">
        <f t="shared" ca="1" si="106"/>
        <v>0.24375103757513239</v>
      </c>
      <c r="O16" s="94">
        <f t="shared" ca="1" si="106"/>
        <v>0.2331445047650933</v>
      </c>
      <c r="P16" s="94">
        <f ca="1">IFERROR(AVERAGE(N14:P14),NA())</f>
        <v>0.25217557109651495</v>
      </c>
      <c r="Q16" s="94">
        <f t="shared" ref="Q16:AC16" ca="1" si="107">IFERROR(AVERAGE(O14:Q14),NA())</f>
        <v>0.26866258743322646</v>
      </c>
      <c r="R16" s="94">
        <f t="shared" ca="1" si="107"/>
        <v>0.26441332233001691</v>
      </c>
      <c r="S16" s="94">
        <f t="shared" ca="1" si="107"/>
        <v>0.24732057987444014</v>
      </c>
      <c r="T16" s="94">
        <f t="shared" ca="1" si="107"/>
        <v>0.23178383810369976</v>
      </c>
      <c r="U16" s="94">
        <f t="shared" ca="1" si="107"/>
        <v>0.20546183737703827</v>
      </c>
      <c r="V16" s="94">
        <f t="shared" ca="1" si="107"/>
        <v>0.19802804215328088</v>
      </c>
      <c r="W16" s="94">
        <f t="shared" ca="1" si="107"/>
        <v>0.21355425404870113</v>
      </c>
      <c r="X16" s="94">
        <f t="shared" ca="1" si="107"/>
        <v>0.24451873664365462</v>
      </c>
      <c r="Y16" s="94">
        <f t="shared" ca="1" si="107"/>
        <v>0.24004499929983139</v>
      </c>
      <c r="Z16" s="94">
        <f t="shared" ca="1" si="107"/>
        <v>0.22812795673188679</v>
      </c>
      <c r="AA16" s="94">
        <f t="shared" ca="1" si="107"/>
        <v>0.20588472190383214</v>
      </c>
      <c r="AB16" s="94">
        <f t="shared" ca="1" si="107"/>
        <v>0.19697532363137316</v>
      </c>
      <c r="AC16" s="94">
        <f t="shared" ca="1" si="107"/>
        <v>0.18187210478289431</v>
      </c>
      <c r="AD16" s="94">
        <f ca="1">IFERROR(AVERAGE(AB14:AD14),NA())</f>
        <v>0.19010082347225934</v>
      </c>
      <c r="AE16" s="94">
        <f ca="1">IFERROR(AVERAGE(AC14:AE14),NA())</f>
        <v>0.19251315772819924</v>
      </c>
      <c r="AF16" s="94">
        <f t="shared" ref="AF16:CP16" ca="1" si="108">IFERROR(AVERAGE(AD14:AF14),NA())</f>
        <v>0.18900617426596375</v>
      </c>
      <c r="AG16" s="94" t="e">
        <f t="shared" ca="1" si="108"/>
        <v>#N/A</v>
      </c>
      <c r="AH16" s="94" t="e">
        <f t="shared" ca="1" si="108"/>
        <v>#N/A</v>
      </c>
      <c r="AI16" s="94" t="e">
        <f t="shared" ca="1" si="108"/>
        <v>#N/A</v>
      </c>
      <c r="AJ16" s="94" t="e">
        <f t="shared" ca="1" si="108"/>
        <v>#N/A</v>
      </c>
      <c r="AK16" s="94" t="e">
        <f t="shared" ca="1" si="108"/>
        <v>#N/A</v>
      </c>
      <c r="AL16" s="94" t="e">
        <f t="shared" ca="1" si="108"/>
        <v>#N/A</v>
      </c>
      <c r="AM16" s="94" t="e">
        <f t="shared" ca="1" si="108"/>
        <v>#N/A</v>
      </c>
      <c r="AN16" s="94" t="e">
        <f t="shared" ca="1" si="108"/>
        <v>#N/A</v>
      </c>
      <c r="AO16" s="94" t="e">
        <f t="shared" ca="1" si="108"/>
        <v>#N/A</v>
      </c>
      <c r="AP16" s="94" t="e">
        <f t="shared" ca="1" si="108"/>
        <v>#N/A</v>
      </c>
      <c r="AQ16" s="94" t="e">
        <f t="shared" ca="1" si="108"/>
        <v>#N/A</v>
      </c>
      <c r="AR16" s="94" t="e">
        <f t="shared" ca="1" si="108"/>
        <v>#N/A</v>
      </c>
      <c r="AS16" s="94" t="e">
        <f t="shared" ca="1" si="108"/>
        <v>#N/A</v>
      </c>
      <c r="AT16" s="94" t="e">
        <f t="shared" ca="1" si="108"/>
        <v>#N/A</v>
      </c>
      <c r="AU16" s="94" t="e">
        <f t="shared" ca="1" si="108"/>
        <v>#N/A</v>
      </c>
      <c r="AV16" s="94" t="e">
        <f t="shared" ca="1" si="108"/>
        <v>#N/A</v>
      </c>
      <c r="AW16" s="94" t="e">
        <f t="shared" ca="1" si="108"/>
        <v>#N/A</v>
      </c>
      <c r="AX16" s="94" t="e">
        <f t="shared" ca="1" si="108"/>
        <v>#N/A</v>
      </c>
      <c r="AY16" s="94" t="e">
        <f t="shared" ca="1" si="108"/>
        <v>#N/A</v>
      </c>
      <c r="AZ16" s="94" t="e">
        <f t="shared" ca="1" si="108"/>
        <v>#N/A</v>
      </c>
      <c r="BA16" s="94" t="e">
        <f t="shared" ca="1" si="108"/>
        <v>#N/A</v>
      </c>
      <c r="BB16" s="94" t="e">
        <f t="shared" ca="1" si="108"/>
        <v>#N/A</v>
      </c>
      <c r="BC16" s="94" t="e">
        <f t="shared" ca="1" si="108"/>
        <v>#N/A</v>
      </c>
      <c r="BD16" s="94" t="e">
        <f t="shared" ca="1" si="108"/>
        <v>#N/A</v>
      </c>
      <c r="BE16" s="94" t="e">
        <f t="shared" ca="1" si="108"/>
        <v>#N/A</v>
      </c>
      <c r="BF16" s="94" t="e">
        <f t="shared" ca="1" si="108"/>
        <v>#N/A</v>
      </c>
      <c r="BG16" s="94" t="e">
        <f t="shared" ca="1" si="108"/>
        <v>#N/A</v>
      </c>
      <c r="BH16" s="94" t="e">
        <f t="shared" ca="1" si="108"/>
        <v>#N/A</v>
      </c>
      <c r="BI16" s="94" t="e">
        <f t="shared" ca="1" si="108"/>
        <v>#N/A</v>
      </c>
      <c r="BJ16" s="94" t="e">
        <f t="shared" ca="1" si="108"/>
        <v>#N/A</v>
      </c>
      <c r="BK16" s="94" t="e">
        <f t="shared" ca="1" si="108"/>
        <v>#N/A</v>
      </c>
      <c r="BL16" s="94" t="e">
        <f t="shared" ca="1" si="108"/>
        <v>#N/A</v>
      </c>
      <c r="BM16" s="94" t="e">
        <f t="shared" ca="1" si="108"/>
        <v>#N/A</v>
      </c>
      <c r="BN16" s="94" t="e">
        <f t="shared" ca="1" si="108"/>
        <v>#N/A</v>
      </c>
      <c r="BO16" s="94" t="e">
        <f t="shared" ca="1" si="108"/>
        <v>#N/A</v>
      </c>
      <c r="BP16" s="94" t="e">
        <f t="shared" ca="1" si="108"/>
        <v>#N/A</v>
      </c>
      <c r="BQ16" s="94" t="e">
        <f t="shared" ca="1" si="108"/>
        <v>#N/A</v>
      </c>
      <c r="BR16" s="94" t="e">
        <f t="shared" ca="1" si="108"/>
        <v>#N/A</v>
      </c>
      <c r="BS16" s="94" t="e">
        <f t="shared" ca="1" si="108"/>
        <v>#N/A</v>
      </c>
      <c r="BT16" s="94" t="e">
        <f t="shared" ca="1" si="108"/>
        <v>#N/A</v>
      </c>
      <c r="BU16" s="94" t="e">
        <f t="shared" ca="1" si="108"/>
        <v>#N/A</v>
      </c>
      <c r="BV16" s="94" t="e">
        <f t="shared" ca="1" si="108"/>
        <v>#N/A</v>
      </c>
      <c r="BW16" s="94" t="e">
        <f t="shared" ca="1" si="108"/>
        <v>#N/A</v>
      </c>
      <c r="BX16" s="94" t="e">
        <f t="shared" ca="1" si="108"/>
        <v>#N/A</v>
      </c>
      <c r="BY16" s="94" t="e">
        <f t="shared" ca="1" si="108"/>
        <v>#N/A</v>
      </c>
      <c r="BZ16" s="94" t="e">
        <f t="shared" ca="1" si="108"/>
        <v>#N/A</v>
      </c>
      <c r="CA16" s="94" t="e">
        <f t="shared" ca="1" si="108"/>
        <v>#N/A</v>
      </c>
      <c r="CB16" s="94" t="e">
        <f t="shared" ca="1" si="108"/>
        <v>#N/A</v>
      </c>
      <c r="CC16" s="94" t="e">
        <f t="shared" ca="1" si="108"/>
        <v>#N/A</v>
      </c>
      <c r="CD16" s="94" t="e">
        <f t="shared" ca="1" si="108"/>
        <v>#N/A</v>
      </c>
      <c r="CE16" s="94" t="e">
        <f t="shared" ca="1" si="108"/>
        <v>#N/A</v>
      </c>
      <c r="CF16" s="94" t="e">
        <f t="shared" ca="1" si="108"/>
        <v>#N/A</v>
      </c>
      <c r="CG16" s="94" t="e">
        <f t="shared" ca="1" si="108"/>
        <v>#N/A</v>
      </c>
      <c r="CH16" s="94" t="e">
        <f t="shared" ca="1" si="108"/>
        <v>#N/A</v>
      </c>
      <c r="CI16" s="94" t="e">
        <f t="shared" ca="1" si="108"/>
        <v>#N/A</v>
      </c>
      <c r="CJ16" s="94" t="e">
        <f t="shared" ca="1" si="108"/>
        <v>#N/A</v>
      </c>
      <c r="CK16" s="94" t="e">
        <f t="shared" ca="1" si="108"/>
        <v>#N/A</v>
      </c>
      <c r="CL16" s="94" t="e">
        <f t="shared" ca="1" si="108"/>
        <v>#N/A</v>
      </c>
      <c r="CM16" s="94" t="e">
        <f t="shared" ca="1" si="108"/>
        <v>#N/A</v>
      </c>
      <c r="CN16" s="94" t="e">
        <f t="shared" ca="1" si="108"/>
        <v>#N/A</v>
      </c>
      <c r="CO16" s="94" t="e">
        <f t="shared" ca="1" si="108"/>
        <v>#N/A</v>
      </c>
      <c r="CP16" s="94" t="e">
        <f t="shared" ca="1" si="108"/>
        <v>#N/A</v>
      </c>
      <c r="CQ16" s="94" t="e">
        <f t="shared" ref="CQ16:FB16" ca="1" si="109">IFERROR(AVERAGE(CO14:CQ14),NA())</f>
        <v>#N/A</v>
      </c>
      <c r="CR16" s="94" t="e">
        <f t="shared" ca="1" si="109"/>
        <v>#N/A</v>
      </c>
      <c r="CS16" s="94" t="e">
        <f t="shared" ca="1" si="109"/>
        <v>#N/A</v>
      </c>
      <c r="CT16" s="94" t="e">
        <f t="shared" ca="1" si="109"/>
        <v>#N/A</v>
      </c>
      <c r="CU16" s="94" t="e">
        <f t="shared" ca="1" si="109"/>
        <v>#N/A</v>
      </c>
      <c r="CV16" s="94" t="e">
        <f t="shared" ca="1" si="109"/>
        <v>#N/A</v>
      </c>
      <c r="CW16" s="94" t="e">
        <f t="shared" ca="1" si="109"/>
        <v>#N/A</v>
      </c>
      <c r="CX16" s="94" t="e">
        <f t="shared" ca="1" si="109"/>
        <v>#N/A</v>
      </c>
      <c r="CY16" s="94" t="e">
        <f t="shared" ca="1" si="109"/>
        <v>#N/A</v>
      </c>
      <c r="CZ16" s="94" t="e">
        <f t="shared" ca="1" si="109"/>
        <v>#N/A</v>
      </c>
      <c r="DA16" s="94" t="e">
        <f t="shared" ca="1" si="109"/>
        <v>#N/A</v>
      </c>
      <c r="DB16" s="94" t="e">
        <f t="shared" ca="1" si="109"/>
        <v>#N/A</v>
      </c>
      <c r="DC16" s="94" t="e">
        <f t="shared" ca="1" si="109"/>
        <v>#N/A</v>
      </c>
      <c r="DD16" s="94" t="e">
        <f t="shared" ca="1" si="109"/>
        <v>#N/A</v>
      </c>
      <c r="DE16" s="94" t="e">
        <f t="shared" ca="1" si="109"/>
        <v>#N/A</v>
      </c>
      <c r="DF16" s="94" t="e">
        <f t="shared" ca="1" si="109"/>
        <v>#N/A</v>
      </c>
      <c r="DG16" s="94" t="e">
        <f t="shared" ca="1" si="109"/>
        <v>#N/A</v>
      </c>
      <c r="DH16" s="94" t="e">
        <f t="shared" ca="1" si="109"/>
        <v>#N/A</v>
      </c>
      <c r="DI16" s="94" t="e">
        <f t="shared" ca="1" si="109"/>
        <v>#N/A</v>
      </c>
      <c r="DJ16" s="94" t="e">
        <f t="shared" ca="1" si="109"/>
        <v>#N/A</v>
      </c>
      <c r="DK16" s="94" t="e">
        <f t="shared" ca="1" si="109"/>
        <v>#N/A</v>
      </c>
      <c r="DL16" s="94" t="e">
        <f t="shared" ca="1" si="109"/>
        <v>#N/A</v>
      </c>
      <c r="DM16" s="94" t="e">
        <f t="shared" ca="1" si="109"/>
        <v>#N/A</v>
      </c>
      <c r="DN16" s="94" t="e">
        <f t="shared" ca="1" si="109"/>
        <v>#N/A</v>
      </c>
      <c r="DO16" s="94" t="e">
        <f t="shared" ca="1" si="109"/>
        <v>#N/A</v>
      </c>
      <c r="DP16" s="94" t="e">
        <f t="shared" ca="1" si="109"/>
        <v>#N/A</v>
      </c>
      <c r="DQ16" s="94" t="e">
        <f t="shared" ca="1" si="109"/>
        <v>#N/A</v>
      </c>
      <c r="DR16" s="94" t="e">
        <f t="shared" ca="1" si="109"/>
        <v>#N/A</v>
      </c>
      <c r="DS16" s="94" t="e">
        <f t="shared" ca="1" si="109"/>
        <v>#N/A</v>
      </c>
      <c r="DT16" s="94" t="e">
        <f t="shared" ca="1" si="109"/>
        <v>#N/A</v>
      </c>
      <c r="DU16" s="94" t="e">
        <f t="shared" ca="1" si="109"/>
        <v>#N/A</v>
      </c>
      <c r="DV16" s="94" t="e">
        <f t="shared" ca="1" si="109"/>
        <v>#N/A</v>
      </c>
      <c r="DW16" s="94" t="e">
        <f t="shared" ca="1" si="109"/>
        <v>#N/A</v>
      </c>
      <c r="DX16" s="94" t="e">
        <f t="shared" ca="1" si="109"/>
        <v>#N/A</v>
      </c>
      <c r="DY16" s="94" t="e">
        <f t="shared" ca="1" si="109"/>
        <v>#N/A</v>
      </c>
      <c r="DZ16" s="94" t="e">
        <f t="shared" ca="1" si="109"/>
        <v>#N/A</v>
      </c>
      <c r="EA16" s="94" t="e">
        <f t="shared" ca="1" si="109"/>
        <v>#N/A</v>
      </c>
      <c r="EB16" s="94" t="e">
        <f t="shared" ca="1" si="109"/>
        <v>#N/A</v>
      </c>
      <c r="EC16" s="94" t="e">
        <f t="shared" ca="1" si="109"/>
        <v>#N/A</v>
      </c>
      <c r="ED16" s="94" t="e">
        <f t="shared" ca="1" si="109"/>
        <v>#N/A</v>
      </c>
      <c r="EE16" s="94" t="e">
        <f t="shared" ca="1" si="109"/>
        <v>#N/A</v>
      </c>
      <c r="EF16" s="94" t="e">
        <f t="shared" ca="1" si="109"/>
        <v>#N/A</v>
      </c>
      <c r="EG16" s="94" t="e">
        <f t="shared" ca="1" si="109"/>
        <v>#N/A</v>
      </c>
      <c r="EH16" s="94" t="e">
        <f t="shared" ca="1" si="109"/>
        <v>#N/A</v>
      </c>
      <c r="EI16" s="94" t="e">
        <f t="shared" ca="1" si="109"/>
        <v>#N/A</v>
      </c>
      <c r="EJ16" s="94" t="e">
        <f t="shared" ca="1" si="109"/>
        <v>#N/A</v>
      </c>
      <c r="EK16" s="94" t="e">
        <f t="shared" ca="1" si="109"/>
        <v>#N/A</v>
      </c>
      <c r="EL16" s="94" t="e">
        <f t="shared" ca="1" si="109"/>
        <v>#N/A</v>
      </c>
      <c r="EM16" s="94" t="e">
        <f t="shared" ca="1" si="109"/>
        <v>#N/A</v>
      </c>
      <c r="EN16" s="94" t="e">
        <f t="shared" ca="1" si="109"/>
        <v>#N/A</v>
      </c>
      <c r="EO16" s="94" t="e">
        <f t="shared" ca="1" si="109"/>
        <v>#N/A</v>
      </c>
      <c r="EP16" s="94" t="e">
        <f t="shared" ca="1" si="109"/>
        <v>#N/A</v>
      </c>
      <c r="EQ16" s="94" t="e">
        <f t="shared" ca="1" si="109"/>
        <v>#N/A</v>
      </c>
      <c r="ER16" s="94" t="e">
        <f t="shared" ca="1" si="109"/>
        <v>#N/A</v>
      </c>
      <c r="ES16" s="94" t="e">
        <f t="shared" ca="1" si="109"/>
        <v>#N/A</v>
      </c>
      <c r="ET16" s="94" t="e">
        <f t="shared" ca="1" si="109"/>
        <v>#N/A</v>
      </c>
      <c r="EU16" s="94" t="e">
        <f t="shared" ca="1" si="109"/>
        <v>#N/A</v>
      </c>
      <c r="EV16" s="94" t="e">
        <f t="shared" ca="1" si="109"/>
        <v>#N/A</v>
      </c>
      <c r="EW16" s="94" t="e">
        <f t="shared" ca="1" si="109"/>
        <v>#N/A</v>
      </c>
      <c r="EX16" s="94" t="e">
        <f t="shared" ca="1" si="109"/>
        <v>#N/A</v>
      </c>
      <c r="EY16" s="94" t="e">
        <f t="shared" ca="1" si="109"/>
        <v>#N/A</v>
      </c>
      <c r="EZ16" s="94" t="e">
        <f t="shared" ca="1" si="109"/>
        <v>#N/A</v>
      </c>
      <c r="FA16" s="94" t="e">
        <f t="shared" ca="1" si="109"/>
        <v>#N/A</v>
      </c>
      <c r="FB16" s="94" t="e">
        <f t="shared" ca="1" si="109"/>
        <v>#N/A</v>
      </c>
      <c r="FC16" s="94" t="e">
        <f t="shared" ref="FC16:HN16" ca="1" si="110">IFERROR(AVERAGE(FA14:FC14),NA())</f>
        <v>#N/A</v>
      </c>
      <c r="FD16" s="94" t="e">
        <f t="shared" ca="1" si="110"/>
        <v>#N/A</v>
      </c>
      <c r="FE16" s="94" t="e">
        <f t="shared" ca="1" si="110"/>
        <v>#N/A</v>
      </c>
      <c r="FF16" s="94" t="e">
        <f t="shared" ca="1" si="110"/>
        <v>#N/A</v>
      </c>
      <c r="FG16" s="94" t="e">
        <f t="shared" ca="1" si="110"/>
        <v>#N/A</v>
      </c>
      <c r="FH16" s="94" t="e">
        <f t="shared" ca="1" si="110"/>
        <v>#N/A</v>
      </c>
      <c r="FI16" s="94" t="e">
        <f t="shared" ca="1" si="110"/>
        <v>#N/A</v>
      </c>
      <c r="FJ16" s="94" t="e">
        <f t="shared" ca="1" si="110"/>
        <v>#N/A</v>
      </c>
      <c r="FK16" s="94" t="e">
        <f t="shared" ca="1" si="110"/>
        <v>#N/A</v>
      </c>
      <c r="FL16" s="94" t="e">
        <f t="shared" ca="1" si="110"/>
        <v>#N/A</v>
      </c>
      <c r="FM16" s="94" t="e">
        <f t="shared" ca="1" si="110"/>
        <v>#N/A</v>
      </c>
      <c r="FN16" s="94" t="e">
        <f t="shared" ca="1" si="110"/>
        <v>#N/A</v>
      </c>
      <c r="FO16" s="94" t="e">
        <f t="shared" ca="1" si="110"/>
        <v>#N/A</v>
      </c>
      <c r="FP16" s="94" t="e">
        <f t="shared" ca="1" si="110"/>
        <v>#N/A</v>
      </c>
      <c r="FQ16" s="94" t="e">
        <f t="shared" ca="1" si="110"/>
        <v>#N/A</v>
      </c>
      <c r="FR16" s="94" t="e">
        <f t="shared" ca="1" si="110"/>
        <v>#N/A</v>
      </c>
      <c r="FS16" s="94" t="e">
        <f t="shared" ca="1" si="110"/>
        <v>#N/A</v>
      </c>
      <c r="FT16" s="94" t="e">
        <f t="shared" ca="1" si="110"/>
        <v>#N/A</v>
      </c>
      <c r="FU16" s="94" t="e">
        <f t="shared" ca="1" si="110"/>
        <v>#N/A</v>
      </c>
      <c r="FV16" s="94" t="e">
        <f t="shared" ca="1" si="110"/>
        <v>#N/A</v>
      </c>
      <c r="FW16" s="94" t="e">
        <f t="shared" ca="1" si="110"/>
        <v>#N/A</v>
      </c>
      <c r="FX16" s="94" t="e">
        <f t="shared" ca="1" si="110"/>
        <v>#N/A</v>
      </c>
      <c r="FY16" s="94" t="e">
        <f t="shared" ca="1" si="110"/>
        <v>#N/A</v>
      </c>
      <c r="FZ16" s="94" t="e">
        <f t="shared" ca="1" si="110"/>
        <v>#N/A</v>
      </c>
      <c r="GA16" s="94" t="e">
        <f t="shared" ca="1" si="110"/>
        <v>#N/A</v>
      </c>
      <c r="GB16" s="94" t="e">
        <f t="shared" ca="1" si="110"/>
        <v>#N/A</v>
      </c>
      <c r="GC16" s="94" t="e">
        <f t="shared" ca="1" si="110"/>
        <v>#N/A</v>
      </c>
      <c r="GD16" s="94" t="e">
        <f t="shared" ca="1" si="110"/>
        <v>#N/A</v>
      </c>
      <c r="GE16" s="94" t="e">
        <f t="shared" ca="1" si="110"/>
        <v>#N/A</v>
      </c>
      <c r="GF16" s="94" t="e">
        <f t="shared" ca="1" si="110"/>
        <v>#N/A</v>
      </c>
      <c r="GG16" s="94" t="e">
        <f t="shared" ca="1" si="110"/>
        <v>#N/A</v>
      </c>
      <c r="GH16" s="94" t="e">
        <f t="shared" ca="1" si="110"/>
        <v>#N/A</v>
      </c>
      <c r="GI16" s="94" t="e">
        <f t="shared" ca="1" si="110"/>
        <v>#N/A</v>
      </c>
      <c r="GJ16" s="94" t="e">
        <f t="shared" ca="1" si="110"/>
        <v>#N/A</v>
      </c>
      <c r="GK16" s="94" t="e">
        <f t="shared" ca="1" si="110"/>
        <v>#N/A</v>
      </c>
      <c r="GL16" s="94" t="e">
        <f t="shared" ca="1" si="110"/>
        <v>#N/A</v>
      </c>
      <c r="GM16" s="94" t="e">
        <f t="shared" ca="1" si="110"/>
        <v>#N/A</v>
      </c>
      <c r="GN16" s="94" t="e">
        <f t="shared" ca="1" si="110"/>
        <v>#N/A</v>
      </c>
      <c r="GO16" s="94" t="e">
        <f t="shared" ca="1" si="110"/>
        <v>#N/A</v>
      </c>
      <c r="GP16" s="94" t="e">
        <f t="shared" ca="1" si="110"/>
        <v>#N/A</v>
      </c>
      <c r="GQ16" s="94" t="e">
        <f t="shared" ca="1" si="110"/>
        <v>#N/A</v>
      </c>
      <c r="GR16" s="94" t="e">
        <f t="shared" ca="1" si="110"/>
        <v>#N/A</v>
      </c>
      <c r="GS16" s="94" t="e">
        <f t="shared" ca="1" si="110"/>
        <v>#N/A</v>
      </c>
      <c r="GT16" s="94" t="e">
        <f t="shared" ca="1" si="110"/>
        <v>#N/A</v>
      </c>
      <c r="GU16" s="94" t="e">
        <f t="shared" ca="1" si="110"/>
        <v>#N/A</v>
      </c>
      <c r="GV16" s="94" t="e">
        <f t="shared" ca="1" si="110"/>
        <v>#N/A</v>
      </c>
      <c r="GW16" s="94" t="e">
        <f t="shared" ca="1" si="110"/>
        <v>#N/A</v>
      </c>
      <c r="GX16" s="94" t="e">
        <f t="shared" ca="1" si="110"/>
        <v>#N/A</v>
      </c>
      <c r="GY16" s="94" t="e">
        <f t="shared" ca="1" si="110"/>
        <v>#N/A</v>
      </c>
      <c r="GZ16" s="94" t="e">
        <f t="shared" ca="1" si="110"/>
        <v>#N/A</v>
      </c>
      <c r="HA16" s="94" t="e">
        <f t="shared" ca="1" si="110"/>
        <v>#N/A</v>
      </c>
      <c r="HB16" s="94" t="e">
        <f t="shared" ca="1" si="110"/>
        <v>#N/A</v>
      </c>
      <c r="HC16" s="94" t="e">
        <f t="shared" ca="1" si="110"/>
        <v>#N/A</v>
      </c>
      <c r="HD16" s="94" t="e">
        <f t="shared" ca="1" si="110"/>
        <v>#N/A</v>
      </c>
      <c r="HE16" s="94" t="e">
        <f t="shared" ca="1" si="110"/>
        <v>#N/A</v>
      </c>
      <c r="HF16" s="94" t="e">
        <f t="shared" ca="1" si="110"/>
        <v>#N/A</v>
      </c>
      <c r="HG16" s="94" t="e">
        <f t="shared" ca="1" si="110"/>
        <v>#N/A</v>
      </c>
      <c r="HH16" s="94" t="e">
        <f t="shared" ca="1" si="110"/>
        <v>#N/A</v>
      </c>
      <c r="HI16" s="94" t="e">
        <f t="shared" ca="1" si="110"/>
        <v>#N/A</v>
      </c>
      <c r="HJ16" s="94" t="e">
        <f t="shared" ca="1" si="110"/>
        <v>#N/A</v>
      </c>
      <c r="HK16" s="94" t="e">
        <f t="shared" ca="1" si="110"/>
        <v>#N/A</v>
      </c>
      <c r="HL16" s="94" t="e">
        <f t="shared" ca="1" si="110"/>
        <v>#N/A</v>
      </c>
      <c r="HM16" s="94" t="e">
        <f t="shared" ca="1" si="110"/>
        <v>#N/A</v>
      </c>
      <c r="HN16" s="94" t="e">
        <f t="shared" ca="1" si="110"/>
        <v>#N/A</v>
      </c>
      <c r="HO16" s="94" t="e">
        <f t="shared" ref="HO16:IN16" ca="1" si="111">IFERROR(AVERAGE(HM14:HO14),NA())</f>
        <v>#N/A</v>
      </c>
      <c r="HP16" s="94" t="e">
        <f t="shared" ca="1" si="111"/>
        <v>#N/A</v>
      </c>
      <c r="HQ16" s="94" t="e">
        <f t="shared" ca="1" si="111"/>
        <v>#N/A</v>
      </c>
      <c r="HR16" s="94" t="e">
        <f t="shared" ca="1" si="111"/>
        <v>#N/A</v>
      </c>
      <c r="HS16" s="94" t="e">
        <f t="shared" ca="1" si="111"/>
        <v>#N/A</v>
      </c>
      <c r="HT16" s="94" t="e">
        <f t="shared" ca="1" si="111"/>
        <v>#N/A</v>
      </c>
      <c r="HU16" s="94" t="e">
        <f t="shared" ca="1" si="111"/>
        <v>#N/A</v>
      </c>
      <c r="HV16" s="94" t="e">
        <f t="shared" ca="1" si="111"/>
        <v>#N/A</v>
      </c>
      <c r="HW16" s="94" t="e">
        <f t="shared" ca="1" si="111"/>
        <v>#N/A</v>
      </c>
      <c r="HX16" s="94" t="e">
        <f t="shared" ca="1" si="111"/>
        <v>#N/A</v>
      </c>
      <c r="HY16" s="94" t="e">
        <f t="shared" ca="1" si="111"/>
        <v>#N/A</v>
      </c>
      <c r="HZ16" s="94" t="e">
        <f t="shared" ca="1" si="111"/>
        <v>#N/A</v>
      </c>
      <c r="IA16" s="94" t="e">
        <f t="shared" ca="1" si="111"/>
        <v>#N/A</v>
      </c>
      <c r="IB16" s="94" t="e">
        <f t="shared" ca="1" si="111"/>
        <v>#N/A</v>
      </c>
      <c r="IC16" s="94" t="e">
        <f t="shared" ca="1" si="111"/>
        <v>#N/A</v>
      </c>
      <c r="ID16" s="94" t="e">
        <f t="shared" ca="1" si="111"/>
        <v>#N/A</v>
      </c>
      <c r="IE16" s="94" t="e">
        <f t="shared" ca="1" si="111"/>
        <v>#N/A</v>
      </c>
      <c r="IF16" s="94" t="e">
        <f t="shared" ca="1" si="111"/>
        <v>#N/A</v>
      </c>
      <c r="IG16" s="94" t="e">
        <f t="shared" ca="1" si="111"/>
        <v>#N/A</v>
      </c>
      <c r="IH16" s="94" t="e">
        <f t="shared" ca="1" si="111"/>
        <v>#N/A</v>
      </c>
      <c r="II16" s="94" t="e">
        <f t="shared" ca="1" si="111"/>
        <v>#N/A</v>
      </c>
      <c r="IJ16" s="94" t="e">
        <f t="shared" ca="1" si="111"/>
        <v>#N/A</v>
      </c>
      <c r="IK16" s="94" t="e">
        <f t="shared" ca="1" si="111"/>
        <v>#N/A</v>
      </c>
      <c r="IL16" s="94" t="e">
        <f t="shared" ca="1" si="111"/>
        <v>#N/A</v>
      </c>
      <c r="IM16" s="94" t="e">
        <f t="shared" ca="1" si="111"/>
        <v>#N/A</v>
      </c>
      <c r="IN16" s="94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3" t="s">
        <v>585</v>
      </c>
      <c r="F17" s="19" t="s">
        <v>568</v>
      </c>
      <c r="G17" s="94" t="e">
        <f t="shared" ref="G17:AC17" ca="1" si="112">IFERROR(AVERAGE(E15:G15),NA())</f>
        <v>#N/A</v>
      </c>
      <c r="H17" s="94" t="e">
        <f t="shared" ca="1" si="112"/>
        <v>#N/A</v>
      </c>
      <c r="I17" s="94" t="e">
        <f t="shared" ca="1" si="112"/>
        <v>#N/A</v>
      </c>
      <c r="J17" s="94" t="e">
        <f t="shared" ca="1" si="112"/>
        <v>#N/A</v>
      </c>
      <c r="K17" s="94" t="e">
        <f t="shared" ca="1" si="112"/>
        <v>#N/A</v>
      </c>
      <c r="L17" s="94" t="e">
        <f t="shared" ca="1" si="112"/>
        <v>#N/A</v>
      </c>
      <c r="M17" s="94" t="e">
        <f t="shared" ca="1" si="112"/>
        <v>#N/A</v>
      </c>
      <c r="N17" s="94" t="e">
        <f t="shared" ca="1" si="112"/>
        <v>#N/A</v>
      </c>
      <c r="O17" s="94" t="e">
        <f t="shared" ca="1" si="112"/>
        <v>#N/A</v>
      </c>
      <c r="P17" s="94">
        <f t="shared" ca="1" si="112"/>
        <v>0.26735534271547262</v>
      </c>
      <c r="Q17" s="94">
        <f t="shared" ca="1" si="112"/>
        <v>0.33277327746865226</v>
      </c>
      <c r="R17" s="94">
        <f t="shared" ca="1" si="112"/>
        <v>0.43382968468155042</v>
      </c>
      <c r="S17" s="94">
        <f t="shared" ca="1" si="112"/>
        <v>0.46733091080649847</v>
      </c>
      <c r="T17" s="94">
        <f t="shared" ca="1" si="112"/>
        <v>0.50765076945859167</v>
      </c>
      <c r="U17" s="94">
        <f t="shared" ca="1" si="112"/>
        <v>0.50147402712824307</v>
      </c>
      <c r="V17" s="94">
        <f t="shared" ca="1" si="112"/>
        <v>0.46962812331465204</v>
      </c>
      <c r="W17" s="94">
        <f t="shared" ca="1" si="112"/>
        <v>0.39091843509148977</v>
      </c>
      <c r="X17" s="94">
        <f t="shared" ca="1" si="112"/>
        <v>0.34438552075470646</v>
      </c>
      <c r="Y17" s="94">
        <f t="shared" ca="1" si="112"/>
        <v>0.30435355830565669</v>
      </c>
      <c r="Z17" s="94">
        <f t="shared" ca="1" si="112"/>
        <v>0.27769234266814796</v>
      </c>
      <c r="AA17" s="94">
        <f t="shared" ca="1" si="112"/>
        <v>0.24256186668586807</v>
      </c>
      <c r="AB17" s="94">
        <f t="shared" ca="1" si="112"/>
        <v>0.22080586879509215</v>
      </c>
      <c r="AC17" s="94">
        <f t="shared" ca="1" si="112"/>
        <v>0.2103147203517183</v>
      </c>
      <c r="AD17" s="94">
        <f ca="1">IFERROR(AVERAGE(AB15:AD15),NA())</f>
        <v>0.22253969434096987</v>
      </c>
      <c r="AE17" s="94">
        <f t="shared" ref="AE17:CP17" ca="1" si="113">IFERROR(AVERAGE(AC15:AE15),NA())</f>
        <v>0.23557806769141809</v>
      </c>
      <c r="AF17" s="94">
        <f t="shared" ca="1" si="113"/>
        <v>0.24504871986537191</v>
      </c>
      <c r="AG17" s="94" t="e">
        <f t="shared" ca="1" si="113"/>
        <v>#N/A</v>
      </c>
      <c r="AH17" s="94" t="e">
        <f t="shared" ca="1" si="113"/>
        <v>#N/A</v>
      </c>
      <c r="AI17" s="94" t="e">
        <f t="shared" ca="1" si="113"/>
        <v>#N/A</v>
      </c>
      <c r="AJ17" s="94" t="e">
        <f t="shared" ca="1" si="113"/>
        <v>#N/A</v>
      </c>
      <c r="AK17" s="94" t="e">
        <f t="shared" ca="1" si="113"/>
        <v>#N/A</v>
      </c>
      <c r="AL17" s="94" t="e">
        <f t="shared" ca="1" si="113"/>
        <v>#N/A</v>
      </c>
      <c r="AM17" s="94" t="e">
        <f t="shared" ca="1" si="113"/>
        <v>#N/A</v>
      </c>
      <c r="AN17" s="94" t="e">
        <f t="shared" ca="1" si="113"/>
        <v>#N/A</v>
      </c>
      <c r="AO17" s="94" t="e">
        <f t="shared" ca="1" si="113"/>
        <v>#N/A</v>
      </c>
      <c r="AP17" s="94" t="e">
        <f t="shared" ca="1" si="113"/>
        <v>#N/A</v>
      </c>
      <c r="AQ17" s="94" t="e">
        <f t="shared" ca="1" si="113"/>
        <v>#N/A</v>
      </c>
      <c r="AR17" s="94" t="e">
        <f t="shared" ca="1" si="113"/>
        <v>#N/A</v>
      </c>
      <c r="AS17" s="94" t="e">
        <f t="shared" ca="1" si="113"/>
        <v>#N/A</v>
      </c>
      <c r="AT17" s="94" t="e">
        <f t="shared" ca="1" si="113"/>
        <v>#N/A</v>
      </c>
      <c r="AU17" s="94" t="e">
        <f t="shared" ca="1" si="113"/>
        <v>#N/A</v>
      </c>
      <c r="AV17" s="94" t="e">
        <f t="shared" ca="1" si="113"/>
        <v>#N/A</v>
      </c>
      <c r="AW17" s="94" t="e">
        <f t="shared" ca="1" si="113"/>
        <v>#N/A</v>
      </c>
      <c r="AX17" s="94" t="e">
        <f t="shared" ca="1" si="113"/>
        <v>#N/A</v>
      </c>
      <c r="AY17" s="94" t="e">
        <f t="shared" ca="1" si="113"/>
        <v>#N/A</v>
      </c>
      <c r="AZ17" s="94" t="e">
        <f t="shared" ca="1" si="113"/>
        <v>#N/A</v>
      </c>
      <c r="BA17" s="94" t="e">
        <f t="shared" ca="1" si="113"/>
        <v>#N/A</v>
      </c>
      <c r="BB17" s="94" t="e">
        <f t="shared" ca="1" si="113"/>
        <v>#N/A</v>
      </c>
      <c r="BC17" s="94" t="e">
        <f t="shared" ca="1" si="113"/>
        <v>#N/A</v>
      </c>
      <c r="BD17" s="94" t="e">
        <f t="shared" ca="1" si="113"/>
        <v>#N/A</v>
      </c>
      <c r="BE17" s="94" t="e">
        <f t="shared" ca="1" si="113"/>
        <v>#N/A</v>
      </c>
      <c r="BF17" s="94" t="e">
        <f t="shared" ca="1" si="113"/>
        <v>#N/A</v>
      </c>
      <c r="BG17" s="94" t="e">
        <f t="shared" ca="1" si="113"/>
        <v>#N/A</v>
      </c>
      <c r="BH17" s="94" t="e">
        <f t="shared" ca="1" si="113"/>
        <v>#N/A</v>
      </c>
      <c r="BI17" s="94" t="e">
        <f t="shared" ca="1" si="113"/>
        <v>#N/A</v>
      </c>
      <c r="BJ17" s="94" t="e">
        <f t="shared" ca="1" si="113"/>
        <v>#N/A</v>
      </c>
      <c r="BK17" s="94" t="e">
        <f t="shared" ca="1" si="113"/>
        <v>#N/A</v>
      </c>
      <c r="BL17" s="94" t="e">
        <f t="shared" ca="1" si="113"/>
        <v>#N/A</v>
      </c>
      <c r="BM17" s="94" t="e">
        <f t="shared" ca="1" si="113"/>
        <v>#N/A</v>
      </c>
      <c r="BN17" s="94" t="e">
        <f t="shared" ca="1" si="113"/>
        <v>#N/A</v>
      </c>
      <c r="BO17" s="94" t="e">
        <f t="shared" ca="1" si="113"/>
        <v>#N/A</v>
      </c>
      <c r="BP17" s="94" t="e">
        <f t="shared" ca="1" si="113"/>
        <v>#N/A</v>
      </c>
      <c r="BQ17" s="94" t="e">
        <f t="shared" ca="1" si="113"/>
        <v>#N/A</v>
      </c>
      <c r="BR17" s="94" t="e">
        <f t="shared" ca="1" si="113"/>
        <v>#N/A</v>
      </c>
      <c r="BS17" s="94" t="e">
        <f t="shared" ca="1" si="113"/>
        <v>#N/A</v>
      </c>
      <c r="BT17" s="94" t="e">
        <f t="shared" ca="1" si="113"/>
        <v>#N/A</v>
      </c>
      <c r="BU17" s="94" t="e">
        <f t="shared" ca="1" si="113"/>
        <v>#N/A</v>
      </c>
      <c r="BV17" s="94" t="e">
        <f t="shared" ca="1" si="113"/>
        <v>#N/A</v>
      </c>
      <c r="BW17" s="94" t="e">
        <f t="shared" ca="1" si="113"/>
        <v>#N/A</v>
      </c>
      <c r="BX17" s="94" t="e">
        <f t="shared" ca="1" si="113"/>
        <v>#N/A</v>
      </c>
      <c r="BY17" s="94" t="e">
        <f t="shared" ca="1" si="113"/>
        <v>#N/A</v>
      </c>
      <c r="BZ17" s="94" t="e">
        <f t="shared" ca="1" si="113"/>
        <v>#N/A</v>
      </c>
      <c r="CA17" s="94" t="e">
        <f t="shared" ca="1" si="113"/>
        <v>#N/A</v>
      </c>
      <c r="CB17" s="94" t="e">
        <f t="shared" ca="1" si="113"/>
        <v>#N/A</v>
      </c>
      <c r="CC17" s="94" t="e">
        <f t="shared" ca="1" si="113"/>
        <v>#N/A</v>
      </c>
      <c r="CD17" s="94" t="e">
        <f t="shared" ca="1" si="113"/>
        <v>#N/A</v>
      </c>
      <c r="CE17" s="94" t="e">
        <f t="shared" ca="1" si="113"/>
        <v>#N/A</v>
      </c>
      <c r="CF17" s="94" t="e">
        <f t="shared" ca="1" si="113"/>
        <v>#N/A</v>
      </c>
      <c r="CG17" s="94" t="e">
        <f t="shared" ca="1" si="113"/>
        <v>#N/A</v>
      </c>
      <c r="CH17" s="94" t="e">
        <f t="shared" ca="1" si="113"/>
        <v>#N/A</v>
      </c>
      <c r="CI17" s="94" t="e">
        <f t="shared" ca="1" si="113"/>
        <v>#N/A</v>
      </c>
      <c r="CJ17" s="94" t="e">
        <f t="shared" ca="1" si="113"/>
        <v>#N/A</v>
      </c>
      <c r="CK17" s="94" t="e">
        <f t="shared" ca="1" si="113"/>
        <v>#N/A</v>
      </c>
      <c r="CL17" s="94" t="e">
        <f t="shared" ca="1" si="113"/>
        <v>#N/A</v>
      </c>
      <c r="CM17" s="94" t="e">
        <f t="shared" ca="1" si="113"/>
        <v>#N/A</v>
      </c>
      <c r="CN17" s="94" t="e">
        <f t="shared" ca="1" si="113"/>
        <v>#N/A</v>
      </c>
      <c r="CO17" s="94" t="e">
        <f t="shared" ca="1" si="113"/>
        <v>#N/A</v>
      </c>
      <c r="CP17" s="94" t="e">
        <f t="shared" ca="1" si="113"/>
        <v>#N/A</v>
      </c>
      <c r="CQ17" s="94" t="e">
        <f t="shared" ref="CQ17:FB17" ca="1" si="114">IFERROR(AVERAGE(CO15:CQ15),NA())</f>
        <v>#N/A</v>
      </c>
      <c r="CR17" s="94" t="e">
        <f t="shared" ca="1" si="114"/>
        <v>#N/A</v>
      </c>
      <c r="CS17" s="94" t="e">
        <f t="shared" ca="1" si="114"/>
        <v>#N/A</v>
      </c>
      <c r="CT17" s="94" t="e">
        <f t="shared" ca="1" si="114"/>
        <v>#N/A</v>
      </c>
      <c r="CU17" s="94" t="e">
        <f t="shared" ca="1" si="114"/>
        <v>#N/A</v>
      </c>
      <c r="CV17" s="94" t="e">
        <f t="shared" ca="1" si="114"/>
        <v>#N/A</v>
      </c>
      <c r="CW17" s="94" t="e">
        <f t="shared" ca="1" si="114"/>
        <v>#N/A</v>
      </c>
      <c r="CX17" s="94" t="e">
        <f t="shared" ca="1" si="114"/>
        <v>#N/A</v>
      </c>
      <c r="CY17" s="94" t="e">
        <f t="shared" ca="1" si="114"/>
        <v>#N/A</v>
      </c>
      <c r="CZ17" s="94" t="e">
        <f t="shared" ca="1" si="114"/>
        <v>#N/A</v>
      </c>
      <c r="DA17" s="94" t="e">
        <f t="shared" ca="1" si="114"/>
        <v>#N/A</v>
      </c>
      <c r="DB17" s="94" t="e">
        <f t="shared" ca="1" si="114"/>
        <v>#N/A</v>
      </c>
      <c r="DC17" s="94" t="e">
        <f t="shared" ca="1" si="114"/>
        <v>#N/A</v>
      </c>
      <c r="DD17" s="94" t="e">
        <f t="shared" ca="1" si="114"/>
        <v>#N/A</v>
      </c>
      <c r="DE17" s="94" t="e">
        <f t="shared" ca="1" si="114"/>
        <v>#N/A</v>
      </c>
      <c r="DF17" s="94" t="e">
        <f t="shared" ca="1" si="114"/>
        <v>#N/A</v>
      </c>
      <c r="DG17" s="94" t="e">
        <f t="shared" ca="1" si="114"/>
        <v>#N/A</v>
      </c>
      <c r="DH17" s="94" t="e">
        <f t="shared" ca="1" si="114"/>
        <v>#N/A</v>
      </c>
      <c r="DI17" s="94" t="e">
        <f t="shared" ca="1" si="114"/>
        <v>#N/A</v>
      </c>
      <c r="DJ17" s="94" t="e">
        <f t="shared" ca="1" si="114"/>
        <v>#N/A</v>
      </c>
      <c r="DK17" s="94" t="e">
        <f t="shared" ca="1" si="114"/>
        <v>#N/A</v>
      </c>
      <c r="DL17" s="94" t="e">
        <f t="shared" ca="1" si="114"/>
        <v>#N/A</v>
      </c>
      <c r="DM17" s="94" t="e">
        <f t="shared" ca="1" si="114"/>
        <v>#N/A</v>
      </c>
      <c r="DN17" s="94" t="e">
        <f t="shared" ca="1" si="114"/>
        <v>#N/A</v>
      </c>
      <c r="DO17" s="94" t="e">
        <f t="shared" ca="1" si="114"/>
        <v>#N/A</v>
      </c>
      <c r="DP17" s="94" t="e">
        <f t="shared" ca="1" si="114"/>
        <v>#N/A</v>
      </c>
      <c r="DQ17" s="94" t="e">
        <f t="shared" ca="1" si="114"/>
        <v>#N/A</v>
      </c>
      <c r="DR17" s="94" t="e">
        <f t="shared" ca="1" si="114"/>
        <v>#N/A</v>
      </c>
      <c r="DS17" s="94" t="e">
        <f t="shared" ca="1" si="114"/>
        <v>#N/A</v>
      </c>
      <c r="DT17" s="94" t="e">
        <f t="shared" ca="1" si="114"/>
        <v>#N/A</v>
      </c>
      <c r="DU17" s="94" t="e">
        <f t="shared" ca="1" si="114"/>
        <v>#N/A</v>
      </c>
      <c r="DV17" s="94" t="e">
        <f t="shared" ca="1" si="114"/>
        <v>#N/A</v>
      </c>
      <c r="DW17" s="94" t="e">
        <f t="shared" ca="1" si="114"/>
        <v>#N/A</v>
      </c>
      <c r="DX17" s="94" t="e">
        <f t="shared" ca="1" si="114"/>
        <v>#N/A</v>
      </c>
      <c r="DY17" s="94" t="e">
        <f t="shared" ca="1" si="114"/>
        <v>#N/A</v>
      </c>
      <c r="DZ17" s="94" t="e">
        <f t="shared" ca="1" si="114"/>
        <v>#N/A</v>
      </c>
      <c r="EA17" s="94" t="e">
        <f t="shared" ca="1" si="114"/>
        <v>#N/A</v>
      </c>
      <c r="EB17" s="94" t="e">
        <f t="shared" ca="1" si="114"/>
        <v>#N/A</v>
      </c>
      <c r="EC17" s="94" t="e">
        <f t="shared" ca="1" si="114"/>
        <v>#N/A</v>
      </c>
      <c r="ED17" s="94" t="e">
        <f t="shared" ca="1" si="114"/>
        <v>#N/A</v>
      </c>
      <c r="EE17" s="94" t="e">
        <f t="shared" ca="1" si="114"/>
        <v>#N/A</v>
      </c>
      <c r="EF17" s="94" t="e">
        <f t="shared" ca="1" si="114"/>
        <v>#N/A</v>
      </c>
      <c r="EG17" s="94" t="e">
        <f t="shared" ca="1" si="114"/>
        <v>#N/A</v>
      </c>
      <c r="EH17" s="94" t="e">
        <f t="shared" ca="1" si="114"/>
        <v>#N/A</v>
      </c>
      <c r="EI17" s="94" t="e">
        <f t="shared" ca="1" si="114"/>
        <v>#N/A</v>
      </c>
      <c r="EJ17" s="94" t="e">
        <f t="shared" ca="1" si="114"/>
        <v>#N/A</v>
      </c>
      <c r="EK17" s="94" t="e">
        <f t="shared" ca="1" si="114"/>
        <v>#N/A</v>
      </c>
      <c r="EL17" s="94" t="e">
        <f t="shared" ca="1" si="114"/>
        <v>#N/A</v>
      </c>
      <c r="EM17" s="94" t="e">
        <f t="shared" ca="1" si="114"/>
        <v>#N/A</v>
      </c>
      <c r="EN17" s="94" t="e">
        <f t="shared" ca="1" si="114"/>
        <v>#N/A</v>
      </c>
      <c r="EO17" s="94" t="e">
        <f t="shared" ca="1" si="114"/>
        <v>#N/A</v>
      </c>
      <c r="EP17" s="94" t="e">
        <f t="shared" ca="1" si="114"/>
        <v>#N/A</v>
      </c>
      <c r="EQ17" s="94" t="e">
        <f t="shared" ca="1" si="114"/>
        <v>#N/A</v>
      </c>
      <c r="ER17" s="94" t="e">
        <f t="shared" ca="1" si="114"/>
        <v>#N/A</v>
      </c>
      <c r="ES17" s="94" t="e">
        <f t="shared" ca="1" si="114"/>
        <v>#N/A</v>
      </c>
      <c r="ET17" s="94" t="e">
        <f t="shared" ca="1" si="114"/>
        <v>#N/A</v>
      </c>
      <c r="EU17" s="94" t="e">
        <f t="shared" ca="1" si="114"/>
        <v>#N/A</v>
      </c>
      <c r="EV17" s="94" t="e">
        <f t="shared" ca="1" si="114"/>
        <v>#N/A</v>
      </c>
      <c r="EW17" s="94" t="e">
        <f t="shared" ca="1" si="114"/>
        <v>#N/A</v>
      </c>
      <c r="EX17" s="94" t="e">
        <f t="shared" ca="1" si="114"/>
        <v>#N/A</v>
      </c>
      <c r="EY17" s="94" t="e">
        <f t="shared" ca="1" si="114"/>
        <v>#N/A</v>
      </c>
      <c r="EZ17" s="94" t="e">
        <f t="shared" ca="1" si="114"/>
        <v>#N/A</v>
      </c>
      <c r="FA17" s="94" t="e">
        <f t="shared" ca="1" si="114"/>
        <v>#N/A</v>
      </c>
      <c r="FB17" s="94" t="e">
        <f t="shared" ca="1" si="114"/>
        <v>#N/A</v>
      </c>
      <c r="FC17" s="94" t="e">
        <f t="shared" ref="FC17:HN17" ca="1" si="115">IFERROR(AVERAGE(FA15:FC15),NA())</f>
        <v>#N/A</v>
      </c>
      <c r="FD17" s="94" t="e">
        <f t="shared" ca="1" si="115"/>
        <v>#N/A</v>
      </c>
      <c r="FE17" s="94" t="e">
        <f t="shared" ca="1" si="115"/>
        <v>#N/A</v>
      </c>
      <c r="FF17" s="94" t="e">
        <f t="shared" ca="1" si="115"/>
        <v>#N/A</v>
      </c>
      <c r="FG17" s="94" t="e">
        <f t="shared" ca="1" si="115"/>
        <v>#N/A</v>
      </c>
      <c r="FH17" s="94" t="e">
        <f t="shared" ca="1" si="115"/>
        <v>#N/A</v>
      </c>
      <c r="FI17" s="94" t="e">
        <f t="shared" ca="1" si="115"/>
        <v>#N/A</v>
      </c>
      <c r="FJ17" s="94" t="e">
        <f t="shared" ca="1" si="115"/>
        <v>#N/A</v>
      </c>
      <c r="FK17" s="94" t="e">
        <f t="shared" ca="1" si="115"/>
        <v>#N/A</v>
      </c>
      <c r="FL17" s="94" t="e">
        <f t="shared" ca="1" si="115"/>
        <v>#N/A</v>
      </c>
      <c r="FM17" s="94" t="e">
        <f t="shared" ca="1" si="115"/>
        <v>#N/A</v>
      </c>
      <c r="FN17" s="94" t="e">
        <f t="shared" ca="1" si="115"/>
        <v>#N/A</v>
      </c>
      <c r="FO17" s="94" t="e">
        <f t="shared" ca="1" si="115"/>
        <v>#N/A</v>
      </c>
      <c r="FP17" s="94" t="e">
        <f t="shared" ca="1" si="115"/>
        <v>#N/A</v>
      </c>
      <c r="FQ17" s="94" t="e">
        <f t="shared" ca="1" si="115"/>
        <v>#N/A</v>
      </c>
      <c r="FR17" s="94" t="e">
        <f t="shared" ca="1" si="115"/>
        <v>#N/A</v>
      </c>
      <c r="FS17" s="94" t="e">
        <f t="shared" ca="1" si="115"/>
        <v>#N/A</v>
      </c>
      <c r="FT17" s="94" t="e">
        <f t="shared" ca="1" si="115"/>
        <v>#N/A</v>
      </c>
      <c r="FU17" s="94" t="e">
        <f t="shared" ca="1" si="115"/>
        <v>#N/A</v>
      </c>
      <c r="FV17" s="94" t="e">
        <f t="shared" ca="1" si="115"/>
        <v>#N/A</v>
      </c>
      <c r="FW17" s="94" t="e">
        <f t="shared" ca="1" si="115"/>
        <v>#N/A</v>
      </c>
      <c r="FX17" s="94" t="e">
        <f t="shared" ca="1" si="115"/>
        <v>#N/A</v>
      </c>
      <c r="FY17" s="94" t="e">
        <f t="shared" ca="1" si="115"/>
        <v>#N/A</v>
      </c>
      <c r="FZ17" s="94" t="e">
        <f t="shared" ca="1" si="115"/>
        <v>#N/A</v>
      </c>
      <c r="GA17" s="94" t="e">
        <f t="shared" ca="1" si="115"/>
        <v>#N/A</v>
      </c>
      <c r="GB17" s="94" t="e">
        <f t="shared" ca="1" si="115"/>
        <v>#N/A</v>
      </c>
      <c r="GC17" s="94" t="e">
        <f t="shared" ca="1" si="115"/>
        <v>#N/A</v>
      </c>
      <c r="GD17" s="94" t="e">
        <f t="shared" ca="1" si="115"/>
        <v>#N/A</v>
      </c>
      <c r="GE17" s="94" t="e">
        <f t="shared" ca="1" si="115"/>
        <v>#N/A</v>
      </c>
      <c r="GF17" s="94" t="e">
        <f t="shared" ca="1" si="115"/>
        <v>#N/A</v>
      </c>
      <c r="GG17" s="94" t="e">
        <f t="shared" ca="1" si="115"/>
        <v>#N/A</v>
      </c>
      <c r="GH17" s="94" t="e">
        <f t="shared" ca="1" si="115"/>
        <v>#N/A</v>
      </c>
      <c r="GI17" s="94" t="e">
        <f t="shared" ca="1" si="115"/>
        <v>#N/A</v>
      </c>
      <c r="GJ17" s="94" t="e">
        <f t="shared" ca="1" si="115"/>
        <v>#N/A</v>
      </c>
      <c r="GK17" s="94" t="e">
        <f t="shared" ca="1" si="115"/>
        <v>#N/A</v>
      </c>
      <c r="GL17" s="94" t="e">
        <f t="shared" ca="1" si="115"/>
        <v>#N/A</v>
      </c>
      <c r="GM17" s="94" t="e">
        <f t="shared" ca="1" si="115"/>
        <v>#N/A</v>
      </c>
      <c r="GN17" s="94" t="e">
        <f t="shared" ca="1" si="115"/>
        <v>#N/A</v>
      </c>
      <c r="GO17" s="94" t="e">
        <f t="shared" ca="1" si="115"/>
        <v>#N/A</v>
      </c>
      <c r="GP17" s="94" t="e">
        <f t="shared" ca="1" si="115"/>
        <v>#N/A</v>
      </c>
      <c r="GQ17" s="94" t="e">
        <f t="shared" ca="1" si="115"/>
        <v>#N/A</v>
      </c>
      <c r="GR17" s="94" t="e">
        <f t="shared" ca="1" si="115"/>
        <v>#N/A</v>
      </c>
      <c r="GS17" s="94" t="e">
        <f t="shared" ca="1" si="115"/>
        <v>#N/A</v>
      </c>
      <c r="GT17" s="94" t="e">
        <f t="shared" ca="1" si="115"/>
        <v>#N/A</v>
      </c>
      <c r="GU17" s="94" t="e">
        <f t="shared" ca="1" si="115"/>
        <v>#N/A</v>
      </c>
      <c r="GV17" s="94" t="e">
        <f t="shared" ca="1" si="115"/>
        <v>#N/A</v>
      </c>
      <c r="GW17" s="94" t="e">
        <f t="shared" ca="1" si="115"/>
        <v>#N/A</v>
      </c>
      <c r="GX17" s="94" t="e">
        <f t="shared" ca="1" si="115"/>
        <v>#N/A</v>
      </c>
      <c r="GY17" s="94" t="e">
        <f t="shared" ca="1" si="115"/>
        <v>#N/A</v>
      </c>
      <c r="GZ17" s="94" t="e">
        <f t="shared" ca="1" si="115"/>
        <v>#N/A</v>
      </c>
      <c r="HA17" s="94" t="e">
        <f t="shared" ca="1" si="115"/>
        <v>#N/A</v>
      </c>
      <c r="HB17" s="94" t="e">
        <f t="shared" ca="1" si="115"/>
        <v>#N/A</v>
      </c>
      <c r="HC17" s="94" t="e">
        <f t="shared" ca="1" si="115"/>
        <v>#N/A</v>
      </c>
      <c r="HD17" s="94" t="e">
        <f t="shared" ca="1" si="115"/>
        <v>#N/A</v>
      </c>
      <c r="HE17" s="94" t="e">
        <f t="shared" ca="1" si="115"/>
        <v>#N/A</v>
      </c>
      <c r="HF17" s="94" t="e">
        <f t="shared" ca="1" si="115"/>
        <v>#N/A</v>
      </c>
      <c r="HG17" s="94" t="e">
        <f t="shared" ca="1" si="115"/>
        <v>#N/A</v>
      </c>
      <c r="HH17" s="94" t="e">
        <f t="shared" ca="1" si="115"/>
        <v>#N/A</v>
      </c>
      <c r="HI17" s="94" t="e">
        <f t="shared" ca="1" si="115"/>
        <v>#N/A</v>
      </c>
      <c r="HJ17" s="94" t="e">
        <f t="shared" ca="1" si="115"/>
        <v>#N/A</v>
      </c>
      <c r="HK17" s="94" t="e">
        <f t="shared" ca="1" si="115"/>
        <v>#N/A</v>
      </c>
      <c r="HL17" s="94" t="e">
        <f t="shared" ca="1" si="115"/>
        <v>#N/A</v>
      </c>
      <c r="HM17" s="94" t="e">
        <f t="shared" ca="1" si="115"/>
        <v>#N/A</v>
      </c>
      <c r="HN17" s="94" t="e">
        <f t="shared" ca="1" si="115"/>
        <v>#N/A</v>
      </c>
      <c r="HO17" s="94" t="e">
        <f t="shared" ref="HO17:IN17" ca="1" si="116">IFERROR(AVERAGE(HM15:HO15),NA())</f>
        <v>#N/A</v>
      </c>
      <c r="HP17" s="94" t="e">
        <f t="shared" ca="1" si="116"/>
        <v>#N/A</v>
      </c>
      <c r="HQ17" s="94" t="e">
        <f t="shared" ca="1" si="116"/>
        <v>#N/A</v>
      </c>
      <c r="HR17" s="94" t="e">
        <f t="shared" ca="1" si="116"/>
        <v>#N/A</v>
      </c>
      <c r="HS17" s="94" t="e">
        <f t="shared" ca="1" si="116"/>
        <v>#N/A</v>
      </c>
      <c r="HT17" s="94" t="e">
        <f t="shared" ca="1" si="116"/>
        <v>#N/A</v>
      </c>
      <c r="HU17" s="94" t="e">
        <f t="shared" ca="1" si="116"/>
        <v>#N/A</v>
      </c>
      <c r="HV17" s="94" t="e">
        <f t="shared" ca="1" si="116"/>
        <v>#N/A</v>
      </c>
      <c r="HW17" s="94" t="e">
        <f t="shared" ca="1" si="116"/>
        <v>#N/A</v>
      </c>
      <c r="HX17" s="94" t="e">
        <f t="shared" ca="1" si="116"/>
        <v>#N/A</v>
      </c>
      <c r="HY17" s="94" t="e">
        <f t="shared" ca="1" si="116"/>
        <v>#N/A</v>
      </c>
      <c r="HZ17" s="94" t="e">
        <f t="shared" ca="1" si="116"/>
        <v>#N/A</v>
      </c>
      <c r="IA17" s="94" t="e">
        <f t="shared" ca="1" si="116"/>
        <v>#N/A</v>
      </c>
      <c r="IB17" s="94" t="e">
        <f t="shared" ca="1" si="116"/>
        <v>#N/A</v>
      </c>
      <c r="IC17" s="94" t="e">
        <f t="shared" ca="1" si="116"/>
        <v>#N/A</v>
      </c>
      <c r="ID17" s="94" t="e">
        <f t="shared" ca="1" si="116"/>
        <v>#N/A</v>
      </c>
      <c r="IE17" s="94" t="e">
        <f t="shared" ca="1" si="116"/>
        <v>#N/A</v>
      </c>
      <c r="IF17" s="94" t="e">
        <f t="shared" ca="1" si="116"/>
        <v>#N/A</v>
      </c>
      <c r="IG17" s="94" t="e">
        <f t="shared" ca="1" si="116"/>
        <v>#N/A</v>
      </c>
      <c r="IH17" s="94" t="e">
        <f t="shared" ca="1" si="116"/>
        <v>#N/A</v>
      </c>
      <c r="II17" s="94" t="e">
        <f t="shared" ca="1" si="116"/>
        <v>#N/A</v>
      </c>
      <c r="IJ17" s="94" t="e">
        <f t="shared" ca="1" si="116"/>
        <v>#N/A</v>
      </c>
      <c r="IK17" s="94" t="e">
        <f t="shared" ca="1" si="116"/>
        <v>#N/A</v>
      </c>
      <c r="IL17" s="94" t="e">
        <f t="shared" ca="1" si="116"/>
        <v>#N/A</v>
      </c>
      <c r="IM17" s="94" t="e">
        <f t="shared" ca="1" si="116"/>
        <v>#N/A</v>
      </c>
      <c r="IN17" s="94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7">$C$16</f>
        <v>4480.4767259999999</v>
      </c>
      <c r="I19" s="40">
        <f t="shared" si="117"/>
        <v>4480.4767259999999</v>
      </c>
      <c r="J19" s="40">
        <f t="shared" si="117"/>
        <v>4480.4767259999999</v>
      </c>
      <c r="K19" s="40">
        <f t="shared" si="117"/>
        <v>4480.4767259999999</v>
      </c>
      <c r="L19" s="40">
        <f t="shared" si="117"/>
        <v>4480.4767259999999</v>
      </c>
      <c r="M19" s="40">
        <f t="shared" si="117"/>
        <v>4480.4767259999999</v>
      </c>
      <c r="N19" s="40">
        <f t="shared" si="117"/>
        <v>4480.4767259999999</v>
      </c>
      <c r="O19" s="40">
        <f t="shared" si="117"/>
        <v>4480.4767259999999</v>
      </c>
      <c r="P19" s="40">
        <f t="shared" si="117"/>
        <v>4480.4767259999999</v>
      </c>
      <c r="Q19" s="40">
        <f t="shared" si="117"/>
        <v>4480.4767259999999</v>
      </c>
      <c r="R19" s="40">
        <f t="shared" si="117"/>
        <v>4480.4767259999999</v>
      </c>
      <c r="S19" s="40">
        <f t="shared" si="117"/>
        <v>4480.4767259999999</v>
      </c>
      <c r="T19" s="40">
        <f t="shared" si="117"/>
        <v>4480.4767259999999</v>
      </c>
      <c r="U19" s="40">
        <f t="shared" si="117"/>
        <v>4480.4767259999999</v>
      </c>
      <c r="V19" s="40">
        <f t="shared" si="117"/>
        <v>4480.4767259999999</v>
      </c>
      <c r="W19" s="40">
        <f t="shared" si="117"/>
        <v>4480.4767259999999</v>
      </c>
      <c r="X19" s="40">
        <f t="shared" si="117"/>
        <v>4480.4767259999999</v>
      </c>
      <c r="Y19" s="40">
        <f t="shared" si="117"/>
        <v>4480.4767259999999</v>
      </c>
      <c r="Z19" s="40">
        <f t="shared" si="117"/>
        <v>4480.4767259999999</v>
      </c>
      <c r="AA19" s="40">
        <f t="shared" si="117"/>
        <v>4480.4767259999999</v>
      </c>
      <c r="AB19" s="40">
        <f t="shared" si="117"/>
        <v>4480.4767259999999</v>
      </c>
      <c r="AC19" s="40">
        <f t="shared" si="117"/>
        <v>4480.4767259999999</v>
      </c>
      <c r="AD19" s="40">
        <f t="shared" si="117"/>
        <v>4480.4767259999999</v>
      </c>
      <c r="AE19" s="40">
        <f t="shared" si="117"/>
        <v>4480.4767259999999</v>
      </c>
      <c r="AF19" s="40">
        <f t="shared" si="117"/>
        <v>4480.4767259999999</v>
      </c>
      <c r="AG19" s="40">
        <f t="shared" si="117"/>
        <v>4480.4767259999999</v>
      </c>
      <c r="AH19" s="40">
        <f t="shared" si="117"/>
        <v>4480.4767259999999</v>
      </c>
      <c r="AI19" s="40">
        <f t="shared" si="117"/>
        <v>4480.4767259999999</v>
      </c>
      <c r="AJ19" s="40">
        <f t="shared" si="117"/>
        <v>4480.4767259999999</v>
      </c>
      <c r="AK19" s="40">
        <f t="shared" si="117"/>
        <v>4480.4767259999999</v>
      </c>
      <c r="AL19" s="40">
        <f t="shared" si="117"/>
        <v>4480.4767259999999</v>
      </c>
      <c r="AM19" s="40">
        <f t="shared" si="117"/>
        <v>4480.4767259999999</v>
      </c>
      <c r="AN19" s="40">
        <f t="shared" si="117"/>
        <v>4480.4767259999999</v>
      </c>
      <c r="AO19" s="40">
        <f t="shared" si="117"/>
        <v>4480.4767259999999</v>
      </c>
      <c r="AP19" s="40">
        <f t="shared" si="117"/>
        <v>4480.4767259999999</v>
      </c>
      <c r="AQ19" s="40">
        <f t="shared" si="117"/>
        <v>4480.4767259999999</v>
      </c>
      <c r="AR19" s="40">
        <f t="shared" si="117"/>
        <v>4480.4767259999999</v>
      </c>
      <c r="AS19" s="40">
        <f t="shared" si="117"/>
        <v>4480.4767259999999</v>
      </c>
      <c r="AT19" s="40">
        <f t="shared" si="117"/>
        <v>4480.4767259999999</v>
      </c>
      <c r="AU19" s="40">
        <f t="shared" si="117"/>
        <v>4480.4767259999999</v>
      </c>
      <c r="AV19" s="40">
        <f t="shared" si="117"/>
        <v>4480.4767259999999</v>
      </c>
      <c r="AW19" s="40">
        <f t="shared" si="117"/>
        <v>4480.4767259999999</v>
      </c>
      <c r="AX19" s="40">
        <f t="shared" si="117"/>
        <v>4480.4767259999999</v>
      </c>
      <c r="AY19" s="40">
        <f t="shared" si="117"/>
        <v>4480.4767259999999</v>
      </c>
      <c r="AZ19" s="40">
        <f t="shared" si="117"/>
        <v>4480.4767259999999</v>
      </c>
      <c r="BA19" s="40">
        <f t="shared" si="117"/>
        <v>4480.4767259999999</v>
      </c>
      <c r="BB19" s="40">
        <f t="shared" si="117"/>
        <v>4480.4767259999999</v>
      </c>
      <c r="BC19" s="40">
        <f t="shared" si="117"/>
        <v>4480.4767259999999</v>
      </c>
      <c r="BD19" s="40">
        <f t="shared" si="117"/>
        <v>4480.4767259999999</v>
      </c>
      <c r="BE19" s="40">
        <f t="shared" si="117"/>
        <v>4480.4767259999999</v>
      </c>
      <c r="BF19" s="40">
        <f t="shared" si="117"/>
        <v>4480.4767259999999</v>
      </c>
      <c r="BG19" s="40">
        <f t="shared" si="117"/>
        <v>4480.4767259999999</v>
      </c>
      <c r="BH19" s="40">
        <f t="shared" si="117"/>
        <v>4480.4767259999999</v>
      </c>
      <c r="BI19" s="40">
        <f t="shared" si="117"/>
        <v>4480.4767259999999</v>
      </c>
      <c r="BJ19" s="40">
        <f t="shared" si="117"/>
        <v>4480.4767259999999</v>
      </c>
      <c r="BK19" s="40">
        <f t="shared" si="117"/>
        <v>4480.4767259999999</v>
      </c>
      <c r="BL19" s="40">
        <f t="shared" si="117"/>
        <v>4480.4767259999999</v>
      </c>
      <c r="BM19" s="40">
        <f t="shared" si="117"/>
        <v>4480.4767259999999</v>
      </c>
      <c r="BN19" s="40">
        <f t="shared" si="117"/>
        <v>4480.4767259999999</v>
      </c>
      <c r="BO19" s="40">
        <f t="shared" si="117"/>
        <v>4480.4767259999999</v>
      </c>
      <c r="BP19" s="40">
        <f t="shared" si="117"/>
        <v>4480.4767259999999</v>
      </c>
      <c r="BQ19" s="40">
        <f t="shared" si="117"/>
        <v>4480.4767259999999</v>
      </c>
      <c r="BR19" s="40">
        <f t="shared" si="117"/>
        <v>4480.4767259999999</v>
      </c>
      <c r="BS19" s="40">
        <f t="shared" si="117"/>
        <v>4480.4767259999999</v>
      </c>
      <c r="BT19" s="40">
        <f t="shared" ref="BT19:EE19" si="118">$C$16</f>
        <v>4480.4767259999999</v>
      </c>
      <c r="BU19" s="40">
        <f t="shared" si="118"/>
        <v>4480.4767259999999</v>
      </c>
      <c r="BV19" s="40">
        <f t="shared" si="118"/>
        <v>4480.4767259999999</v>
      </c>
      <c r="BW19" s="40">
        <f t="shared" si="118"/>
        <v>4480.4767259999999</v>
      </c>
      <c r="BX19" s="40">
        <f t="shared" si="118"/>
        <v>4480.4767259999999</v>
      </c>
      <c r="BY19" s="40">
        <f t="shared" si="118"/>
        <v>4480.4767259999999</v>
      </c>
      <c r="BZ19" s="40">
        <f t="shared" si="118"/>
        <v>4480.4767259999999</v>
      </c>
      <c r="CA19" s="40">
        <f t="shared" si="118"/>
        <v>4480.4767259999999</v>
      </c>
      <c r="CB19" s="40">
        <f t="shared" si="118"/>
        <v>4480.4767259999999</v>
      </c>
      <c r="CC19" s="40">
        <f t="shared" si="118"/>
        <v>4480.4767259999999</v>
      </c>
      <c r="CD19" s="40">
        <f t="shared" si="118"/>
        <v>4480.4767259999999</v>
      </c>
      <c r="CE19" s="40">
        <f t="shared" si="118"/>
        <v>4480.4767259999999</v>
      </c>
      <c r="CF19" s="40">
        <f t="shared" si="118"/>
        <v>4480.4767259999999</v>
      </c>
      <c r="CG19" s="40">
        <f t="shared" si="118"/>
        <v>4480.4767259999999</v>
      </c>
      <c r="CH19" s="40">
        <f t="shared" si="118"/>
        <v>4480.4767259999999</v>
      </c>
      <c r="CI19" s="40">
        <f t="shared" si="118"/>
        <v>4480.4767259999999</v>
      </c>
      <c r="CJ19" s="40">
        <f t="shared" si="118"/>
        <v>4480.4767259999999</v>
      </c>
      <c r="CK19" s="40">
        <f t="shared" si="118"/>
        <v>4480.4767259999999</v>
      </c>
      <c r="CL19" s="40">
        <f t="shared" si="118"/>
        <v>4480.4767259999999</v>
      </c>
      <c r="CM19" s="40">
        <f t="shared" si="118"/>
        <v>4480.4767259999999</v>
      </c>
      <c r="CN19" s="40">
        <f t="shared" si="118"/>
        <v>4480.4767259999999</v>
      </c>
      <c r="CO19" s="40">
        <f t="shared" si="118"/>
        <v>4480.4767259999999</v>
      </c>
      <c r="CP19" s="40">
        <f t="shared" si="118"/>
        <v>4480.4767259999999</v>
      </c>
      <c r="CQ19" s="40">
        <f t="shared" si="118"/>
        <v>4480.4767259999999</v>
      </c>
      <c r="CR19" s="40">
        <f t="shared" si="118"/>
        <v>4480.4767259999999</v>
      </c>
      <c r="CS19" s="40">
        <f t="shared" si="118"/>
        <v>4480.4767259999999</v>
      </c>
      <c r="CT19" s="40">
        <f t="shared" si="118"/>
        <v>4480.4767259999999</v>
      </c>
      <c r="CU19" s="40">
        <f t="shared" si="118"/>
        <v>4480.4767259999999</v>
      </c>
      <c r="CV19" s="40">
        <f t="shared" si="118"/>
        <v>4480.4767259999999</v>
      </c>
      <c r="CW19" s="40">
        <f t="shared" si="118"/>
        <v>4480.4767259999999</v>
      </c>
      <c r="CX19" s="40">
        <f t="shared" si="118"/>
        <v>4480.4767259999999</v>
      </c>
      <c r="CY19" s="40">
        <f t="shared" si="118"/>
        <v>4480.4767259999999</v>
      </c>
      <c r="CZ19" s="40">
        <f t="shared" si="118"/>
        <v>4480.4767259999999</v>
      </c>
      <c r="DA19" s="40">
        <f t="shared" si="118"/>
        <v>4480.4767259999999</v>
      </c>
      <c r="DB19" s="40">
        <f t="shared" si="118"/>
        <v>4480.4767259999999</v>
      </c>
      <c r="DC19" s="40">
        <f t="shared" si="118"/>
        <v>4480.4767259999999</v>
      </c>
      <c r="DD19" s="40">
        <f t="shared" si="118"/>
        <v>4480.4767259999999</v>
      </c>
      <c r="DE19" s="40">
        <f t="shared" si="118"/>
        <v>4480.4767259999999</v>
      </c>
      <c r="DF19" s="40">
        <f t="shared" si="118"/>
        <v>4480.4767259999999</v>
      </c>
      <c r="DG19" s="40">
        <f t="shared" si="118"/>
        <v>4480.4767259999999</v>
      </c>
      <c r="DH19" s="40">
        <f t="shared" si="118"/>
        <v>4480.4767259999999</v>
      </c>
      <c r="DI19" s="40">
        <f t="shared" si="118"/>
        <v>4480.4767259999999</v>
      </c>
      <c r="DJ19" s="40">
        <f t="shared" si="118"/>
        <v>4480.4767259999999</v>
      </c>
      <c r="DK19" s="40">
        <f t="shared" si="118"/>
        <v>4480.4767259999999</v>
      </c>
      <c r="DL19" s="40">
        <f t="shared" si="118"/>
        <v>4480.4767259999999</v>
      </c>
      <c r="DM19" s="40">
        <f t="shared" si="118"/>
        <v>4480.4767259999999</v>
      </c>
      <c r="DN19" s="40">
        <f t="shared" si="118"/>
        <v>4480.4767259999999</v>
      </c>
      <c r="DO19" s="40">
        <f t="shared" si="118"/>
        <v>4480.4767259999999</v>
      </c>
      <c r="DP19" s="40">
        <f t="shared" si="118"/>
        <v>4480.4767259999999</v>
      </c>
      <c r="DQ19" s="40">
        <f t="shared" si="118"/>
        <v>4480.4767259999999</v>
      </c>
      <c r="DR19" s="40">
        <f t="shared" si="118"/>
        <v>4480.4767259999999</v>
      </c>
      <c r="DS19" s="40">
        <f t="shared" si="118"/>
        <v>4480.4767259999999</v>
      </c>
      <c r="DT19" s="40">
        <f t="shared" si="118"/>
        <v>4480.4767259999999</v>
      </c>
      <c r="DU19" s="40">
        <f t="shared" si="118"/>
        <v>4480.4767259999999</v>
      </c>
      <c r="DV19" s="40">
        <f t="shared" si="118"/>
        <v>4480.4767259999999</v>
      </c>
      <c r="DW19" s="40">
        <f t="shared" si="118"/>
        <v>4480.4767259999999</v>
      </c>
      <c r="DX19" s="40">
        <f t="shared" si="118"/>
        <v>4480.4767259999999</v>
      </c>
      <c r="DY19" s="40">
        <f t="shared" si="118"/>
        <v>4480.4767259999999</v>
      </c>
      <c r="DZ19" s="40">
        <f t="shared" si="118"/>
        <v>4480.4767259999999</v>
      </c>
      <c r="EA19" s="40">
        <f t="shared" si="118"/>
        <v>4480.4767259999999</v>
      </c>
      <c r="EB19" s="40">
        <f t="shared" si="118"/>
        <v>4480.4767259999999</v>
      </c>
      <c r="EC19" s="40">
        <f t="shared" si="118"/>
        <v>4480.4767259999999</v>
      </c>
      <c r="ED19" s="40">
        <f t="shared" si="118"/>
        <v>4480.4767259999999</v>
      </c>
      <c r="EE19" s="40">
        <f t="shared" si="118"/>
        <v>4480.4767259999999</v>
      </c>
      <c r="EF19" s="40">
        <f t="shared" ref="EF19:GQ19" si="119">$C$16</f>
        <v>4480.4767259999999</v>
      </c>
      <c r="EG19" s="40">
        <f t="shared" si="119"/>
        <v>4480.4767259999999</v>
      </c>
      <c r="EH19" s="40">
        <f t="shared" si="119"/>
        <v>4480.4767259999999</v>
      </c>
      <c r="EI19" s="40">
        <f t="shared" si="119"/>
        <v>4480.4767259999999</v>
      </c>
      <c r="EJ19" s="40">
        <f t="shared" si="119"/>
        <v>4480.4767259999999</v>
      </c>
      <c r="EK19" s="40">
        <f t="shared" si="119"/>
        <v>4480.4767259999999</v>
      </c>
      <c r="EL19" s="40">
        <f t="shared" si="119"/>
        <v>4480.4767259999999</v>
      </c>
      <c r="EM19" s="40">
        <f t="shared" si="119"/>
        <v>4480.4767259999999</v>
      </c>
      <c r="EN19" s="40">
        <f t="shared" si="119"/>
        <v>4480.4767259999999</v>
      </c>
      <c r="EO19" s="40">
        <f t="shared" si="119"/>
        <v>4480.4767259999999</v>
      </c>
      <c r="EP19" s="40">
        <f t="shared" si="119"/>
        <v>4480.4767259999999</v>
      </c>
      <c r="EQ19" s="40">
        <f t="shared" si="119"/>
        <v>4480.4767259999999</v>
      </c>
      <c r="ER19" s="40">
        <f t="shared" si="119"/>
        <v>4480.4767259999999</v>
      </c>
      <c r="ES19" s="40">
        <f t="shared" si="119"/>
        <v>4480.4767259999999</v>
      </c>
      <c r="ET19" s="40">
        <f t="shared" si="119"/>
        <v>4480.4767259999999</v>
      </c>
      <c r="EU19" s="40">
        <f t="shared" si="119"/>
        <v>4480.4767259999999</v>
      </c>
      <c r="EV19" s="40">
        <f t="shared" si="119"/>
        <v>4480.4767259999999</v>
      </c>
      <c r="EW19" s="40">
        <f t="shared" si="119"/>
        <v>4480.4767259999999</v>
      </c>
      <c r="EX19" s="40">
        <f t="shared" si="119"/>
        <v>4480.4767259999999</v>
      </c>
      <c r="EY19" s="40">
        <f t="shared" si="119"/>
        <v>4480.4767259999999</v>
      </c>
      <c r="EZ19" s="40">
        <f t="shared" si="119"/>
        <v>4480.4767259999999</v>
      </c>
      <c r="FA19" s="40">
        <f t="shared" si="119"/>
        <v>4480.4767259999999</v>
      </c>
      <c r="FB19" s="40">
        <f t="shared" si="119"/>
        <v>4480.4767259999999</v>
      </c>
      <c r="FC19" s="40">
        <f t="shared" si="119"/>
        <v>4480.4767259999999</v>
      </c>
      <c r="FD19" s="40">
        <f t="shared" si="119"/>
        <v>4480.4767259999999</v>
      </c>
      <c r="FE19" s="40">
        <f t="shared" si="119"/>
        <v>4480.4767259999999</v>
      </c>
      <c r="FF19" s="40">
        <f t="shared" si="119"/>
        <v>4480.4767259999999</v>
      </c>
      <c r="FG19" s="40">
        <f t="shared" si="119"/>
        <v>4480.4767259999999</v>
      </c>
      <c r="FH19" s="40">
        <f t="shared" si="119"/>
        <v>4480.4767259999999</v>
      </c>
      <c r="FI19" s="40">
        <f t="shared" si="119"/>
        <v>4480.4767259999999</v>
      </c>
      <c r="FJ19" s="40">
        <f t="shared" si="119"/>
        <v>4480.4767259999999</v>
      </c>
      <c r="FK19" s="40">
        <f t="shared" si="119"/>
        <v>4480.4767259999999</v>
      </c>
      <c r="FL19" s="40">
        <f t="shared" si="119"/>
        <v>4480.4767259999999</v>
      </c>
      <c r="FM19" s="40">
        <f t="shared" si="119"/>
        <v>4480.4767259999999</v>
      </c>
      <c r="FN19" s="40">
        <f t="shared" si="119"/>
        <v>4480.4767259999999</v>
      </c>
      <c r="FO19" s="40">
        <f t="shared" si="119"/>
        <v>4480.4767259999999</v>
      </c>
      <c r="FP19" s="40">
        <f t="shared" si="119"/>
        <v>4480.4767259999999</v>
      </c>
      <c r="FQ19" s="40">
        <f t="shared" si="119"/>
        <v>4480.4767259999999</v>
      </c>
      <c r="FR19" s="40">
        <f t="shared" si="119"/>
        <v>4480.4767259999999</v>
      </c>
      <c r="FS19" s="40">
        <f t="shared" si="119"/>
        <v>4480.4767259999999</v>
      </c>
      <c r="FT19" s="40">
        <f t="shared" si="119"/>
        <v>4480.4767259999999</v>
      </c>
      <c r="FU19" s="40">
        <f t="shared" si="119"/>
        <v>4480.4767259999999</v>
      </c>
      <c r="FV19" s="40">
        <f t="shared" si="119"/>
        <v>4480.4767259999999</v>
      </c>
      <c r="FW19" s="40">
        <f t="shared" si="119"/>
        <v>4480.4767259999999</v>
      </c>
      <c r="FX19" s="40">
        <f t="shared" si="119"/>
        <v>4480.4767259999999</v>
      </c>
      <c r="FY19" s="40">
        <f t="shared" si="119"/>
        <v>4480.4767259999999</v>
      </c>
      <c r="FZ19" s="40">
        <f t="shared" si="119"/>
        <v>4480.4767259999999</v>
      </c>
      <c r="GA19" s="40">
        <f t="shared" si="119"/>
        <v>4480.4767259999999</v>
      </c>
      <c r="GB19" s="40">
        <f t="shared" si="119"/>
        <v>4480.4767259999999</v>
      </c>
      <c r="GC19" s="40">
        <f t="shared" si="119"/>
        <v>4480.4767259999999</v>
      </c>
      <c r="GD19" s="40">
        <f t="shared" si="119"/>
        <v>4480.4767259999999</v>
      </c>
      <c r="GE19" s="40">
        <f t="shared" si="119"/>
        <v>4480.4767259999999</v>
      </c>
      <c r="GF19" s="40">
        <f t="shared" si="119"/>
        <v>4480.4767259999999</v>
      </c>
      <c r="GG19" s="40">
        <f t="shared" si="119"/>
        <v>4480.4767259999999</v>
      </c>
      <c r="GH19" s="40">
        <f t="shared" si="119"/>
        <v>4480.4767259999999</v>
      </c>
      <c r="GI19" s="40">
        <f t="shared" si="119"/>
        <v>4480.4767259999999</v>
      </c>
      <c r="GJ19" s="40">
        <f t="shared" si="119"/>
        <v>4480.4767259999999</v>
      </c>
      <c r="GK19" s="40">
        <f t="shared" si="119"/>
        <v>4480.4767259999999</v>
      </c>
      <c r="GL19" s="40">
        <f t="shared" si="119"/>
        <v>4480.4767259999999</v>
      </c>
      <c r="GM19" s="40">
        <f t="shared" si="119"/>
        <v>4480.4767259999999</v>
      </c>
      <c r="GN19" s="40">
        <f t="shared" si="119"/>
        <v>4480.4767259999999</v>
      </c>
      <c r="GO19" s="40">
        <f t="shared" si="119"/>
        <v>4480.4767259999999</v>
      </c>
      <c r="GP19" s="40">
        <f t="shared" si="119"/>
        <v>4480.4767259999999</v>
      </c>
      <c r="GQ19" s="40">
        <f t="shared" si="119"/>
        <v>4480.4767259999999</v>
      </c>
      <c r="GR19" s="40">
        <f t="shared" ref="GR19:IN19" si="120">$C$16</f>
        <v>4480.4767259999999</v>
      </c>
      <c r="GS19" s="40">
        <f t="shared" si="120"/>
        <v>4480.4767259999999</v>
      </c>
      <c r="GT19" s="40">
        <f t="shared" si="120"/>
        <v>4480.4767259999999</v>
      </c>
      <c r="GU19" s="40">
        <f t="shared" si="120"/>
        <v>4480.4767259999999</v>
      </c>
      <c r="GV19" s="40">
        <f t="shared" si="120"/>
        <v>4480.4767259999999</v>
      </c>
      <c r="GW19" s="40">
        <f t="shared" si="120"/>
        <v>4480.4767259999999</v>
      </c>
      <c r="GX19" s="40">
        <f t="shared" si="120"/>
        <v>4480.4767259999999</v>
      </c>
      <c r="GY19" s="40">
        <f t="shared" si="120"/>
        <v>4480.4767259999999</v>
      </c>
      <c r="GZ19" s="40">
        <f t="shared" si="120"/>
        <v>4480.4767259999999</v>
      </c>
      <c r="HA19" s="40">
        <f t="shared" si="120"/>
        <v>4480.4767259999999</v>
      </c>
      <c r="HB19" s="40">
        <f t="shared" si="120"/>
        <v>4480.4767259999999</v>
      </c>
      <c r="HC19" s="40">
        <f t="shared" si="120"/>
        <v>4480.4767259999999</v>
      </c>
      <c r="HD19" s="40">
        <f t="shared" si="120"/>
        <v>4480.4767259999999</v>
      </c>
      <c r="HE19" s="40">
        <f t="shared" si="120"/>
        <v>4480.4767259999999</v>
      </c>
      <c r="HF19" s="40">
        <f t="shared" si="120"/>
        <v>4480.4767259999999</v>
      </c>
      <c r="HG19" s="40">
        <f t="shared" si="120"/>
        <v>4480.4767259999999</v>
      </c>
      <c r="HH19" s="40">
        <f t="shared" si="120"/>
        <v>4480.4767259999999</v>
      </c>
      <c r="HI19" s="40">
        <f t="shared" si="120"/>
        <v>4480.4767259999999</v>
      </c>
      <c r="HJ19" s="40">
        <f t="shared" si="120"/>
        <v>4480.4767259999999</v>
      </c>
      <c r="HK19" s="40">
        <f t="shared" si="120"/>
        <v>4480.4767259999999</v>
      </c>
      <c r="HL19" s="40">
        <f t="shared" si="120"/>
        <v>4480.4767259999999</v>
      </c>
      <c r="HM19" s="40">
        <f t="shared" si="120"/>
        <v>4480.4767259999999</v>
      </c>
      <c r="HN19" s="40">
        <f t="shared" si="120"/>
        <v>4480.4767259999999</v>
      </c>
      <c r="HO19" s="40">
        <f t="shared" si="120"/>
        <v>4480.4767259999999</v>
      </c>
      <c r="HP19" s="40">
        <f t="shared" si="120"/>
        <v>4480.4767259999999</v>
      </c>
      <c r="HQ19" s="40">
        <f t="shared" si="120"/>
        <v>4480.4767259999999</v>
      </c>
      <c r="HR19" s="40">
        <f t="shared" si="120"/>
        <v>4480.4767259999999</v>
      </c>
      <c r="HS19" s="40">
        <f t="shared" si="120"/>
        <v>4480.4767259999999</v>
      </c>
      <c r="HT19" s="40">
        <f t="shared" si="120"/>
        <v>4480.4767259999999</v>
      </c>
      <c r="HU19" s="40">
        <f t="shared" si="120"/>
        <v>4480.4767259999999</v>
      </c>
      <c r="HV19" s="40">
        <f t="shared" si="120"/>
        <v>4480.4767259999999</v>
      </c>
      <c r="HW19" s="40">
        <f t="shared" si="120"/>
        <v>4480.4767259999999</v>
      </c>
      <c r="HX19" s="40">
        <f t="shared" si="120"/>
        <v>4480.4767259999999</v>
      </c>
      <c r="HY19" s="40">
        <f t="shared" si="120"/>
        <v>4480.4767259999999</v>
      </c>
      <c r="HZ19" s="40">
        <f t="shared" si="120"/>
        <v>4480.4767259999999</v>
      </c>
      <c r="IA19" s="40">
        <f t="shared" si="120"/>
        <v>4480.4767259999999</v>
      </c>
      <c r="IB19" s="40">
        <f t="shared" si="120"/>
        <v>4480.4767259999999</v>
      </c>
      <c r="IC19" s="40">
        <f t="shared" si="120"/>
        <v>4480.4767259999999</v>
      </c>
      <c r="ID19" s="40">
        <f t="shared" si="120"/>
        <v>4480.4767259999999</v>
      </c>
      <c r="IE19" s="40">
        <f t="shared" si="120"/>
        <v>4480.4767259999999</v>
      </c>
      <c r="IF19" s="40">
        <f t="shared" si="120"/>
        <v>4480.4767259999999</v>
      </c>
      <c r="IG19" s="40">
        <f t="shared" si="120"/>
        <v>4480.4767259999999</v>
      </c>
      <c r="IH19" s="40">
        <f t="shared" si="120"/>
        <v>4480.4767259999999</v>
      </c>
      <c r="II19" s="40">
        <f t="shared" si="120"/>
        <v>4480.4767259999999</v>
      </c>
      <c r="IJ19" s="40">
        <f t="shared" si="120"/>
        <v>4480.4767259999999</v>
      </c>
      <c r="IK19" s="40">
        <f t="shared" si="120"/>
        <v>4480.4767259999999</v>
      </c>
      <c r="IL19" s="40">
        <f t="shared" si="120"/>
        <v>4480.4767259999999</v>
      </c>
      <c r="IM19" s="40">
        <f t="shared" si="120"/>
        <v>4480.4767259999999</v>
      </c>
      <c r="IN19" s="40">
        <f t="shared" si="120"/>
        <v>4480.4767259999999</v>
      </c>
    </row>
    <row r="20" spans="2:248" x14ac:dyDescent="0.3">
      <c r="B20" s="19" t="s">
        <v>489</v>
      </c>
      <c r="C20" s="42">
        <v>0.4</v>
      </c>
      <c r="F20" s="19" t="s">
        <v>551</v>
      </c>
      <c r="G20" s="40">
        <f>G9*$C$15</f>
        <v>18.224290740658262</v>
      </c>
      <c r="H20" s="40">
        <f t="shared" ref="H20:BS20" ca="1" si="121">H9*$C$15</f>
        <v>25.765376564378922</v>
      </c>
      <c r="I20" s="40">
        <f t="shared" ca="1" si="121"/>
        <v>32.520932614795349</v>
      </c>
      <c r="J20" s="40">
        <f t="shared" ca="1" si="121"/>
        <v>43.047031577072104</v>
      </c>
      <c r="K20" s="40">
        <f t="shared" ca="1" si="121"/>
        <v>50.588117400792761</v>
      </c>
      <c r="L20" s="40">
        <f t="shared" ca="1" si="121"/>
        <v>60.328686589765283</v>
      </c>
      <c r="M20" s="40">
        <f t="shared" ca="1" si="121"/>
        <v>72.111633189328813</v>
      </c>
      <c r="N20" s="40">
        <f t="shared" ca="1" si="121"/>
        <v>92.378301340578091</v>
      </c>
      <c r="O20" s="40">
        <f t="shared" ca="1" si="121"/>
        <v>125.52765777401683</v>
      </c>
      <c r="P20" s="40">
        <f t="shared" ca="1" si="121"/>
        <v>177.68683472141805</v>
      </c>
      <c r="Q20" s="40">
        <f t="shared" ca="1" si="121"/>
        <v>208.63670778960494</v>
      </c>
      <c r="R20" s="40">
        <f t="shared" ca="1" si="121"/>
        <v>199.68166837393665</v>
      </c>
      <c r="S20" s="40">
        <f t="shared" ca="1" si="121"/>
        <v>264.72353360352736</v>
      </c>
      <c r="T20" s="40">
        <f t="shared" ca="1" si="121"/>
        <v>360.7152719013049</v>
      </c>
      <c r="U20" s="40">
        <f t="shared" ca="1" si="121"/>
        <v>352.70286821360173</v>
      </c>
      <c r="V20" s="40">
        <f t="shared" ca="1" si="121"/>
        <v>545.78608649178284</v>
      </c>
      <c r="W20" s="40">
        <f t="shared" ca="1" si="121"/>
        <v>690.48067073442292</v>
      </c>
      <c r="X20" s="40">
        <f t="shared" ca="1" si="121"/>
        <v>775.63209816060214</v>
      </c>
      <c r="Y20" s="40">
        <f t="shared" ca="1" si="121"/>
        <v>892.51892842827237</v>
      </c>
      <c r="Z20" s="40">
        <f t="shared" ca="1" si="121"/>
        <v>1058.7370284594485</v>
      </c>
      <c r="AA20" s="40">
        <f t="shared" ca="1" si="121"/>
        <v>1212.7008640270788</v>
      </c>
      <c r="AB20" s="40">
        <f t="shared" ca="1" si="121"/>
        <v>1526.2843495301295</v>
      </c>
      <c r="AC20" s="40">
        <f t="shared" ca="1" si="121"/>
        <v>1934.6027256936711</v>
      </c>
      <c r="AD20" s="40">
        <f t="shared" ca="1" si="121"/>
        <v>2200.7402128891463</v>
      </c>
      <c r="AE20" s="40">
        <f t="shared" ca="1" si="121"/>
        <v>2413.4616754999329</v>
      </c>
      <c r="AF20" s="40">
        <f t="shared" ca="1" si="121"/>
        <v>2894.5201086714469</v>
      </c>
      <c r="AG20" s="40">
        <f t="shared" ca="1" si="121"/>
        <v>3441.6022807473387</v>
      </c>
      <c r="AH20" s="40">
        <f t="shared" ca="1" si="121"/>
        <v>4092.086361176408</v>
      </c>
      <c r="AI20" s="40">
        <f t="shared" ca="1" si="121"/>
        <v>4865.515949068289</v>
      </c>
      <c r="AJ20" s="40">
        <f t="shared" ca="1" si="121"/>
        <v>5785.1285044317165</v>
      </c>
      <c r="AK20" s="40">
        <f t="shared" ca="1" si="121"/>
        <v>6878.5535106913303</v>
      </c>
      <c r="AL20" s="40">
        <f t="shared" ca="1" si="121"/>
        <v>8178.6425942308124</v>
      </c>
      <c r="AM20" s="40">
        <f t="shared" ca="1" si="121"/>
        <v>9724.456541655034</v>
      </c>
      <c r="AN20" s="40">
        <f t="shared" ca="1" si="121"/>
        <v>11562.438869408878</v>
      </c>
      <c r="AO20" s="40">
        <f t="shared" ca="1" si="121"/>
        <v>13747.811205299922</v>
      </c>
      <c r="AP20" s="40">
        <f t="shared" ca="1" si="121"/>
        <v>16346.232405744408</v>
      </c>
      <c r="AQ20" s="40">
        <f t="shared" ca="1" si="121"/>
        <v>19435.771256416476</v>
      </c>
      <c r="AR20" s="40">
        <f t="shared" ca="1" si="121"/>
        <v>23109.252025500136</v>
      </c>
      <c r="AS20" s="40">
        <f t="shared" ca="1" si="121"/>
        <v>27477.043340987886</v>
      </c>
      <c r="AT20" s="40">
        <f t="shared" ca="1" si="121"/>
        <v>32670.37418300808</v>
      </c>
      <c r="AU20" s="40">
        <f t="shared" ca="1" si="121"/>
        <v>38845.276619175944</v>
      </c>
      <c r="AV20" s="40">
        <f t="shared" ca="1" si="121"/>
        <v>46187.273741269477</v>
      </c>
      <c r="AW20" s="40">
        <f t="shared" ca="1" si="121"/>
        <v>54916.953650881624</v>
      </c>
      <c r="AX20" s="40">
        <f t="shared" ca="1" si="121"/>
        <v>65296.596962776006</v>
      </c>
      <c r="AY20" s="40">
        <f t="shared" ca="1" si="121"/>
        <v>77638.056947296835</v>
      </c>
      <c r="AZ20" s="40">
        <f t="shared" ca="1" si="121"/>
        <v>92312.12906834844</v>
      </c>
      <c r="BA20" s="40">
        <f t="shared" ca="1" si="121"/>
        <v>109759.69142190283</v>
      </c>
      <c r="BB20" s="40">
        <f t="shared" ca="1" si="121"/>
        <v>130504.95078616939</v>
      </c>
      <c r="BC20" s="40">
        <f t="shared" ca="1" si="121"/>
        <v>155171.19225703113</v>
      </c>
      <c r="BD20" s="40">
        <f t="shared" ca="1" si="121"/>
        <v>184499.50566182091</v>
      </c>
      <c r="BE20" s="40">
        <f t="shared" ca="1" si="121"/>
        <v>219371.05138092316</v>
      </c>
      <c r="BF20" s="40">
        <f t="shared" ca="1" si="121"/>
        <v>260833.53454713357</v>
      </c>
      <c r="BG20" s="40">
        <f t="shared" ca="1" si="121"/>
        <v>310132.68303215638</v>
      </c>
      <c r="BH20" s="40">
        <f t="shared" ca="1" si="121"/>
        <v>368749.674966903</v>
      </c>
      <c r="BI20" s="40">
        <f t="shared" ca="1" si="121"/>
        <v>438445.64029421494</v>
      </c>
      <c r="BJ20" s="40">
        <f t="shared" ca="1" si="121"/>
        <v>521314.57338981534</v>
      </c>
      <c r="BK20" s="40">
        <f t="shared" ca="1" si="121"/>
        <v>619846.24649531732</v>
      </c>
      <c r="BL20" s="40">
        <f t="shared" ca="1" si="121"/>
        <v>737001.01417851471</v>
      </c>
      <c r="BM20" s="40">
        <f t="shared" ca="1" si="121"/>
        <v>876298.75629853108</v>
      </c>
      <c r="BN20" s="40">
        <f t="shared" ca="1" si="121"/>
        <v>1041924.6317405385</v>
      </c>
      <c r="BO20" s="40">
        <f t="shared" ca="1" si="121"/>
        <v>1238854.8202592907</v>
      </c>
      <c r="BP20" s="40">
        <f t="shared" ca="1" si="121"/>
        <v>1473006.0303074473</v>
      </c>
      <c r="BQ20" s="40">
        <f t="shared" ca="1" si="121"/>
        <v>1751413.2647665518</v>
      </c>
      <c r="BR20" s="40">
        <f t="shared" ca="1" si="121"/>
        <v>2082441.1854987391</v>
      </c>
      <c r="BS20" s="40">
        <f t="shared" ca="1" si="121"/>
        <v>2476035.4271037341</v>
      </c>
      <c r="BT20" s="40">
        <f t="shared" ref="BT20:EE20" ca="1" si="122">BT9*$C$15</f>
        <v>2944021.4105276023</v>
      </c>
      <c r="BU20" s="40">
        <f t="shared" ca="1" si="122"/>
        <v>3500459.6342885103</v>
      </c>
      <c r="BV20" s="40">
        <f t="shared" ca="1" si="122"/>
        <v>4162068.1179378158</v>
      </c>
      <c r="BW20" s="40">
        <f t="shared" ca="1" si="122"/>
        <v>4266118.6265087072</v>
      </c>
      <c r="BX20" s="40">
        <f t="shared" ca="1" si="122"/>
        <v>4266118.6265087072</v>
      </c>
      <c r="BY20" s="40">
        <f t="shared" ca="1" si="122"/>
        <v>4266118.6265087072</v>
      </c>
      <c r="BZ20" s="40">
        <f t="shared" ca="1" si="122"/>
        <v>4266118.6265087072</v>
      </c>
      <c r="CA20" s="40">
        <f t="shared" ca="1" si="122"/>
        <v>4266118.6265087072</v>
      </c>
      <c r="CB20" s="40">
        <f t="shared" ca="1" si="122"/>
        <v>4266118.6265087072</v>
      </c>
      <c r="CC20" s="40">
        <f t="shared" ca="1" si="122"/>
        <v>4266118.6265087072</v>
      </c>
      <c r="CD20" s="40">
        <f t="shared" ca="1" si="122"/>
        <v>4266118.6265087072</v>
      </c>
      <c r="CE20" s="40">
        <f t="shared" ca="1" si="122"/>
        <v>4266118.6265087072</v>
      </c>
      <c r="CF20" s="40">
        <f t="shared" ca="1" si="122"/>
        <v>4266118.6265087072</v>
      </c>
      <c r="CG20" s="40">
        <f t="shared" ca="1" si="122"/>
        <v>4266118.6265087072</v>
      </c>
      <c r="CH20" s="40">
        <f t="shared" ca="1" si="122"/>
        <v>4266118.6265087072</v>
      </c>
      <c r="CI20" s="40">
        <f t="shared" ca="1" si="122"/>
        <v>4266118.6265087072</v>
      </c>
      <c r="CJ20" s="40">
        <f t="shared" ca="1" si="122"/>
        <v>4266118.6265087072</v>
      </c>
      <c r="CK20" s="40">
        <f t="shared" ca="1" si="122"/>
        <v>4266118.6265087072</v>
      </c>
      <c r="CL20" s="40">
        <f t="shared" ca="1" si="122"/>
        <v>4266118.6265087072</v>
      </c>
      <c r="CM20" s="40">
        <f t="shared" ca="1" si="122"/>
        <v>4266118.6265087072</v>
      </c>
      <c r="CN20" s="40">
        <f t="shared" ca="1" si="122"/>
        <v>4266118.6265087072</v>
      </c>
      <c r="CO20" s="40">
        <f t="shared" ca="1" si="122"/>
        <v>4266118.6265087072</v>
      </c>
      <c r="CP20" s="40">
        <f t="shared" ca="1" si="122"/>
        <v>4266118.6265087072</v>
      </c>
      <c r="CQ20" s="40">
        <f t="shared" ca="1" si="122"/>
        <v>4266118.6265087072</v>
      </c>
      <c r="CR20" s="40">
        <f t="shared" ca="1" si="122"/>
        <v>4266118.6265087072</v>
      </c>
      <c r="CS20" s="40">
        <f t="shared" ca="1" si="122"/>
        <v>4266118.6265087072</v>
      </c>
      <c r="CT20" s="40">
        <f t="shared" ca="1" si="122"/>
        <v>4266118.6265087072</v>
      </c>
      <c r="CU20" s="40">
        <f t="shared" ca="1" si="122"/>
        <v>4266118.6265087072</v>
      </c>
      <c r="CV20" s="40">
        <f t="shared" ca="1" si="122"/>
        <v>4266118.6265087072</v>
      </c>
      <c r="CW20" s="40">
        <f t="shared" ca="1" si="122"/>
        <v>4266118.6265087072</v>
      </c>
      <c r="CX20" s="40">
        <f t="shared" ca="1" si="122"/>
        <v>4266118.6265087072</v>
      </c>
      <c r="CY20" s="40">
        <f t="shared" ca="1" si="122"/>
        <v>4266118.6265087072</v>
      </c>
      <c r="CZ20" s="40">
        <f t="shared" ca="1" si="122"/>
        <v>4266118.6265087072</v>
      </c>
      <c r="DA20" s="40">
        <f t="shared" ca="1" si="122"/>
        <v>4266118.6265087072</v>
      </c>
      <c r="DB20" s="40">
        <f t="shared" ca="1" si="122"/>
        <v>4266118.6265087072</v>
      </c>
      <c r="DC20" s="40">
        <f t="shared" ca="1" si="122"/>
        <v>4266118.6265087072</v>
      </c>
      <c r="DD20" s="40">
        <f t="shared" ca="1" si="122"/>
        <v>4266118.6265087072</v>
      </c>
      <c r="DE20" s="40">
        <f t="shared" ca="1" si="122"/>
        <v>4266118.6265087072</v>
      </c>
      <c r="DF20" s="40">
        <f t="shared" ca="1" si="122"/>
        <v>4266118.6265087072</v>
      </c>
      <c r="DG20" s="40">
        <f t="shared" ca="1" si="122"/>
        <v>4266118.6265087072</v>
      </c>
      <c r="DH20" s="40">
        <f t="shared" ca="1" si="122"/>
        <v>4266118.6265087072</v>
      </c>
      <c r="DI20" s="40">
        <f t="shared" ca="1" si="122"/>
        <v>4266118.6265087072</v>
      </c>
      <c r="DJ20" s="40">
        <f t="shared" ca="1" si="122"/>
        <v>4266118.6265087072</v>
      </c>
      <c r="DK20" s="40">
        <f t="shared" ca="1" si="122"/>
        <v>4266118.6265087072</v>
      </c>
      <c r="DL20" s="40">
        <f t="shared" ca="1" si="122"/>
        <v>4266118.6265087072</v>
      </c>
      <c r="DM20" s="40">
        <f t="shared" ca="1" si="122"/>
        <v>4266118.6265087072</v>
      </c>
      <c r="DN20" s="40">
        <f t="shared" ca="1" si="122"/>
        <v>4266118.6265087072</v>
      </c>
      <c r="DO20" s="40">
        <f t="shared" ca="1" si="122"/>
        <v>4266118.6265087072</v>
      </c>
      <c r="DP20" s="40">
        <f t="shared" ca="1" si="122"/>
        <v>4266118.6265087072</v>
      </c>
      <c r="DQ20" s="40">
        <f t="shared" ca="1" si="122"/>
        <v>4266118.6265087072</v>
      </c>
      <c r="DR20" s="40">
        <f t="shared" ca="1" si="122"/>
        <v>4266118.6265087072</v>
      </c>
      <c r="DS20" s="40">
        <f t="shared" ca="1" si="122"/>
        <v>4266118.6265087072</v>
      </c>
      <c r="DT20" s="40">
        <f t="shared" ca="1" si="122"/>
        <v>4266118.6265087072</v>
      </c>
      <c r="DU20" s="40">
        <f t="shared" ca="1" si="122"/>
        <v>4266118.6265087072</v>
      </c>
      <c r="DV20" s="40">
        <f t="shared" ca="1" si="122"/>
        <v>4266118.6265087072</v>
      </c>
      <c r="DW20" s="40">
        <f t="shared" ca="1" si="122"/>
        <v>4266118.6265087072</v>
      </c>
      <c r="DX20" s="40">
        <f t="shared" ca="1" si="122"/>
        <v>4266118.6265087072</v>
      </c>
      <c r="DY20" s="40">
        <f t="shared" ca="1" si="122"/>
        <v>4266118.6265087072</v>
      </c>
      <c r="DZ20" s="40">
        <f t="shared" ca="1" si="122"/>
        <v>4266118.6265087072</v>
      </c>
      <c r="EA20" s="40">
        <f t="shared" ca="1" si="122"/>
        <v>4266118.6265087072</v>
      </c>
      <c r="EB20" s="40">
        <f t="shared" ca="1" si="122"/>
        <v>4266118.6265087072</v>
      </c>
      <c r="EC20" s="40">
        <f t="shared" ca="1" si="122"/>
        <v>4266118.6265087072</v>
      </c>
      <c r="ED20" s="40">
        <f t="shared" ca="1" si="122"/>
        <v>4266118.6265087072</v>
      </c>
      <c r="EE20" s="40">
        <f t="shared" ca="1" si="122"/>
        <v>4266118.6265087072</v>
      </c>
      <c r="EF20" s="40">
        <f t="shared" ref="EF20:GQ20" ca="1" si="123">EF9*$C$15</f>
        <v>4266118.6265087072</v>
      </c>
      <c r="EG20" s="40">
        <f t="shared" ca="1" si="123"/>
        <v>4266118.6265087072</v>
      </c>
      <c r="EH20" s="40">
        <f t="shared" ca="1" si="123"/>
        <v>4266118.6265087072</v>
      </c>
      <c r="EI20" s="40">
        <f t="shared" ca="1" si="123"/>
        <v>4266118.6265087072</v>
      </c>
      <c r="EJ20" s="40">
        <f t="shared" ca="1" si="123"/>
        <v>4266118.6265087072</v>
      </c>
      <c r="EK20" s="40">
        <f t="shared" ca="1" si="123"/>
        <v>4266118.6265087072</v>
      </c>
      <c r="EL20" s="40">
        <f t="shared" ca="1" si="123"/>
        <v>4266118.6265087072</v>
      </c>
      <c r="EM20" s="40">
        <f t="shared" ca="1" si="123"/>
        <v>4266118.6265087072</v>
      </c>
      <c r="EN20" s="40">
        <f t="shared" ca="1" si="123"/>
        <v>4266118.6265087072</v>
      </c>
      <c r="EO20" s="40">
        <f t="shared" ca="1" si="123"/>
        <v>4266118.6265087072</v>
      </c>
      <c r="EP20" s="40">
        <f t="shared" ca="1" si="123"/>
        <v>4266118.6265087072</v>
      </c>
      <c r="EQ20" s="40">
        <f t="shared" ca="1" si="123"/>
        <v>4266118.6265087072</v>
      </c>
      <c r="ER20" s="40">
        <f t="shared" ca="1" si="123"/>
        <v>4266118.6265087072</v>
      </c>
      <c r="ES20" s="40">
        <f t="shared" ca="1" si="123"/>
        <v>4266118.6265087072</v>
      </c>
      <c r="ET20" s="40">
        <f t="shared" ca="1" si="123"/>
        <v>4266118.6265087072</v>
      </c>
      <c r="EU20" s="40">
        <f t="shared" ca="1" si="123"/>
        <v>4266118.6265087072</v>
      </c>
      <c r="EV20" s="40">
        <f t="shared" ca="1" si="123"/>
        <v>4266118.6265087072</v>
      </c>
      <c r="EW20" s="40">
        <f t="shared" ca="1" si="123"/>
        <v>4266118.6265087072</v>
      </c>
      <c r="EX20" s="40">
        <f t="shared" ca="1" si="123"/>
        <v>4266118.6265087072</v>
      </c>
      <c r="EY20" s="40">
        <f t="shared" ca="1" si="123"/>
        <v>4266118.6265087072</v>
      </c>
      <c r="EZ20" s="40">
        <f t="shared" ca="1" si="123"/>
        <v>4266118.6265087072</v>
      </c>
      <c r="FA20" s="40">
        <f t="shared" ca="1" si="123"/>
        <v>4266118.6265087072</v>
      </c>
      <c r="FB20" s="40">
        <f t="shared" ca="1" si="123"/>
        <v>4266118.6265087072</v>
      </c>
      <c r="FC20" s="40">
        <f t="shared" ca="1" si="123"/>
        <v>4266118.6265087072</v>
      </c>
      <c r="FD20" s="40">
        <f t="shared" ca="1" si="123"/>
        <v>4266118.6265087072</v>
      </c>
      <c r="FE20" s="40">
        <f t="shared" ca="1" si="123"/>
        <v>4266118.6265087072</v>
      </c>
      <c r="FF20" s="40">
        <f t="shared" ca="1" si="123"/>
        <v>4266118.6265087072</v>
      </c>
      <c r="FG20" s="40">
        <f t="shared" ca="1" si="123"/>
        <v>4266118.6265087072</v>
      </c>
      <c r="FH20" s="40">
        <f t="shared" ca="1" si="123"/>
        <v>4266118.6265087072</v>
      </c>
      <c r="FI20" s="40">
        <f t="shared" ca="1" si="123"/>
        <v>4266118.6265087072</v>
      </c>
      <c r="FJ20" s="40">
        <f t="shared" ca="1" si="123"/>
        <v>4266118.6265087072</v>
      </c>
      <c r="FK20" s="40">
        <f t="shared" ca="1" si="123"/>
        <v>4266118.6265087072</v>
      </c>
      <c r="FL20" s="40">
        <f t="shared" ca="1" si="123"/>
        <v>4266118.6265087072</v>
      </c>
      <c r="FM20" s="40">
        <f t="shared" ca="1" si="123"/>
        <v>4266118.6265087072</v>
      </c>
      <c r="FN20" s="40">
        <f t="shared" ca="1" si="123"/>
        <v>4266118.6265087072</v>
      </c>
      <c r="FO20" s="40">
        <f t="shared" ca="1" si="123"/>
        <v>4266118.6265087072</v>
      </c>
      <c r="FP20" s="40">
        <f t="shared" ca="1" si="123"/>
        <v>4266118.6265087072</v>
      </c>
      <c r="FQ20" s="40">
        <f t="shared" ca="1" si="123"/>
        <v>4266118.6265087072</v>
      </c>
      <c r="FR20" s="40">
        <f t="shared" ca="1" si="123"/>
        <v>4266118.6265087072</v>
      </c>
      <c r="FS20" s="40">
        <f t="shared" ca="1" si="123"/>
        <v>4266118.6265087072</v>
      </c>
      <c r="FT20" s="40">
        <f t="shared" ca="1" si="123"/>
        <v>4266118.6265087072</v>
      </c>
      <c r="FU20" s="40">
        <f t="shared" ca="1" si="123"/>
        <v>4266118.6265087072</v>
      </c>
      <c r="FV20" s="40">
        <f t="shared" ca="1" si="123"/>
        <v>4266118.6265087072</v>
      </c>
      <c r="FW20" s="40">
        <f t="shared" ca="1" si="123"/>
        <v>4266118.6265087072</v>
      </c>
      <c r="FX20" s="40">
        <f t="shared" ca="1" si="123"/>
        <v>4266118.6265087072</v>
      </c>
      <c r="FY20" s="40">
        <f t="shared" ca="1" si="123"/>
        <v>4266118.6265087072</v>
      </c>
      <c r="FZ20" s="40">
        <f t="shared" ca="1" si="123"/>
        <v>4266118.6265087072</v>
      </c>
      <c r="GA20" s="40">
        <f t="shared" ca="1" si="123"/>
        <v>4266118.6265087072</v>
      </c>
      <c r="GB20" s="40">
        <f t="shared" ca="1" si="123"/>
        <v>4266118.6265087072</v>
      </c>
      <c r="GC20" s="40">
        <f t="shared" ca="1" si="123"/>
        <v>4266118.6265087072</v>
      </c>
      <c r="GD20" s="40">
        <f t="shared" ca="1" si="123"/>
        <v>4266118.6265087072</v>
      </c>
      <c r="GE20" s="40">
        <f t="shared" ca="1" si="123"/>
        <v>4266118.6265087072</v>
      </c>
      <c r="GF20" s="40">
        <f t="shared" ca="1" si="123"/>
        <v>4266118.6265087072</v>
      </c>
      <c r="GG20" s="40">
        <f t="shared" ca="1" si="123"/>
        <v>4266118.6265087072</v>
      </c>
      <c r="GH20" s="40">
        <f t="shared" ca="1" si="123"/>
        <v>4266118.6265087072</v>
      </c>
      <c r="GI20" s="40">
        <f t="shared" ca="1" si="123"/>
        <v>4266118.6265087072</v>
      </c>
      <c r="GJ20" s="40">
        <f t="shared" ca="1" si="123"/>
        <v>4266118.6265087072</v>
      </c>
      <c r="GK20" s="40">
        <f t="shared" ca="1" si="123"/>
        <v>4266118.6265087072</v>
      </c>
      <c r="GL20" s="40">
        <f t="shared" ca="1" si="123"/>
        <v>4266118.6265087072</v>
      </c>
      <c r="GM20" s="40">
        <f t="shared" ca="1" si="123"/>
        <v>4266118.6265087072</v>
      </c>
      <c r="GN20" s="40">
        <f t="shared" ca="1" si="123"/>
        <v>4266118.6265087072</v>
      </c>
      <c r="GO20" s="40">
        <f t="shared" ca="1" si="123"/>
        <v>4266118.6265087072</v>
      </c>
      <c r="GP20" s="40">
        <f t="shared" ca="1" si="123"/>
        <v>4266118.6265087072</v>
      </c>
      <c r="GQ20" s="40">
        <f t="shared" ca="1" si="123"/>
        <v>4266118.6265087072</v>
      </c>
      <c r="GR20" s="40">
        <f t="shared" ref="GR20:IN20" ca="1" si="124">GR9*$C$15</f>
        <v>4266118.6265087072</v>
      </c>
      <c r="GS20" s="40">
        <f t="shared" ca="1" si="124"/>
        <v>4266118.6265087072</v>
      </c>
      <c r="GT20" s="40">
        <f t="shared" ca="1" si="124"/>
        <v>4266118.6265087072</v>
      </c>
      <c r="GU20" s="40">
        <f t="shared" ca="1" si="124"/>
        <v>4266118.6265087072</v>
      </c>
      <c r="GV20" s="40">
        <f t="shared" ca="1" si="124"/>
        <v>4266118.6265087072</v>
      </c>
      <c r="GW20" s="40">
        <f t="shared" ca="1" si="124"/>
        <v>4266118.6265087072</v>
      </c>
      <c r="GX20" s="40">
        <f t="shared" ca="1" si="124"/>
        <v>4266118.6265087072</v>
      </c>
      <c r="GY20" s="40">
        <f t="shared" ca="1" si="124"/>
        <v>4266118.6265087072</v>
      </c>
      <c r="GZ20" s="40">
        <f t="shared" ca="1" si="124"/>
        <v>4266118.6265087072</v>
      </c>
      <c r="HA20" s="40">
        <f t="shared" ca="1" si="124"/>
        <v>4266118.6265087072</v>
      </c>
      <c r="HB20" s="40">
        <f t="shared" ca="1" si="124"/>
        <v>4266118.6265087072</v>
      </c>
      <c r="HC20" s="40">
        <f t="shared" ca="1" si="124"/>
        <v>4266118.6265087072</v>
      </c>
      <c r="HD20" s="40">
        <f t="shared" ca="1" si="124"/>
        <v>4266118.6265087072</v>
      </c>
      <c r="HE20" s="40">
        <f t="shared" ca="1" si="124"/>
        <v>4266118.6265087072</v>
      </c>
      <c r="HF20" s="40">
        <f t="shared" ca="1" si="124"/>
        <v>4266118.6265087072</v>
      </c>
      <c r="HG20" s="40">
        <f t="shared" ca="1" si="124"/>
        <v>4266118.6265087072</v>
      </c>
      <c r="HH20" s="40">
        <f t="shared" ca="1" si="124"/>
        <v>4266118.6265087072</v>
      </c>
      <c r="HI20" s="40">
        <f t="shared" ca="1" si="124"/>
        <v>4266118.6265087072</v>
      </c>
      <c r="HJ20" s="40">
        <f t="shared" ca="1" si="124"/>
        <v>4266118.6265087072</v>
      </c>
      <c r="HK20" s="40">
        <f t="shared" ca="1" si="124"/>
        <v>4266118.6265087072</v>
      </c>
      <c r="HL20" s="40">
        <f t="shared" ca="1" si="124"/>
        <v>4266118.6265087072</v>
      </c>
      <c r="HM20" s="40">
        <f t="shared" ca="1" si="124"/>
        <v>4266118.6265087072</v>
      </c>
      <c r="HN20" s="40">
        <f t="shared" ca="1" si="124"/>
        <v>4266118.6265087072</v>
      </c>
      <c r="HO20" s="40">
        <f t="shared" ca="1" si="124"/>
        <v>4266118.6265087072</v>
      </c>
      <c r="HP20" s="40">
        <f t="shared" ca="1" si="124"/>
        <v>4266118.6265087072</v>
      </c>
      <c r="HQ20" s="40">
        <f t="shared" ca="1" si="124"/>
        <v>4266118.6265087072</v>
      </c>
      <c r="HR20" s="40">
        <f t="shared" ca="1" si="124"/>
        <v>4266118.6265087072</v>
      </c>
      <c r="HS20" s="40">
        <f t="shared" ca="1" si="124"/>
        <v>4266118.6265087072</v>
      </c>
      <c r="HT20" s="40">
        <f t="shared" ca="1" si="124"/>
        <v>4266118.6265087072</v>
      </c>
      <c r="HU20" s="40">
        <f t="shared" ca="1" si="124"/>
        <v>4266118.6265087072</v>
      </c>
      <c r="HV20" s="40">
        <f t="shared" ca="1" si="124"/>
        <v>4266118.6265087072</v>
      </c>
      <c r="HW20" s="40">
        <f t="shared" ca="1" si="124"/>
        <v>4266118.6265087072</v>
      </c>
      <c r="HX20" s="40">
        <f t="shared" ca="1" si="124"/>
        <v>4266118.6265087072</v>
      </c>
      <c r="HY20" s="40">
        <f t="shared" ca="1" si="124"/>
        <v>4266118.6265087072</v>
      </c>
      <c r="HZ20" s="40">
        <f t="shared" ca="1" si="124"/>
        <v>4266118.6265087072</v>
      </c>
      <c r="IA20" s="40">
        <f t="shared" ca="1" si="124"/>
        <v>4266118.6265087072</v>
      </c>
      <c r="IB20" s="40">
        <f t="shared" ca="1" si="124"/>
        <v>4266118.6265087072</v>
      </c>
      <c r="IC20" s="40">
        <f t="shared" ca="1" si="124"/>
        <v>4266118.6265087072</v>
      </c>
      <c r="ID20" s="40">
        <f t="shared" ca="1" si="124"/>
        <v>4266118.6265087072</v>
      </c>
      <c r="IE20" s="40">
        <f t="shared" ca="1" si="124"/>
        <v>4266118.6265087072</v>
      </c>
      <c r="IF20" s="40">
        <f t="shared" ca="1" si="124"/>
        <v>4266118.6265087072</v>
      </c>
      <c r="IG20" s="40">
        <f t="shared" ca="1" si="124"/>
        <v>4266118.6265087072</v>
      </c>
      <c r="IH20" s="40">
        <f t="shared" ca="1" si="124"/>
        <v>4266118.6265087072</v>
      </c>
      <c r="II20" s="40">
        <f t="shared" ca="1" si="124"/>
        <v>4266118.6265087072</v>
      </c>
      <c r="IJ20" s="40">
        <f t="shared" ca="1" si="124"/>
        <v>4266118.6265087072</v>
      </c>
      <c r="IK20" s="40">
        <f t="shared" ca="1" si="124"/>
        <v>4266118.6265087072</v>
      </c>
      <c r="IL20" s="40">
        <f t="shared" ca="1" si="124"/>
        <v>4266118.6265087072</v>
      </c>
      <c r="IM20" s="40">
        <f t="shared" ca="1" si="124"/>
        <v>4266118.6265087072</v>
      </c>
      <c r="IN20" s="40">
        <f t="shared" ca="1" si="124"/>
        <v>4266118.6265087072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18.224290740658262</v>
      </c>
      <c r="H21" s="40">
        <f t="shared" ref="H21:BS22" ca="1" si="125">H10*$C$15</f>
        <v>25.765376564378922</v>
      </c>
      <c r="I21" s="40">
        <f t="shared" ca="1" si="125"/>
        <v>32.520932614795349</v>
      </c>
      <c r="J21" s="40">
        <f t="shared" ca="1" si="125"/>
        <v>43.047031577072104</v>
      </c>
      <c r="K21" s="40">
        <f t="shared" ca="1" si="125"/>
        <v>50.588117400792761</v>
      </c>
      <c r="L21" s="40">
        <f t="shared" ca="1" si="125"/>
        <v>60.328686589765283</v>
      </c>
      <c r="M21" s="40">
        <f t="shared" ca="1" si="125"/>
        <v>72.111633189328813</v>
      </c>
      <c r="N21" s="40">
        <f t="shared" ca="1" si="125"/>
        <v>92.378301340578091</v>
      </c>
      <c r="O21" s="40">
        <f t="shared" ca="1" si="125"/>
        <v>125.52765777401683</v>
      </c>
      <c r="P21" s="40">
        <f t="shared" ca="1" si="125"/>
        <v>177.68683472141805</v>
      </c>
      <c r="Q21" s="40">
        <f t="shared" ca="1" si="125"/>
        <v>208.63670778960494</v>
      </c>
      <c r="R21" s="40">
        <f t="shared" ca="1" si="125"/>
        <v>199.68166837393665</v>
      </c>
      <c r="S21" s="40">
        <f t="shared" ca="1" si="125"/>
        <v>264.72353360352736</v>
      </c>
      <c r="T21" s="40">
        <f t="shared" ca="1" si="125"/>
        <v>360.7152719013049</v>
      </c>
      <c r="U21" s="40">
        <f t="shared" ca="1" si="125"/>
        <v>352.70286821360173</v>
      </c>
      <c r="V21" s="40">
        <f t="shared" ca="1" si="125"/>
        <v>545.78608649178284</v>
      </c>
      <c r="W21" s="40">
        <f t="shared" ca="1" si="125"/>
        <v>690.48067073442292</v>
      </c>
      <c r="X21" s="40">
        <f t="shared" ca="1" si="125"/>
        <v>775.63209816060214</v>
      </c>
      <c r="Y21" s="40">
        <f t="shared" ca="1" si="125"/>
        <v>892.51892842827237</v>
      </c>
      <c r="Z21" s="40">
        <f t="shared" ca="1" si="125"/>
        <v>1058.7370284594485</v>
      </c>
      <c r="AA21" s="40">
        <f t="shared" ca="1" si="125"/>
        <v>1212.7008640270788</v>
      </c>
      <c r="AB21" s="40">
        <f t="shared" ca="1" si="125"/>
        <v>1526.2843495301295</v>
      </c>
      <c r="AC21" s="40">
        <f t="shared" ca="1" si="125"/>
        <v>1934.6027256936711</v>
      </c>
      <c r="AD21" s="40">
        <f t="shared" ca="1" si="125"/>
        <v>2200.7402128891463</v>
      </c>
      <c r="AE21" s="40">
        <f t="shared" ca="1" si="125"/>
        <v>2413.4616754999329</v>
      </c>
      <c r="AF21" s="40">
        <f t="shared" ca="1" si="125"/>
        <v>2894.5201086714469</v>
      </c>
      <c r="AG21" s="40">
        <f t="shared" ca="1" si="125"/>
        <v>3183.9721195385919</v>
      </c>
      <c r="AH21" s="40">
        <f t="shared" ca="1" si="125"/>
        <v>3502.3693314924512</v>
      </c>
      <c r="AI21" s="40">
        <f t="shared" ca="1" si="125"/>
        <v>3852.6062646416972</v>
      </c>
      <c r="AJ21" s="40">
        <f t="shared" ca="1" si="125"/>
        <v>4237.8668911058667</v>
      </c>
      <c r="AK21" s="40">
        <f t="shared" ca="1" si="125"/>
        <v>4661.6535802164535</v>
      </c>
      <c r="AL21" s="40">
        <f t="shared" ca="1" si="125"/>
        <v>5127.8189382380997</v>
      </c>
      <c r="AM21" s="40">
        <f t="shared" ca="1" si="125"/>
        <v>5640.6008320619103</v>
      </c>
      <c r="AN21" s="40">
        <f t="shared" ca="1" si="125"/>
        <v>6204.6609152681021</v>
      </c>
      <c r="AO21" s="40">
        <f t="shared" ca="1" si="125"/>
        <v>6825.1270067949135</v>
      </c>
      <c r="AP21" s="40">
        <f t="shared" ca="1" si="125"/>
        <v>7507.6397074744054</v>
      </c>
      <c r="AQ21" s="40">
        <f t="shared" ca="1" si="125"/>
        <v>8258.4036782218463</v>
      </c>
      <c r="AR21" s="40">
        <f t="shared" ca="1" si="125"/>
        <v>9084.2440460440321</v>
      </c>
      <c r="AS21" s="40">
        <f t="shared" ca="1" si="125"/>
        <v>9992.6684506484362</v>
      </c>
      <c r="AT21" s="40">
        <f t="shared" ca="1" si="125"/>
        <v>10991.935295713281</v>
      </c>
      <c r="AU21" s="40">
        <f t="shared" ca="1" si="125"/>
        <v>12091.12882528461</v>
      </c>
      <c r="AV21" s="40">
        <f t="shared" ca="1" si="125"/>
        <v>13300.241707813073</v>
      </c>
      <c r="AW21" s="40">
        <f t="shared" ca="1" si="125"/>
        <v>14630.265878594382</v>
      </c>
      <c r="AX21" s="40">
        <f t="shared" ca="1" si="125"/>
        <v>16093.292466453822</v>
      </c>
      <c r="AY21" s="40">
        <f t="shared" ca="1" si="125"/>
        <v>17702.621713099204</v>
      </c>
      <c r="AZ21" s="40">
        <f t="shared" ca="1" si="125"/>
        <v>19472.883884409126</v>
      </c>
      <c r="BA21" s="40">
        <f t="shared" ca="1" si="125"/>
        <v>21420.172272850043</v>
      </c>
      <c r="BB21" s="40">
        <f t="shared" ca="1" si="125"/>
        <v>23562.189500135049</v>
      </c>
      <c r="BC21" s="40">
        <f t="shared" ca="1" si="125"/>
        <v>25918.408450148556</v>
      </c>
      <c r="BD21" s="40">
        <f t="shared" ca="1" si="125"/>
        <v>28510.249295163416</v>
      </c>
      <c r="BE21" s="40">
        <f t="shared" ca="1" si="125"/>
        <v>31361.274224679757</v>
      </c>
      <c r="BF21" s="40">
        <f t="shared" ca="1" si="125"/>
        <v>34497.401647147737</v>
      </c>
      <c r="BG21" s="40">
        <f t="shared" ca="1" si="125"/>
        <v>37947.141811862515</v>
      </c>
      <c r="BH21" s="40">
        <f t="shared" ca="1" si="125"/>
        <v>41741.855993048768</v>
      </c>
      <c r="BI21" s="40">
        <f t="shared" ca="1" si="125"/>
        <v>45916.041592353642</v>
      </c>
      <c r="BJ21" s="40">
        <f t="shared" ca="1" si="125"/>
        <v>50507.645751589014</v>
      </c>
      <c r="BK21" s="40">
        <f t="shared" ca="1" si="125"/>
        <v>55558.410326747922</v>
      </c>
      <c r="BL21" s="40">
        <f t="shared" ca="1" si="125"/>
        <v>61114.25135942272</v>
      </c>
      <c r="BM21" s="40">
        <f t="shared" ca="1" si="125"/>
        <v>67225.676495364998</v>
      </c>
      <c r="BN21" s="40">
        <f t="shared" ca="1" si="125"/>
        <v>73948.244144901517</v>
      </c>
      <c r="BO21" s="40">
        <f t="shared" ca="1" si="125"/>
        <v>81343.068559391671</v>
      </c>
      <c r="BP21" s="40">
        <f t="shared" ca="1" si="125"/>
        <v>89477.37541533084</v>
      </c>
      <c r="BQ21" s="40">
        <f t="shared" ca="1" si="125"/>
        <v>98425.11295686393</v>
      </c>
      <c r="BR21" s="40">
        <f t="shared" ca="1" si="125"/>
        <v>108267.62425255032</v>
      </c>
      <c r="BS21" s="40">
        <f t="shared" ca="1" si="125"/>
        <v>119094.38667780536</v>
      </c>
      <c r="BT21" s="40">
        <f t="shared" ref="BT21:EE23" ca="1" si="126">BT10*$C$15</f>
        <v>131003.82534558591</v>
      </c>
      <c r="BU21" s="40">
        <f t="shared" ca="1" si="126"/>
        <v>144104.20788014453</v>
      </c>
      <c r="BV21" s="40">
        <f t="shared" ca="1" si="126"/>
        <v>158514.62866815898</v>
      </c>
      <c r="BW21" s="40">
        <f t="shared" ca="1" si="126"/>
        <v>174366.0915349749</v>
      </c>
      <c r="BX21" s="40">
        <f t="shared" ca="1" si="126"/>
        <v>191802.7006884724</v>
      </c>
      <c r="BY21" s="40">
        <f t="shared" ca="1" si="126"/>
        <v>210982.97075731965</v>
      </c>
      <c r="BZ21" s="40">
        <f t="shared" ca="1" si="126"/>
        <v>232081.26783305162</v>
      </c>
      <c r="CA21" s="40">
        <f t="shared" ca="1" si="126"/>
        <v>255289.39461635682</v>
      </c>
      <c r="CB21" s="40">
        <f t="shared" ca="1" si="126"/>
        <v>280818.33407799248</v>
      </c>
      <c r="CC21" s="40">
        <f t="shared" ca="1" si="126"/>
        <v>308900.16748579178</v>
      </c>
      <c r="CD21" s="40">
        <f t="shared" ca="1" si="126"/>
        <v>339790.18423437094</v>
      </c>
      <c r="CE21" s="40">
        <f t="shared" ca="1" si="126"/>
        <v>373769.20265780814</v>
      </c>
      <c r="CF21" s="40">
        <f t="shared" ca="1" si="126"/>
        <v>411146.12292358896</v>
      </c>
      <c r="CG21" s="40">
        <f t="shared" ca="1" si="126"/>
        <v>452260.73521594785</v>
      </c>
      <c r="CH21" s="40">
        <f t="shared" ca="1" si="126"/>
        <v>497486.80873754271</v>
      </c>
      <c r="CI21" s="40">
        <f t="shared" ca="1" si="126"/>
        <v>547235.48961129703</v>
      </c>
      <c r="CJ21" s="40">
        <f t="shared" ca="1" si="126"/>
        <v>601959.03857242677</v>
      </c>
      <c r="CK21" s="40">
        <f t="shared" ca="1" si="126"/>
        <v>662154.94242966943</v>
      </c>
      <c r="CL21" s="40">
        <f t="shared" ca="1" si="126"/>
        <v>728370.43667263642</v>
      </c>
      <c r="CM21" s="40">
        <f t="shared" ca="1" si="126"/>
        <v>801207.48033990024</v>
      </c>
      <c r="CN21" s="40">
        <f t="shared" ca="1" si="126"/>
        <v>881328.22837389028</v>
      </c>
      <c r="CO21" s="40">
        <f t="shared" ca="1" si="126"/>
        <v>969461.05121127935</v>
      </c>
      <c r="CP21" s="40">
        <f t="shared" ca="1" si="126"/>
        <v>1066407.1563324074</v>
      </c>
      <c r="CQ21" s="40">
        <f t="shared" ca="1" si="126"/>
        <v>1173047.8719656481</v>
      </c>
      <c r="CR21" s="40">
        <f t="shared" ca="1" si="126"/>
        <v>1290352.6591622131</v>
      </c>
      <c r="CS21" s="40">
        <f t="shared" ca="1" si="126"/>
        <v>1419387.9250784344</v>
      </c>
      <c r="CT21" s="40">
        <f t="shared" ca="1" si="126"/>
        <v>1561326.717586278</v>
      </c>
      <c r="CU21" s="40">
        <f t="shared" ca="1" si="126"/>
        <v>1717459.3893449057</v>
      </c>
      <c r="CV21" s="40">
        <f t="shared" ca="1" si="126"/>
        <v>1889205.3282793968</v>
      </c>
      <c r="CW21" s="40">
        <f t="shared" ca="1" si="126"/>
        <v>2078125.8611073366</v>
      </c>
      <c r="CX21" s="40">
        <f t="shared" ca="1" si="126"/>
        <v>2285938.4472180703</v>
      </c>
      <c r="CY21" s="40">
        <f t="shared" ca="1" si="126"/>
        <v>2514532.2919398779</v>
      </c>
      <c r="CZ21" s="40">
        <f t="shared" ca="1" si="126"/>
        <v>2765985.5211338662</v>
      </c>
      <c r="DA21" s="40">
        <f t="shared" ca="1" si="126"/>
        <v>3042584.073247253</v>
      </c>
      <c r="DB21" s="40">
        <f t="shared" ca="1" si="126"/>
        <v>3346842.4805719787</v>
      </c>
      <c r="DC21" s="40">
        <f t="shared" ca="1" si="126"/>
        <v>3681526.7286291765</v>
      </c>
      <c r="DD21" s="40">
        <f t="shared" ca="1" si="126"/>
        <v>4049679.4014920942</v>
      </c>
      <c r="DE21" s="40">
        <f t="shared" ca="1" si="126"/>
        <v>4266118.6265087072</v>
      </c>
      <c r="DF21" s="40">
        <f t="shared" ca="1" si="126"/>
        <v>4266118.6265087072</v>
      </c>
      <c r="DG21" s="40">
        <f t="shared" ca="1" si="126"/>
        <v>4266118.6265087072</v>
      </c>
      <c r="DH21" s="40">
        <f t="shared" ca="1" si="126"/>
        <v>4266118.6265087072</v>
      </c>
      <c r="DI21" s="40">
        <f t="shared" ca="1" si="126"/>
        <v>4266118.6265087072</v>
      </c>
      <c r="DJ21" s="40">
        <f t="shared" ca="1" si="126"/>
        <v>4266118.6265087072</v>
      </c>
      <c r="DK21" s="40">
        <f t="shared" ca="1" si="126"/>
        <v>4266118.6265087072</v>
      </c>
      <c r="DL21" s="40">
        <f t="shared" ca="1" si="126"/>
        <v>4266118.6265087072</v>
      </c>
      <c r="DM21" s="40">
        <f t="shared" ca="1" si="126"/>
        <v>4266118.6265087072</v>
      </c>
      <c r="DN21" s="40">
        <f t="shared" ca="1" si="126"/>
        <v>4266118.6265087072</v>
      </c>
      <c r="DO21" s="40">
        <f t="shared" ca="1" si="126"/>
        <v>4266118.6265087072</v>
      </c>
      <c r="DP21" s="40">
        <f t="shared" ca="1" si="126"/>
        <v>4266118.6265087072</v>
      </c>
      <c r="DQ21" s="40">
        <f t="shared" ca="1" si="126"/>
        <v>4266118.6265087072</v>
      </c>
      <c r="DR21" s="40">
        <f t="shared" ca="1" si="126"/>
        <v>4266118.6265087072</v>
      </c>
      <c r="DS21" s="40">
        <f t="shared" ca="1" si="126"/>
        <v>4266118.6265087072</v>
      </c>
      <c r="DT21" s="40">
        <f t="shared" ca="1" si="126"/>
        <v>4266118.6265087072</v>
      </c>
      <c r="DU21" s="40">
        <f t="shared" ca="1" si="126"/>
        <v>4266118.6265087072</v>
      </c>
      <c r="DV21" s="40">
        <f t="shared" ca="1" si="126"/>
        <v>4266118.6265087072</v>
      </c>
      <c r="DW21" s="40">
        <f t="shared" ca="1" si="126"/>
        <v>4266118.6265087072</v>
      </c>
      <c r="DX21" s="40">
        <f t="shared" ca="1" si="126"/>
        <v>4266118.6265087072</v>
      </c>
      <c r="DY21" s="40">
        <f t="shared" ca="1" si="126"/>
        <v>4266118.6265087072</v>
      </c>
      <c r="DZ21" s="40">
        <f t="shared" ca="1" si="126"/>
        <v>4266118.6265087072</v>
      </c>
      <c r="EA21" s="40">
        <f t="shared" ca="1" si="126"/>
        <v>4266118.6265087072</v>
      </c>
      <c r="EB21" s="40">
        <f t="shared" ca="1" si="126"/>
        <v>4266118.6265087072</v>
      </c>
      <c r="EC21" s="40">
        <f t="shared" ca="1" si="126"/>
        <v>4266118.6265087072</v>
      </c>
      <c r="ED21" s="40">
        <f t="shared" ca="1" si="126"/>
        <v>4266118.6265087072</v>
      </c>
      <c r="EE21" s="40">
        <f t="shared" ca="1" si="126"/>
        <v>4266118.6265087072</v>
      </c>
      <c r="EF21" s="40">
        <f t="shared" ref="EF21:GQ23" ca="1" si="127">EF10*$C$15</f>
        <v>4266118.6265087072</v>
      </c>
      <c r="EG21" s="40">
        <f t="shared" ca="1" si="127"/>
        <v>4266118.6265087072</v>
      </c>
      <c r="EH21" s="40">
        <f t="shared" ca="1" si="127"/>
        <v>4266118.6265087072</v>
      </c>
      <c r="EI21" s="40">
        <f t="shared" ca="1" si="127"/>
        <v>4266118.6265087072</v>
      </c>
      <c r="EJ21" s="40">
        <f t="shared" ca="1" si="127"/>
        <v>4266118.6265087072</v>
      </c>
      <c r="EK21" s="40">
        <f t="shared" ca="1" si="127"/>
        <v>4266118.6265087072</v>
      </c>
      <c r="EL21" s="40">
        <f t="shared" ca="1" si="127"/>
        <v>4266118.6265087072</v>
      </c>
      <c r="EM21" s="40">
        <f t="shared" ca="1" si="127"/>
        <v>4266118.6265087072</v>
      </c>
      <c r="EN21" s="40">
        <f t="shared" ca="1" si="127"/>
        <v>4266118.6265087072</v>
      </c>
      <c r="EO21" s="40">
        <f t="shared" ca="1" si="127"/>
        <v>4266118.6265087072</v>
      </c>
      <c r="EP21" s="40">
        <f t="shared" ca="1" si="127"/>
        <v>4266118.6265087072</v>
      </c>
      <c r="EQ21" s="40">
        <f t="shared" ca="1" si="127"/>
        <v>4266118.6265087072</v>
      </c>
      <c r="ER21" s="40">
        <f t="shared" ca="1" si="127"/>
        <v>4266118.6265087072</v>
      </c>
      <c r="ES21" s="40">
        <f t="shared" ca="1" si="127"/>
        <v>4266118.6265087072</v>
      </c>
      <c r="ET21" s="40">
        <f t="shared" ca="1" si="127"/>
        <v>4266118.6265087072</v>
      </c>
      <c r="EU21" s="40">
        <f t="shared" ca="1" si="127"/>
        <v>4266118.6265087072</v>
      </c>
      <c r="EV21" s="40">
        <f t="shared" ca="1" si="127"/>
        <v>4266118.6265087072</v>
      </c>
      <c r="EW21" s="40">
        <f t="shared" ca="1" si="127"/>
        <v>4266118.6265087072</v>
      </c>
      <c r="EX21" s="40">
        <f t="shared" ca="1" si="127"/>
        <v>4266118.6265087072</v>
      </c>
      <c r="EY21" s="40">
        <f t="shared" ca="1" si="127"/>
        <v>4266118.6265087072</v>
      </c>
      <c r="EZ21" s="40">
        <f t="shared" ca="1" si="127"/>
        <v>4266118.6265087072</v>
      </c>
      <c r="FA21" s="40">
        <f t="shared" ca="1" si="127"/>
        <v>4266118.6265087072</v>
      </c>
      <c r="FB21" s="40">
        <f t="shared" ca="1" si="127"/>
        <v>4266118.6265087072</v>
      </c>
      <c r="FC21" s="40">
        <f t="shared" ca="1" si="127"/>
        <v>4266118.6265087072</v>
      </c>
      <c r="FD21" s="40">
        <f t="shared" ca="1" si="127"/>
        <v>4266118.6265087072</v>
      </c>
      <c r="FE21" s="40">
        <f t="shared" ca="1" si="127"/>
        <v>4266118.6265087072</v>
      </c>
      <c r="FF21" s="40">
        <f t="shared" ca="1" si="127"/>
        <v>4266118.6265087072</v>
      </c>
      <c r="FG21" s="40">
        <f t="shared" ca="1" si="127"/>
        <v>4266118.6265087072</v>
      </c>
      <c r="FH21" s="40">
        <f t="shared" ca="1" si="127"/>
        <v>4266118.6265087072</v>
      </c>
      <c r="FI21" s="40">
        <f t="shared" ca="1" si="127"/>
        <v>4266118.6265087072</v>
      </c>
      <c r="FJ21" s="40">
        <f t="shared" ca="1" si="127"/>
        <v>4266118.6265087072</v>
      </c>
      <c r="FK21" s="40">
        <f t="shared" ca="1" si="127"/>
        <v>4266118.6265087072</v>
      </c>
      <c r="FL21" s="40">
        <f t="shared" ca="1" si="127"/>
        <v>4266118.6265087072</v>
      </c>
      <c r="FM21" s="40">
        <f t="shared" ca="1" si="127"/>
        <v>4266118.6265087072</v>
      </c>
      <c r="FN21" s="40">
        <f t="shared" ca="1" si="127"/>
        <v>4266118.6265087072</v>
      </c>
      <c r="FO21" s="40">
        <f t="shared" ca="1" si="127"/>
        <v>4266118.6265087072</v>
      </c>
      <c r="FP21" s="40">
        <f t="shared" ca="1" si="127"/>
        <v>4266118.6265087072</v>
      </c>
      <c r="FQ21" s="40">
        <f t="shared" ca="1" si="127"/>
        <v>4266118.6265087072</v>
      </c>
      <c r="FR21" s="40">
        <f t="shared" ca="1" si="127"/>
        <v>4266118.6265087072</v>
      </c>
      <c r="FS21" s="40">
        <f t="shared" ca="1" si="127"/>
        <v>4266118.6265087072</v>
      </c>
      <c r="FT21" s="40">
        <f t="shared" ca="1" si="127"/>
        <v>4266118.6265087072</v>
      </c>
      <c r="FU21" s="40">
        <f t="shared" ca="1" si="127"/>
        <v>4266118.6265087072</v>
      </c>
      <c r="FV21" s="40">
        <f t="shared" ca="1" si="127"/>
        <v>4266118.6265087072</v>
      </c>
      <c r="FW21" s="40">
        <f t="shared" ca="1" si="127"/>
        <v>4266118.6265087072</v>
      </c>
      <c r="FX21" s="40">
        <f t="shared" ca="1" si="127"/>
        <v>4266118.6265087072</v>
      </c>
      <c r="FY21" s="40">
        <f t="shared" ca="1" si="127"/>
        <v>4266118.6265087072</v>
      </c>
      <c r="FZ21" s="40">
        <f t="shared" ca="1" si="127"/>
        <v>4266118.6265087072</v>
      </c>
      <c r="GA21" s="40">
        <f t="shared" ca="1" si="127"/>
        <v>4266118.6265087072</v>
      </c>
      <c r="GB21" s="40">
        <f t="shared" ca="1" si="127"/>
        <v>4266118.6265087072</v>
      </c>
      <c r="GC21" s="40">
        <f t="shared" ca="1" si="127"/>
        <v>4266118.6265087072</v>
      </c>
      <c r="GD21" s="40">
        <f t="shared" ca="1" si="127"/>
        <v>4266118.6265087072</v>
      </c>
      <c r="GE21" s="40">
        <f t="shared" ca="1" si="127"/>
        <v>4266118.6265087072</v>
      </c>
      <c r="GF21" s="40">
        <f t="shared" ca="1" si="127"/>
        <v>4266118.6265087072</v>
      </c>
      <c r="GG21" s="40">
        <f t="shared" ca="1" si="127"/>
        <v>4266118.6265087072</v>
      </c>
      <c r="GH21" s="40">
        <f t="shared" ca="1" si="127"/>
        <v>4266118.6265087072</v>
      </c>
      <c r="GI21" s="40">
        <f t="shared" ca="1" si="127"/>
        <v>4266118.6265087072</v>
      </c>
      <c r="GJ21" s="40">
        <f t="shared" ca="1" si="127"/>
        <v>4266118.6265087072</v>
      </c>
      <c r="GK21" s="40">
        <f t="shared" ca="1" si="127"/>
        <v>4266118.6265087072</v>
      </c>
      <c r="GL21" s="40">
        <f t="shared" ca="1" si="127"/>
        <v>4266118.6265087072</v>
      </c>
      <c r="GM21" s="40">
        <f t="shared" ca="1" si="127"/>
        <v>4266118.6265087072</v>
      </c>
      <c r="GN21" s="40">
        <f t="shared" ca="1" si="127"/>
        <v>4266118.6265087072</v>
      </c>
      <c r="GO21" s="40">
        <f t="shared" ca="1" si="127"/>
        <v>4266118.6265087072</v>
      </c>
      <c r="GP21" s="40">
        <f t="shared" ca="1" si="127"/>
        <v>4266118.6265087072</v>
      </c>
      <c r="GQ21" s="40">
        <f t="shared" ca="1" si="127"/>
        <v>4266118.6265087072</v>
      </c>
      <c r="GR21" s="40">
        <f t="shared" ref="GR21:IN23" ca="1" si="128">GR10*$C$15</f>
        <v>4266118.6265087072</v>
      </c>
      <c r="GS21" s="40">
        <f t="shared" ca="1" si="128"/>
        <v>4266118.6265087072</v>
      </c>
      <c r="GT21" s="40">
        <f t="shared" ca="1" si="128"/>
        <v>4266118.6265087072</v>
      </c>
      <c r="GU21" s="40">
        <f t="shared" ca="1" si="128"/>
        <v>4266118.6265087072</v>
      </c>
      <c r="GV21" s="40">
        <f t="shared" ca="1" si="128"/>
        <v>4266118.6265087072</v>
      </c>
      <c r="GW21" s="40">
        <f t="shared" ca="1" si="128"/>
        <v>4266118.6265087072</v>
      </c>
      <c r="GX21" s="40">
        <f t="shared" ca="1" si="128"/>
        <v>4266118.6265087072</v>
      </c>
      <c r="GY21" s="40">
        <f t="shared" ca="1" si="128"/>
        <v>4266118.6265087072</v>
      </c>
      <c r="GZ21" s="40">
        <f t="shared" ca="1" si="128"/>
        <v>4266118.6265087072</v>
      </c>
      <c r="HA21" s="40">
        <f t="shared" ca="1" si="128"/>
        <v>4266118.6265087072</v>
      </c>
      <c r="HB21" s="40">
        <f t="shared" ca="1" si="128"/>
        <v>4266118.6265087072</v>
      </c>
      <c r="HC21" s="40">
        <f t="shared" ca="1" si="128"/>
        <v>4266118.6265087072</v>
      </c>
      <c r="HD21" s="40">
        <f t="shared" ca="1" si="128"/>
        <v>4266118.6265087072</v>
      </c>
      <c r="HE21" s="40">
        <f t="shared" ca="1" si="128"/>
        <v>4266118.6265087072</v>
      </c>
      <c r="HF21" s="40">
        <f t="shared" ca="1" si="128"/>
        <v>4266118.6265087072</v>
      </c>
      <c r="HG21" s="40">
        <f t="shared" ca="1" si="128"/>
        <v>4266118.6265087072</v>
      </c>
      <c r="HH21" s="40">
        <f t="shared" ca="1" si="128"/>
        <v>4266118.6265087072</v>
      </c>
      <c r="HI21" s="40">
        <f t="shared" ca="1" si="128"/>
        <v>4266118.6265087072</v>
      </c>
      <c r="HJ21" s="40">
        <f t="shared" ca="1" si="128"/>
        <v>4266118.6265087072</v>
      </c>
      <c r="HK21" s="40">
        <f t="shared" ca="1" si="128"/>
        <v>4266118.6265087072</v>
      </c>
      <c r="HL21" s="40">
        <f t="shared" ca="1" si="128"/>
        <v>4266118.6265087072</v>
      </c>
      <c r="HM21" s="40">
        <f t="shared" ca="1" si="128"/>
        <v>4266118.6265087072</v>
      </c>
      <c r="HN21" s="40">
        <f t="shared" ca="1" si="128"/>
        <v>4266118.6265087072</v>
      </c>
      <c r="HO21" s="40">
        <f t="shared" ca="1" si="128"/>
        <v>4266118.6265087072</v>
      </c>
      <c r="HP21" s="40">
        <f t="shared" ca="1" si="128"/>
        <v>4266118.6265087072</v>
      </c>
      <c r="HQ21" s="40">
        <f t="shared" ca="1" si="128"/>
        <v>4266118.6265087072</v>
      </c>
      <c r="HR21" s="40">
        <f t="shared" ca="1" si="128"/>
        <v>4266118.6265087072</v>
      </c>
      <c r="HS21" s="40">
        <f t="shared" ca="1" si="128"/>
        <v>4266118.6265087072</v>
      </c>
      <c r="HT21" s="40">
        <f t="shared" ca="1" si="128"/>
        <v>4266118.6265087072</v>
      </c>
      <c r="HU21" s="40">
        <f t="shared" ca="1" si="128"/>
        <v>4266118.6265087072</v>
      </c>
      <c r="HV21" s="40">
        <f t="shared" ca="1" si="128"/>
        <v>4266118.6265087072</v>
      </c>
      <c r="HW21" s="40">
        <f t="shared" ca="1" si="128"/>
        <v>4266118.6265087072</v>
      </c>
      <c r="HX21" s="40">
        <f t="shared" ca="1" si="128"/>
        <v>4266118.6265087072</v>
      </c>
      <c r="HY21" s="40">
        <f t="shared" ca="1" si="128"/>
        <v>4266118.6265087072</v>
      </c>
      <c r="HZ21" s="40">
        <f t="shared" ca="1" si="128"/>
        <v>4266118.6265087072</v>
      </c>
      <c r="IA21" s="40">
        <f t="shared" ca="1" si="128"/>
        <v>4266118.6265087072</v>
      </c>
      <c r="IB21" s="40">
        <f t="shared" ca="1" si="128"/>
        <v>4266118.6265087072</v>
      </c>
      <c r="IC21" s="40">
        <f t="shared" ca="1" si="128"/>
        <v>4266118.6265087072</v>
      </c>
      <c r="ID21" s="40">
        <f t="shared" ca="1" si="128"/>
        <v>4266118.6265087072</v>
      </c>
      <c r="IE21" s="40">
        <f t="shared" ca="1" si="128"/>
        <v>4266118.6265087072</v>
      </c>
      <c r="IF21" s="40">
        <f t="shared" ca="1" si="128"/>
        <v>4266118.6265087072</v>
      </c>
      <c r="IG21" s="40">
        <f t="shared" ca="1" si="128"/>
        <v>4266118.6265087072</v>
      </c>
      <c r="IH21" s="40">
        <f t="shared" ca="1" si="128"/>
        <v>4266118.6265087072</v>
      </c>
      <c r="II21" s="40">
        <f t="shared" ca="1" si="128"/>
        <v>4266118.6265087072</v>
      </c>
      <c r="IJ21" s="40">
        <f t="shared" ca="1" si="128"/>
        <v>4266118.6265087072</v>
      </c>
      <c r="IK21" s="40">
        <f t="shared" ca="1" si="128"/>
        <v>4266118.6265087072</v>
      </c>
      <c r="IL21" s="40">
        <f t="shared" ca="1" si="128"/>
        <v>4266118.6265087072</v>
      </c>
      <c r="IM21" s="40">
        <f t="shared" ca="1" si="128"/>
        <v>4266118.6265087072</v>
      </c>
      <c r="IN21" s="40">
        <f t="shared" ca="1" si="128"/>
        <v>4266118.6265087072</v>
      </c>
    </row>
    <row r="22" spans="2:248" x14ac:dyDescent="0.3">
      <c r="C22" s="40"/>
      <c r="F22" s="19" t="s">
        <v>495</v>
      </c>
      <c r="G22" s="40">
        <f t="shared" ref="G22:V23" si="129">G11*$C$15</f>
        <v>18.224290740658262</v>
      </c>
      <c r="H22" s="40">
        <f t="shared" ca="1" si="129"/>
        <v>25.765376564378922</v>
      </c>
      <c r="I22" s="40">
        <f t="shared" ca="1" si="129"/>
        <v>32.520932614795349</v>
      </c>
      <c r="J22" s="40">
        <f t="shared" ca="1" si="129"/>
        <v>43.047031577072104</v>
      </c>
      <c r="K22" s="40">
        <f t="shared" ca="1" si="129"/>
        <v>50.588117400792761</v>
      </c>
      <c r="L22" s="40">
        <f t="shared" ca="1" si="129"/>
        <v>60.328686589765283</v>
      </c>
      <c r="M22" s="40">
        <f t="shared" ca="1" si="129"/>
        <v>72.111633189328813</v>
      </c>
      <c r="N22" s="40">
        <f t="shared" ca="1" si="129"/>
        <v>92.378301340578091</v>
      </c>
      <c r="O22" s="40">
        <f t="shared" ca="1" si="129"/>
        <v>125.52765777401683</v>
      </c>
      <c r="P22" s="40">
        <f t="shared" ca="1" si="129"/>
        <v>177.68683472141805</v>
      </c>
      <c r="Q22" s="40">
        <f t="shared" ca="1" si="129"/>
        <v>208.63670778960494</v>
      </c>
      <c r="R22" s="40">
        <f t="shared" ca="1" si="129"/>
        <v>199.68166837393665</v>
      </c>
      <c r="S22" s="40">
        <f t="shared" ca="1" si="129"/>
        <v>264.72353360352736</v>
      </c>
      <c r="T22" s="40">
        <f t="shared" ca="1" si="129"/>
        <v>360.7152719013049</v>
      </c>
      <c r="U22" s="40">
        <f t="shared" ca="1" si="129"/>
        <v>352.70286821360173</v>
      </c>
      <c r="V22" s="40">
        <f t="shared" ca="1" si="129"/>
        <v>545.78608649178284</v>
      </c>
      <c r="W22" s="40">
        <f t="shared" ca="1" si="125"/>
        <v>690.48067073442292</v>
      </c>
      <c r="X22" s="40">
        <f t="shared" ca="1" si="125"/>
        <v>775.63209816060214</v>
      </c>
      <c r="Y22" s="40">
        <f t="shared" ca="1" si="125"/>
        <v>892.51892842827237</v>
      </c>
      <c r="Z22" s="40">
        <f t="shared" ca="1" si="125"/>
        <v>1058.7370284594485</v>
      </c>
      <c r="AA22" s="40">
        <f t="shared" ca="1" si="125"/>
        <v>1212.7008640270788</v>
      </c>
      <c r="AB22" s="40">
        <f t="shared" ca="1" si="125"/>
        <v>1526.2843495301295</v>
      </c>
      <c r="AC22" s="40">
        <f t="shared" ca="1" si="125"/>
        <v>1934.6027256936711</v>
      </c>
      <c r="AD22" s="40">
        <f t="shared" ca="1" si="125"/>
        <v>2200.7402128891463</v>
      </c>
      <c r="AE22" s="40">
        <f t="shared" ca="1" si="125"/>
        <v>2413.4616754999329</v>
      </c>
      <c r="AF22" s="40">
        <f t="shared" ca="1" si="125"/>
        <v>2894.5201086714469</v>
      </c>
      <c r="AG22" s="40">
        <f t="shared" ca="1" si="125"/>
        <v>3618.1501358393084</v>
      </c>
      <c r="AH22" s="40">
        <f t="shared" ca="1" si="125"/>
        <v>4522.6876697991356</v>
      </c>
      <c r="AI22" s="40">
        <f t="shared" ca="1" si="125"/>
        <v>5653.3595872489195</v>
      </c>
      <c r="AJ22" s="40">
        <f t="shared" ca="1" si="125"/>
        <v>7066.6994840611496</v>
      </c>
      <c r="AK22" s="40">
        <f t="shared" ca="1" si="125"/>
        <v>8833.3743550764375</v>
      </c>
      <c r="AL22" s="40">
        <f t="shared" ca="1" si="125"/>
        <v>11041.717943845546</v>
      </c>
      <c r="AM22" s="40">
        <f t="shared" ca="1" si="125"/>
        <v>13802.147429806933</v>
      </c>
      <c r="AN22" s="40">
        <f t="shared" ca="1" si="125"/>
        <v>17252.684287258664</v>
      </c>
      <c r="AO22" s="40">
        <f t="shared" ca="1" si="125"/>
        <v>21565.855359073332</v>
      </c>
      <c r="AP22" s="40">
        <f t="shared" ca="1" si="125"/>
        <v>26957.319198841666</v>
      </c>
      <c r="AQ22" s="40">
        <f t="shared" ca="1" si="125"/>
        <v>33696.648998552082</v>
      </c>
      <c r="AR22" s="40">
        <f t="shared" ca="1" si="125"/>
        <v>42120.811248190104</v>
      </c>
      <c r="AS22" s="40">
        <f t="shared" ca="1" si="125"/>
        <v>52651.014060237627</v>
      </c>
      <c r="AT22" s="40">
        <f t="shared" ca="1" si="125"/>
        <v>65813.767575297039</v>
      </c>
      <c r="AU22" s="40">
        <f t="shared" ca="1" si="125"/>
        <v>82267.209469121299</v>
      </c>
      <c r="AV22" s="40">
        <f t="shared" ca="1" si="125"/>
        <v>102834.01183640161</v>
      </c>
      <c r="AW22" s="40">
        <f t="shared" ca="1" si="125"/>
        <v>128542.51479550202</v>
      </c>
      <c r="AX22" s="40">
        <f t="shared" ca="1" si="125"/>
        <v>160678.14349437752</v>
      </c>
      <c r="AY22" s="40">
        <f t="shared" ca="1" si="125"/>
        <v>200847.6793679719</v>
      </c>
      <c r="AZ22" s="40">
        <f t="shared" ca="1" si="125"/>
        <v>251059.59920996486</v>
      </c>
      <c r="BA22" s="40">
        <f t="shared" ca="1" si="125"/>
        <v>313824.4990124561</v>
      </c>
      <c r="BB22" s="40">
        <f t="shared" ca="1" si="125"/>
        <v>392280.62376557017</v>
      </c>
      <c r="BC22" s="40">
        <f t="shared" ca="1" si="125"/>
        <v>490350.77970696264</v>
      </c>
      <c r="BD22" s="40">
        <f t="shared" ca="1" si="125"/>
        <v>612938.47463370336</v>
      </c>
      <c r="BE22" s="40">
        <f t="shared" ca="1" si="125"/>
        <v>766173.09329212911</v>
      </c>
      <c r="BF22" s="40">
        <f t="shared" ca="1" si="125"/>
        <v>957716.3666151613</v>
      </c>
      <c r="BG22" s="40">
        <f t="shared" ca="1" si="125"/>
        <v>1197145.4582689516</v>
      </c>
      <c r="BH22" s="40">
        <f t="shared" ca="1" si="125"/>
        <v>1496431.8228361895</v>
      </c>
      <c r="BI22" s="40">
        <f t="shared" ca="1" si="125"/>
        <v>1870539.7785452369</v>
      </c>
      <c r="BJ22" s="40">
        <f t="shared" ca="1" si="125"/>
        <v>2338174.7231815462</v>
      </c>
      <c r="BK22" s="40">
        <f t="shared" ca="1" si="125"/>
        <v>2922718.4039769322</v>
      </c>
      <c r="BL22" s="40">
        <f t="shared" ca="1" si="125"/>
        <v>3653398.0049711652</v>
      </c>
      <c r="BM22" s="40">
        <f t="shared" ca="1" si="125"/>
        <v>4266118.6265087072</v>
      </c>
      <c r="BN22" s="40">
        <f t="shared" ca="1" si="125"/>
        <v>4266118.6265087072</v>
      </c>
      <c r="BO22" s="40">
        <f t="shared" ca="1" si="125"/>
        <v>4266118.6265087072</v>
      </c>
      <c r="BP22" s="40">
        <f t="shared" ca="1" si="125"/>
        <v>4266118.6265087072</v>
      </c>
      <c r="BQ22" s="40">
        <f t="shared" ca="1" si="125"/>
        <v>4266118.6265087072</v>
      </c>
      <c r="BR22" s="40">
        <f t="shared" ca="1" si="125"/>
        <v>4266118.6265087072</v>
      </c>
      <c r="BS22" s="40">
        <f t="shared" ca="1" si="125"/>
        <v>4266118.6265087072</v>
      </c>
      <c r="BT22" s="40">
        <f t="shared" ca="1" si="126"/>
        <v>4266118.6265087072</v>
      </c>
      <c r="BU22" s="40">
        <f t="shared" ca="1" si="126"/>
        <v>4266118.6265087072</v>
      </c>
      <c r="BV22" s="40">
        <f t="shared" ca="1" si="126"/>
        <v>4266118.6265087072</v>
      </c>
      <c r="BW22" s="40">
        <f t="shared" ca="1" si="126"/>
        <v>4266118.6265087072</v>
      </c>
      <c r="BX22" s="40">
        <f t="shared" ca="1" si="126"/>
        <v>4266118.6265087072</v>
      </c>
      <c r="BY22" s="40">
        <f t="shared" ca="1" si="126"/>
        <v>4266118.6265087072</v>
      </c>
      <c r="BZ22" s="40">
        <f t="shared" ca="1" si="126"/>
        <v>4266118.6265087072</v>
      </c>
      <c r="CA22" s="40">
        <f t="shared" ca="1" si="126"/>
        <v>4266118.6265087072</v>
      </c>
      <c r="CB22" s="40">
        <f t="shared" ca="1" si="126"/>
        <v>4266118.6265087072</v>
      </c>
      <c r="CC22" s="40">
        <f t="shared" ca="1" si="126"/>
        <v>4266118.6265087072</v>
      </c>
      <c r="CD22" s="40">
        <f t="shared" ca="1" si="126"/>
        <v>4266118.6265087072</v>
      </c>
      <c r="CE22" s="40">
        <f t="shared" ca="1" si="126"/>
        <v>4266118.6265087072</v>
      </c>
      <c r="CF22" s="40">
        <f t="shared" ca="1" si="126"/>
        <v>4266118.6265087072</v>
      </c>
      <c r="CG22" s="40">
        <f t="shared" ca="1" si="126"/>
        <v>4266118.6265087072</v>
      </c>
      <c r="CH22" s="40">
        <f t="shared" ca="1" si="126"/>
        <v>4266118.6265087072</v>
      </c>
      <c r="CI22" s="40">
        <f t="shared" ca="1" si="126"/>
        <v>4266118.6265087072</v>
      </c>
      <c r="CJ22" s="40">
        <f t="shared" ca="1" si="126"/>
        <v>4266118.6265087072</v>
      </c>
      <c r="CK22" s="40">
        <f t="shared" ca="1" si="126"/>
        <v>4266118.6265087072</v>
      </c>
      <c r="CL22" s="40">
        <f t="shared" ca="1" si="126"/>
        <v>4266118.6265087072</v>
      </c>
      <c r="CM22" s="40">
        <f t="shared" ca="1" si="126"/>
        <v>4266118.6265087072</v>
      </c>
      <c r="CN22" s="40">
        <f t="shared" ca="1" si="126"/>
        <v>4266118.6265087072</v>
      </c>
      <c r="CO22" s="40">
        <f t="shared" ca="1" si="126"/>
        <v>4266118.6265087072</v>
      </c>
      <c r="CP22" s="40">
        <f t="shared" ca="1" si="126"/>
        <v>4266118.6265087072</v>
      </c>
      <c r="CQ22" s="40">
        <f t="shared" ca="1" si="126"/>
        <v>4266118.6265087072</v>
      </c>
      <c r="CR22" s="40">
        <f t="shared" ca="1" si="126"/>
        <v>4266118.6265087072</v>
      </c>
      <c r="CS22" s="40">
        <f t="shared" ca="1" si="126"/>
        <v>4266118.6265087072</v>
      </c>
      <c r="CT22" s="40">
        <f t="shared" ca="1" si="126"/>
        <v>4266118.6265087072</v>
      </c>
      <c r="CU22" s="40">
        <f t="shared" ca="1" si="126"/>
        <v>4266118.6265087072</v>
      </c>
      <c r="CV22" s="40">
        <f t="shared" ca="1" si="126"/>
        <v>4266118.6265087072</v>
      </c>
      <c r="CW22" s="40">
        <f t="shared" ca="1" si="126"/>
        <v>4266118.6265087072</v>
      </c>
      <c r="CX22" s="40">
        <f t="shared" ca="1" si="126"/>
        <v>4266118.6265087072</v>
      </c>
      <c r="CY22" s="40">
        <f t="shared" ca="1" si="126"/>
        <v>4266118.6265087072</v>
      </c>
      <c r="CZ22" s="40">
        <f t="shared" ca="1" si="126"/>
        <v>4266118.6265087072</v>
      </c>
      <c r="DA22" s="40">
        <f t="shared" ca="1" si="126"/>
        <v>4266118.6265087072</v>
      </c>
      <c r="DB22" s="40">
        <f t="shared" ca="1" si="126"/>
        <v>4266118.6265087072</v>
      </c>
      <c r="DC22" s="40">
        <f t="shared" ca="1" si="126"/>
        <v>4266118.6265087072</v>
      </c>
      <c r="DD22" s="40">
        <f t="shared" ca="1" si="126"/>
        <v>4266118.6265087072</v>
      </c>
      <c r="DE22" s="40">
        <f t="shared" ca="1" si="126"/>
        <v>4266118.6265087072</v>
      </c>
      <c r="DF22" s="40">
        <f t="shared" ca="1" si="126"/>
        <v>4266118.6265087072</v>
      </c>
      <c r="DG22" s="40">
        <f t="shared" ca="1" si="126"/>
        <v>4266118.6265087072</v>
      </c>
      <c r="DH22" s="40">
        <f t="shared" ca="1" si="126"/>
        <v>4266118.6265087072</v>
      </c>
      <c r="DI22" s="40">
        <f t="shared" ca="1" si="126"/>
        <v>4266118.6265087072</v>
      </c>
      <c r="DJ22" s="40">
        <f t="shared" ca="1" si="126"/>
        <v>4266118.6265087072</v>
      </c>
      <c r="DK22" s="40">
        <f t="shared" ca="1" si="126"/>
        <v>4266118.6265087072</v>
      </c>
      <c r="DL22" s="40">
        <f t="shared" ca="1" si="126"/>
        <v>4266118.6265087072</v>
      </c>
      <c r="DM22" s="40">
        <f t="shared" ca="1" si="126"/>
        <v>4266118.6265087072</v>
      </c>
      <c r="DN22" s="40">
        <f t="shared" ca="1" si="126"/>
        <v>4266118.6265087072</v>
      </c>
      <c r="DO22" s="40">
        <f t="shared" ca="1" si="126"/>
        <v>4266118.6265087072</v>
      </c>
      <c r="DP22" s="40">
        <f t="shared" ca="1" si="126"/>
        <v>4266118.6265087072</v>
      </c>
      <c r="DQ22" s="40">
        <f t="shared" ca="1" si="126"/>
        <v>4266118.6265087072</v>
      </c>
      <c r="DR22" s="40">
        <f t="shared" ca="1" si="126"/>
        <v>4266118.6265087072</v>
      </c>
      <c r="DS22" s="40">
        <f t="shared" ca="1" si="126"/>
        <v>4266118.6265087072</v>
      </c>
      <c r="DT22" s="40">
        <f t="shared" ca="1" si="126"/>
        <v>4266118.6265087072</v>
      </c>
      <c r="DU22" s="40">
        <f t="shared" ca="1" si="126"/>
        <v>4266118.6265087072</v>
      </c>
      <c r="DV22" s="40">
        <f t="shared" ca="1" si="126"/>
        <v>4266118.6265087072</v>
      </c>
      <c r="DW22" s="40">
        <f t="shared" ca="1" si="126"/>
        <v>4266118.6265087072</v>
      </c>
      <c r="DX22" s="40">
        <f t="shared" ca="1" si="126"/>
        <v>4266118.6265087072</v>
      </c>
      <c r="DY22" s="40">
        <f t="shared" ca="1" si="126"/>
        <v>4266118.6265087072</v>
      </c>
      <c r="DZ22" s="40">
        <f t="shared" ca="1" si="126"/>
        <v>4266118.6265087072</v>
      </c>
      <c r="EA22" s="40">
        <f t="shared" ca="1" si="126"/>
        <v>4266118.6265087072</v>
      </c>
      <c r="EB22" s="40">
        <f t="shared" ca="1" si="126"/>
        <v>4266118.6265087072</v>
      </c>
      <c r="EC22" s="40">
        <f t="shared" ca="1" si="126"/>
        <v>4266118.6265087072</v>
      </c>
      <c r="ED22" s="40">
        <f t="shared" ca="1" si="126"/>
        <v>4266118.6265087072</v>
      </c>
      <c r="EE22" s="40">
        <f t="shared" ca="1" si="126"/>
        <v>4266118.6265087072</v>
      </c>
      <c r="EF22" s="40">
        <f t="shared" ca="1" si="127"/>
        <v>4266118.6265087072</v>
      </c>
      <c r="EG22" s="40">
        <f t="shared" ca="1" si="127"/>
        <v>4266118.6265087072</v>
      </c>
      <c r="EH22" s="40">
        <f t="shared" ca="1" si="127"/>
        <v>4266118.6265087072</v>
      </c>
      <c r="EI22" s="40">
        <f t="shared" ca="1" si="127"/>
        <v>4266118.6265087072</v>
      </c>
      <c r="EJ22" s="40">
        <f t="shared" ca="1" si="127"/>
        <v>4266118.6265087072</v>
      </c>
      <c r="EK22" s="40">
        <f t="shared" ca="1" si="127"/>
        <v>4266118.6265087072</v>
      </c>
      <c r="EL22" s="40">
        <f t="shared" ca="1" si="127"/>
        <v>4266118.6265087072</v>
      </c>
      <c r="EM22" s="40">
        <f t="shared" ca="1" si="127"/>
        <v>4266118.6265087072</v>
      </c>
      <c r="EN22" s="40">
        <f t="shared" ca="1" si="127"/>
        <v>4266118.6265087072</v>
      </c>
      <c r="EO22" s="40">
        <f t="shared" ca="1" si="127"/>
        <v>4266118.6265087072</v>
      </c>
      <c r="EP22" s="40">
        <f t="shared" ca="1" si="127"/>
        <v>4266118.6265087072</v>
      </c>
      <c r="EQ22" s="40">
        <f t="shared" ca="1" si="127"/>
        <v>4266118.6265087072</v>
      </c>
      <c r="ER22" s="40">
        <f t="shared" ca="1" si="127"/>
        <v>4266118.6265087072</v>
      </c>
      <c r="ES22" s="40">
        <f t="shared" ca="1" si="127"/>
        <v>4266118.6265087072</v>
      </c>
      <c r="ET22" s="40">
        <f t="shared" ca="1" si="127"/>
        <v>4266118.6265087072</v>
      </c>
      <c r="EU22" s="40">
        <f t="shared" ca="1" si="127"/>
        <v>4266118.6265087072</v>
      </c>
      <c r="EV22" s="40">
        <f t="shared" ca="1" si="127"/>
        <v>4266118.6265087072</v>
      </c>
      <c r="EW22" s="40">
        <f t="shared" ca="1" si="127"/>
        <v>4266118.6265087072</v>
      </c>
      <c r="EX22" s="40">
        <f t="shared" ca="1" si="127"/>
        <v>4266118.6265087072</v>
      </c>
      <c r="EY22" s="40">
        <f t="shared" ca="1" si="127"/>
        <v>4266118.6265087072</v>
      </c>
      <c r="EZ22" s="40">
        <f t="shared" ca="1" si="127"/>
        <v>4266118.6265087072</v>
      </c>
      <c r="FA22" s="40">
        <f t="shared" ca="1" si="127"/>
        <v>4266118.6265087072</v>
      </c>
      <c r="FB22" s="40">
        <f t="shared" ca="1" si="127"/>
        <v>4266118.6265087072</v>
      </c>
      <c r="FC22" s="40">
        <f t="shared" ca="1" si="127"/>
        <v>4266118.6265087072</v>
      </c>
      <c r="FD22" s="40">
        <f t="shared" ca="1" si="127"/>
        <v>4266118.6265087072</v>
      </c>
      <c r="FE22" s="40">
        <f t="shared" ca="1" si="127"/>
        <v>4266118.6265087072</v>
      </c>
      <c r="FF22" s="40">
        <f t="shared" ca="1" si="127"/>
        <v>4266118.6265087072</v>
      </c>
      <c r="FG22" s="40">
        <f t="shared" ca="1" si="127"/>
        <v>4266118.6265087072</v>
      </c>
      <c r="FH22" s="40">
        <f t="shared" ca="1" si="127"/>
        <v>4266118.6265087072</v>
      </c>
      <c r="FI22" s="40">
        <f t="shared" ca="1" si="127"/>
        <v>4266118.6265087072</v>
      </c>
      <c r="FJ22" s="40">
        <f t="shared" ca="1" si="127"/>
        <v>4266118.6265087072</v>
      </c>
      <c r="FK22" s="40">
        <f t="shared" ca="1" si="127"/>
        <v>4266118.6265087072</v>
      </c>
      <c r="FL22" s="40">
        <f t="shared" ca="1" si="127"/>
        <v>4266118.6265087072</v>
      </c>
      <c r="FM22" s="40">
        <f t="shared" ca="1" si="127"/>
        <v>4266118.6265087072</v>
      </c>
      <c r="FN22" s="40">
        <f t="shared" ca="1" si="127"/>
        <v>4266118.6265087072</v>
      </c>
      <c r="FO22" s="40">
        <f t="shared" ca="1" si="127"/>
        <v>4266118.6265087072</v>
      </c>
      <c r="FP22" s="40">
        <f t="shared" ca="1" si="127"/>
        <v>4266118.6265087072</v>
      </c>
      <c r="FQ22" s="40">
        <f t="shared" ca="1" si="127"/>
        <v>4266118.6265087072</v>
      </c>
      <c r="FR22" s="40">
        <f t="shared" ca="1" si="127"/>
        <v>4266118.6265087072</v>
      </c>
      <c r="FS22" s="40">
        <f t="shared" ca="1" si="127"/>
        <v>4266118.6265087072</v>
      </c>
      <c r="FT22" s="40">
        <f t="shared" ca="1" si="127"/>
        <v>4266118.6265087072</v>
      </c>
      <c r="FU22" s="40">
        <f t="shared" ca="1" si="127"/>
        <v>4266118.6265087072</v>
      </c>
      <c r="FV22" s="40">
        <f t="shared" ca="1" si="127"/>
        <v>4266118.6265087072</v>
      </c>
      <c r="FW22" s="40">
        <f t="shared" ca="1" si="127"/>
        <v>4266118.6265087072</v>
      </c>
      <c r="FX22" s="40">
        <f t="shared" ca="1" si="127"/>
        <v>4266118.6265087072</v>
      </c>
      <c r="FY22" s="40">
        <f t="shared" ca="1" si="127"/>
        <v>4266118.6265087072</v>
      </c>
      <c r="FZ22" s="40">
        <f t="shared" ca="1" si="127"/>
        <v>4266118.6265087072</v>
      </c>
      <c r="GA22" s="40">
        <f t="shared" ca="1" si="127"/>
        <v>4266118.6265087072</v>
      </c>
      <c r="GB22" s="40">
        <f t="shared" ca="1" si="127"/>
        <v>4266118.6265087072</v>
      </c>
      <c r="GC22" s="40">
        <f t="shared" ca="1" si="127"/>
        <v>4266118.6265087072</v>
      </c>
      <c r="GD22" s="40">
        <f t="shared" ca="1" si="127"/>
        <v>4266118.6265087072</v>
      </c>
      <c r="GE22" s="40">
        <f t="shared" ca="1" si="127"/>
        <v>4266118.6265087072</v>
      </c>
      <c r="GF22" s="40">
        <f t="shared" ca="1" si="127"/>
        <v>4266118.6265087072</v>
      </c>
      <c r="GG22" s="40">
        <f t="shared" ca="1" si="127"/>
        <v>4266118.6265087072</v>
      </c>
      <c r="GH22" s="40">
        <f t="shared" ca="1" si="127"/>
        <v>4266118.6265087072</v>
      </c>
      <c r="GI22" s="40">
        <f t="shared" ca="1" si="127"/>
        <v>4266118.6265087072</v>
      </c>
      <c r="GJ22" s="40">
        <f t="shared" ca="1" si="127"/>
        <v>4266118.6265087072</v>
      </c>
      <c r="GK22" s="40">
        <f t="shared" ca="1" si="127"/>
        <v>4266118.6265087072</v>
      </c>
      <c r="GL22" s="40">
        <f t="shared" ca="1" si="127"/>
        <v>4266118.6265087072</v>
      </c>
      <c r="GM22" s="40">
        <f t="shared" ca="1" si="127"/>
        <v>4266118.6265087072</v>
      </c>
      <c r="GN22" s="40">
        <f t="shared" ca="1" si="127"/>
        <v>4266118.6265087072</v>
      </c>
      <c r="GO22" s="40">
        <f t="shared" ca="1" si="127"/>
        <v>4266118.6265087072</v>
      </c>
      <c r="GP22" s="40">
        <f t="shared" ca="1" si="127"/>
        <v>4266118.6265087072</v>
      </c>
      <c r="GQ22" s="40">
        <f t="shared" ca="1" si="127"/>
        <v>4266118.6265087072</v>
      </c>
      <c r="GR22" s="40">
        <f t="shared" ca="1" si="128"/>
        <v>4266118.6265087072</v>
      </c>
      <c r="GS22" s="40">
        <f t="shared" ca="1" si="128"/>
        <v>4266118.6265087072</v>
      </c>
      <c r="GT22" s="40">
        <f t="shared" ca="1" si="128"/>
        <v>4266118.6265087072</v>
      </c>
      <c r="GU22" s="40">
        <f t="shared" ca="1" si="128"/>
        <v>4266118.6265087072</v>
      </c>
      <c r="GV22" s="40">
        <f t="shared" ca="1" si="128"/>
        <v>4266118.6265087072</v>
      </c>
      <c r="GW22" s="40">
        <f t="shared" ca="1" si="128"/>
        <v>4266118.6265087072</v>
      </c>
      <c r="GX22" s="40">
        <f t="shared" ca="1" si="128"/>
        <v>4266118.6265087072</v>
      </c>
      <c r="GY22" s="40">
        <f t="shared" ca="1" si="128"/>
        <v>4266118.6265087072</v>
      </c>
      <c r="GZ22" s="40">
        <f t="shared" ca="1" si="128"/>
        <v>4266118.6265087072</v>
      </c>
      <c r="HA22" s="40">
        <f t="shared" ca="1" si="128"/>
        <v>4266118.6265087072</v>
      </c>
      <c r="HB22" s="40">
        <f t="shared" ca="1" si="128"/>
        <v>4266118.6265087072</v>
      </c>
      <c r="HC22" s="40">
        <f t="shared" ca="1" si="128"/>
        <v>4266118.6265087072</v>
      </c>
      <c r="HD22" s="40">
        <f t="shared" ca="1" si="128"/>
        <v>4266118.6265087072</v>
      </c>
      <c r="HE22" s="40">
        <f t="shared" ca="1" si="128"/>
        <v>4266118.6265087072</v>
      </c>
      <c r="HF22" s="40">
        <f t="shared" ca="1" si="128"/>
        <v>4266118.6265087072</v>
      </c>
      <c r="HG22" s="40">
        <f t="shared" ca="1" si="128"/>
        <v>4266118.6265087072</v>
      </c>
      <c r="HH22" s="40">
        <f t="shared" ca="1" si="128"/>
        <v>4266118.6265087072</v>
      </c>
      <c r="HI22" s="40">
        <f t="shared" ca="1" si="128"/>
        <v>4266118.6265087072</v>
      </c>
      <c r="HJ22" s="40">
        <f t="shared" ca="1" si="128"/>
        <v>4266118.6265087072</v>
      </c>
      <c r="HK22" s="40">
        <f t="shared" ca="1" si="128"/>
        <v>4266118.6265087072</v>
      </c>
      <c r="HL22" s="40">
        <f t="shared" ca="1" si="128"/>
        <v>4266118.6265087072</v>
      </c>
      <c r="HM22" s="40">
        <f t="shared" ca="1" si="128"/>
        <v>4266118.6265087072</v>
      </c>
      <c r="HN22" s="40">
        <f t="shared" ca="1" si="128"/>
        <v>4266118.6265087072</v>
      </c>
      <c r="HO22" s="40">
        <f t="shared" ca="1" si="128"/>
        <v>4266118.6265087072</v>
      </c>
      <c r="HP22" s="40">
        <f t="shared" ca="1" si="128"/>
        <v>4266118.6265087072</v>
      </c>
      <c r="HQ22" s="40">
        <f t="shared" ca="1" si="128"/>
        <v>4266118.6265087072</v>
      </c>
      <c r="HR22" s="40">
        <f t="shared" ca="1" si="128"/>
        <v>4266118.6265087072</v>
      </c>
      <c r="HS22" s="40">
        <f t="shared" ca="1" si="128"/>
        <v>4266118.6265087072</v>
      </c>
      <c r="HT22" s="40">
        <f t="shared" ca="1" si="128"/>
        <v>4266118.6265087072</v>
      </c>
      <c r="HU22" s="40">
        <f t="shared" ca="1" si="128"/>
        <v>4266118.6265087072</v>
      </c>
      <c r="HV22" s="40">
        <f t="shared" ca="1" si="128"/>
        <v>4266118.6265087072</v>
      </c>
      <c r="HW22" s="40">
        <f t="shared" ca="1" si="128"/>
        <v>4266118.6265087072</v>
      </c>
      <c r="HX22" s="40">
        <f t="shared" ca="1" si="128"/>
        <v>4266118.6265087072</v>
      </c>
      <c r="HY22" s="40">
        <f t="shared" ca="1" si="128"/>
        <v>4266118.6265087072</v>
      </c>
      <c r="HZ22" s="40">
        <f t="shared" ca="1" si="128"/>
        <v>4266118.6265087072</v>
      </c>
      <c r="IA22" s="40">
        <f t="shared" ca="1" si="128"/>
        <v>4266118.6265087072</v>
      </c>
      <c r="IB22" s="40">
        <f t="shared" ca="1" si="128"/>
        <v>4266118.6265087072</v>
      </c>
      <c r="IC22" s="40">
        <f t="shared" ca="1" si="128"/>
        <v>4266118.6265087072</v>
      </c>
      <c r="ID22" s="40">
        <f t="shared" ca="1" si="128"/>
        <v>4266118.6265087072</v>
      </c>
      <c r="IE22" s="40">
        <f t="shared" ca="1" si="128"/>
        <v>4266118.6265087072</v>
      </c>
      <c r="IF22" s="40">
        <f t="shared" ca="1" si="128"/>
        <v>4266118.6265087072</v>
      </c>
      <c r="IG22" s="40">
        <f t="shared" ca="1" si="128"/>
        <v>4266118.6265087072</v>
      </c>
      <c r="IH22" s="40">
        <f t="shared" ca="1" si="128"/>
        <v>4266118.6265087072</v>
      </c>
      <c r="II22" s="40">
        <f t="shared" ca="1" si="128"/>
        <v>4266118.6265087072</v>
      </c>
      <c r="IJ22" s="40">
        <f t="shared" ca="1" si="128"/>
        <v>4266118.6265087072</v>
      </c>
      <c r="IK22" s="40">
        <f t="shared" ca="1" si="128"/>
        <v>4266118.6265087072</v>
      </c>
      <c r="IL22" s="40">
        <f t="shared" ca="1" si="128"/>
        <v>4266118.6265087072</v>
      </c>
      <c r="IM22" s="40">
        <f t="shared" ca="1" si="128"/>
        <v>4266118.6265087072</v>
      </c>
      <c r="IN22" s="40">
        <f t="shared" ca="1" si="128"/>
        <v>4266118.6265087072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29"/>
        <v>18.224290740658262</v>
      </c>
      <c r="H23" s="40">
        <f t="shared" ref="H23:BS23" ca="1" si="130">H12*$C$15</f>
        <v>25.765376564378922</v>
      </c>
      <c r="I23" s="40">
        <f t="shared" ca="1" si="130"/>
        <v>32.520932614795349</v>
      </c>
      <c r="J23" s="40">
        <f t="shared" ca="1" si="130"/>
        <v>43.047031577072104</v>
      </c>
      <c r="K23" s="40">
        <f t="shared" ca="1" si="130"/>
        <v>50.588117400792761</v>
      </c>
      <c r="L23" s="40">
        <f t="shared" ca="1" si="130"/>
        <v>60.328686589765283</v>
      </c>
      <c r="M23" s="40">
        <f t="shared" ca="1" si="130"/>
        <v>72.111633189328813</v>
      </c>
      <c r="N23" s="40">
        <f t="shared" ca="1" si="130"/>
        <v>92.378301340578091</v>
      </c>
      <c r="O23" s="40">
        <f t="shared" ca="1" si="130"/>
        <v>125.52765777401683</v>
      </c>
      <c r="P23" s="40">
        <f t="shared" ca="1" si="130"/>
        <v>177.68683472141805</v>
      </c>
      <c r="Q23" s="40">
        <f t="shared" ca="1" si="130"/>
        <v>208.63670778960494</v>
      </c>
      <c r="R23" s="40">
        <f t="shared" ca="1" si="130"/>
        <v>199.68166837393665</v>
      </c>
      <c r="S23" s="40">
        <f t="shared" ca="1" si="130"/>
        <v>264.72353360352736</v>
      </c>
      <c r="T23" s="40">
        <f t="shared" ca="1" si="130"/>
        <v>360.7152719013049</v>
      </c>
      <c r="U23" s="40">
        <f t="shared" ca="1" si="130"/>
        <v>352.70286821360173</v>
      </c>
      <c r="V23" s="40">
        <f t="shared" ca="1" si="130"/>
        <v>545.78608649178284</v>
      </c>
      <c r="W23" s="40">
        <f t="shared" ca="1" si="130"/>
        <v>690.48067073442292</v>
      </c>
      <c r="X23" s="40">
        <f t="shared" ca="1" si="130"/>
        <v>775.63209816060214</v>
      </c>
      <c r="Y23" s="40">
        <f t="shared" ca="1" si="130"/>
        <v>892.51892842827237</v>
      </c>
      <c r="Z23" s="40">
        <f t="shared" ca="1" si="130"/>
        <v>1058.7370284594485</v>
      </c>
      <c r="AA23" s="40">
        <f t="shared" ca="1" si="130"/>
        <v>1212.7008640270788</v>
      </c>
      <c r="AB23" s="40">
        <f t="shared" ca="1" si="130"/>
        <v>1526.2843495301295</v>
      </c>
      <c r="AC23" s="40">
        <f t="shared" ca="1" si="130"/>
        <v>1934.6027256936711</v>
      </c>
      <c r="AD23" s="40">
        <f t="shared" ca="1" si="130"/>
        <v>2200.7402128891463</v>
      </c>
      <c r="AE23" s="40">
        <f t="shared" ca="1" si="130"/>
        <v>2413.4616754999329</v>
      </c>
      <c r="AF23" s="40">
        <f t="shared" ca="1" si="130"/>
        <v>2894.5201086714469</v>
      </c>
      <c r="AG23" s="40">
        <f t="shared" ca="1" si="130"/>
        <v>4052.3281521400254</v>
      </c>
      <c r="AH23" s="40">
        <f t="shared" ca="1" si="130"/>
        <v>5673.2594129960344</v>
      </c>
      <c r="AI23" s="40">
        <f t="shared" ca="1" si="130"/>
        <v>7942.5631781944485</v>
      </c>
      <c r="AJ23" s="40">
        <f t="shared" ca="1" si="130"/>
        <v>11119.588449472227</v>
      </c>
      <c r="AK23" s="40">
        <f t="shared" ca="1" si="130"/>
        <v>15567.423829261117</v>
      </c>
      <c r="AL23" s="40">
        <f t="shared" ca="1" si="130"/>
        <v>21794.393360965561</v>
      </c>
      <c r="AM23" s="40">
        <f t="shared" ca="1" si="130"/>
        <v>30512.150705351785</v>
      </c>
      <c r="AN23" s="40">
        <f t="shared" ca="1" si="130"/>
        <v>42717.010987492496</v>
      </c>
      <c r="AO23" s="40">
        <f t="shared" ca="1" si="130"/>
        <v>59803.815382489491</v>
      </c>
      <c r="AP23" s="40">
        <f t="shared" ca="1" si="130"/>
        <v>83725.341535485291</v>
      </c>
      <c r="AQ23" s="40">
        <f t="shared" ca="1" si="130"/>
        <v>117215.47814967939</v>
      </c>
      <c r="AR23" s="40">
        <f t="shared" ca="1" si="130"/>
        <v>164101.66940955113</v>
      </c>
      <c r="AS23" s="40">
        <f t="shared" ca="1" si="130"/>
        <v>229742.33717337158</v>
      </c>
      <c r="AT23" s="40">
        <f t="shared" ca="1" si="130"/>
        <v>321639.27204272017</v>
      </c>
      <c r="AU23" s="40">
        <f t="shared" ca="1" si="130"/>
        <v>450294.98085980822</v>
      </c>
      <c r="AV23" s="40">
        <f t="shared" ca="1" si="130"/>
        <v>630412.97320373147</v>
      </c>
      <c r="AW23" s="40">
        <f t="shared" ca="1" si="130"/>
        <v>882578.16248522396</v>
      </c>
      <c r="AX23" s="40">
        <f t="shared" ca="1" si="130"/>
        <v>1235609.4274793135</v>
      </c>
      <c r="AY23" s="40">
        <f t="shared" ca="1" si="130"/>
        <v>1729853.1984710388</v>
      </c>
      <c r="AZ23" s="40">
        <f t="shared" ca="1" si="130"/>
        <v>2421794.4778594538</v>
      </c>
      <c r="BA23" s="40">
        <f t="shared" ca="1" si="130"/>
        <v>3390512.2690032353</v>
      </c>
      <c r="BB23" s="40">
        <f t="shared" ca="1" si="130"/>
        <v>4266118.6265087072</v>
      </c>
      <c r="BC23" s="40">
        <f t="shared" ca="1" si="130"/>
        <v>4266118.6265087072</v>
      </c>
      <c r="BD23" s="40">
        <f t="shared" ca="1" si="130"/>
        <v>4266118.6265087072</v>
      </c>
      <c r="BE23" s="40">
        <f t="shared" ca="1" si="130"/>
        <v>4266118.6265087072</v>
      </c>
      <c r="BF23" s="40">
        <f t="shared" ca="1" si="130"/>
        <v>4266118.6265087072</v>
      </c>
      <c r="BG23" s="40">
        <f t="shared" ca="1" si="130"/>
        <v>4266118.6265087072</v>
      </c>
      <c r="BH23" s="40">
        <f t="shared" ca="1" si="130"/>
        <v>4266118.6265087072</v>
      </c>
      <c r="BI23" s="40">
        <f t="shared" ca="1" si="130"/>
        <v>4266118.6265087072</v>
      </c>
      <c r="BJ23" s="40">
        <f t="shared" ca="1" si="130"/>
        <v>4266118.6265087072</v>
      </c>
      <c r="BK23" s="40">
        <f t="shared" ca="1" si="130"/>
        <v>4266118.6265087072</v>
      </c>
      <c r="BL23" s="40">
        <f t="shared" ca="1" si="130"/>
        <v>4266118.6265087072</v>
      </c>
      <c r="BM23" s="40">
        <f t="shared" ca="1" si="130"/>
        <v>4266118.6265087072</v>
      </c>
      <c r="BN23" s="40">
        <f t="shared" ca="1" si="130"/>
        <v>4266118.6265087072</v>
      </c>
      <c r="BO23" s="40">
        <f t="shared" ca="1" si="130"/>
        <v>4266118.6265087072</v>
      </c>
      <c r="BP23" s="40">
        <f t="shared" ca="1" si="130"/>
        <v>4266118.6265087072</v>
      </c>
      <c r="BQ23" s="40">
        <f t="shared" ca="1" si="130"/>
        <v>4266118.6265087072</v>
      </c>
      <c r="BR23" s="40">
        <f t="shared" ca="1" si="130"/>
        <v>4266118.6265087072</v>
      </c>
      <c r="BS23" s="40">
        <f t="shared" ca="1" si="130"/>
        <v>4266118.6265087072</v>
      </c>
      <c r="BT23" s="40">
        <f t="shared" ca="1" si="126"/>
        <v>4266118.6265087072</v>
      </c>
      <c r="BU23" s="40">
        <f t="shared" ca="1" si="126"/>
        <v>4266118.6265087072</v>
      </c>
      <c r="BV23" s="40">
        <f t="shared" ca="1" si="126"/>
        <v>4266118.6265087072</v>
      </c>
      <c r="BW23" s="40">
        <f t="shared" ca="1" si="126"/>
        <v>4266118.6265087072</v>
      </c>
      <c r="BX23" s="40">
        <f t="shared" ca="1" si="126"/>
        <v>4266118.6265087072</v>
      </c>
      <c r="BY23" s="40">
        <f t="shared" ca="1" si="126"/>
        <v>4266118.6265087072</v>
      </c>
      <c r="BZ23" s="40">
        <f t="shared" ca="1" si="126"/>
        <v>4266118.6265087072</v>
      </c>
      <c r="CA23" s="40">
        <f t="shared" ca="1" si="126"/>
        <v>4266118.6265087072</v>
      </c>
      <c r="CB23" s="40">
        <f t="shared" ca="1" si="126"/>
        <v>4266118.6265087072</v>
      </c>
      <c r="CC23" s="40">
        <f t="shared" ca="1" si="126"/>
        <v>4266118.6265087072</v>
      </c>
      <c r="CD23" s="40">
        <f t="shared" ca="1" si="126"/>
        <v>4266118.6265087072</v>
      </c>
      <c r="CE23" s="40">
        <f t="shared" ca="1" si="126"/>
        <v>4266118.6265087072</v>
      </c>
      <c r="CF23" s="40">
        <f t="shared" ca="1" si="126"/>
        <v>4266118.6265087072</v>
      </c>
      <c r="CG23" s="40">
        <f t="shared" ca="1" si="126"/>
        <v>4266118.6265087072</v>
      </c>
      <c r="CH23" s="40">
        <f t="shared" ca="1" si="126"/>
        <v>4266118.6265087072</v>
      </c>
      <c r="CI23" s="40">
        <f t="shared" ca="1" si="126"/>
        <v>4266118.6265087072</v>
      </c>
      <c r="CJ23" s="40">
        <f t="shared" ca="1" si="126"/>
        <v>4266118.6265087072</v>
      </c>
      <c r="CK23" s="40">
        <f t="shared" ca="1" si="126"/>
        <v>4266118.6265087072</v>
      </c>
      <c r="CL23" s="40">
        <f t="shared" ca="1" si="126"/>
        <v>4266118.6265087072</v>
      </c>
      <c r="CM23" s="40">
        <f t="shared" ca="1" si="126"/>
        <v>4266118.6265087072</v>
      </c>
      <c r="CN23" s="40">
        <f t="shared" ca="1" si="126"/>
        <v>4266118.6265087072</v>
      </c>
      <c r="CO23" s="40">
        <f t="shared" ca="1" si="126"/>
        <v>4266118.6265087072</v>
      </c>
      <c r="CP23" s="40">
        <f t="shared" ca="1" si="126"/>
        <v>4266118.6265087072</v>
      </c>
      <c r="CQ23" s="40">
        <f t="shared" ca="1" si="126"/>
        <v>4266118.6265087072</v>
      </c>
      <c r="CR23" s="40">
        <f t="shared" ca="1" si="126"/>
        <v>4266118.6265087072</v>
      </c>
      <c r="CS23" s="40">
        <f t="shared" ca="1" si="126"/>
        <v>4266118.6265087072</v>
      </c>
      <c r="CT23" s="40">
        <f t="shared" ca="1" si="126"/>
        <v>4266118.6265087072</v>
      </c>
      <c r="CU23" s="40">
        <f t="shared" ca="1" si="126"/>
        <v>4266118.6265087072</v>
      </c>
      <c r="CV23" s="40">
        <f t="shared" ca="1" si="126"/>
        <v>4266118.6265087072</v>
      </c>
      <c r="CW23" s="40">
        <f t="shared" ca="1" si="126"/>
        <v>4266118.6265087072</v>
      </c>
      <c r="CX23" s="40">
        <f t="shared" ca="1" si="126"/>
        <v>4266118.6265087072</v>
      </c>
      <c r="CY23" s="40">
        <f t="shared" ca="1" si="126"/>
        <v>4266118.6265087072</v>
      </c>
      <c r="CZ23" s="40">
        <f t="shared" ca="1" si="126"/>
        <v>4266118.6265087072</v>
      </c>
      <c r="DA23" s="40">
        <f t="shared" ca="1" si="126"/>
        <v>4266118.6265087072</v>
      </c>
      <c r="DB23" s="40">
        <f t="shared" ca="1" si="126"/>
        <v>4266118.6265087072</v>
      </c>
      <c r="DC23" s="40">
        <f t="shared" ca="1" si="126"/>
        <v>4266118.6265087072</v>
      </c>
      <c r="DD23" s="40">
        <f t="shared" ca="1" si="126"/>
        <v>4266118.6265087072</v>
      </c>
      <c r="DE23" s="40">
        <f t="shared" ca="1" si="126"/>
        <v>4266118.6265087072</v>
      </c>
      <c r="DF23" s="40">
        <f t="shared" ca="1" si="126"/>
        <v>4266118.6265087072</v>
      </c>
      <c r="DG23" s="40">
        <f t="shared" ca="1" si="126"/>
        <v>4266118.6265087072</v>
      </c>
      <c r="DH23" s="40">
        <f t="shared" ca="1" si="126"/>
        <v>4266118.6265087072</v>
      </c>
      <c r="DI23" s="40">
        <f t="shared" ca="1" si="126"/>
        <v>4266118.6265087072</v>
      </c>
      <c r="DJ23" s="40">
        <f t="shared" ca="1" si="126"/>
        <v>4266118.6265087072</v>
      </c>
      <c r="DK23" s="40">
        <f t="shared" ca="1" si="126"/>
        <v>4266118.6265087072</v>
      </c>
      <c r="DL23" s="40">
        <f t="shared" ca="1" si="126"/>
        <v>4266118.6265087072</v>
      </c>
      <c r="DM23" s="40">
        <f t="shared" ca="1" si="126"/>
        <v>4266118.6265087072</v>
      </c>
      <c r="DN23" s="40">
        <f t="shared" ca="1" si="126"/>
        <v>4266118.6265087072</v>
      </c>
      <c r="DO23" s="40">
        <f t="shared" ca="1" si="126"/>
        <v>4266118.6265087072</v>
      </c>
      <c r="DP23" s="40">
        <f t="shared" ca="1" si="126"/>
        <v>4266118.6265087072</v>
      </c>
      <c r="DQ23" s="40">
        <f t="shared" ca="1" si="126"/>
        <v>4266118.6265087072</v>
      </c>
      <c r="DR23" s="40">
        <f t="shared" ca="1" si="126"/>
        <v>4266118.6265087072</v>
      </c>
      <c r="DS23" s="40">
        <f t="shared" ca="1" si="126"/>
        <v>4266118.6265087072</v>
      </c>
      <c r="DT23" s="40">
        <f t="shared" ca="1" si="126"/>
        <v>4266118.6265087072</v>
      </c>
      <c r="DU23" s="40">
        <f t="shared" ca="1" si="126"/>
        <v>4266118.6265087072</v>
      </c>
      <c r="DV23" s="40">
        <f t="shared" ca="1" si="126"/>
        <v>4266118.6265087072</v>
      </c>
      <c r="DW23" s="40">
        <f t="shared" ca="1" si="126"/>
        <v>4266118.6265087072</v>
      </c>
      <c r="DX23" s="40">
        <f t="shared" ca="1" si="126"/>
        <v>4266118.6265087072</v>
      </c>
      <c r="DY23" s="40">
        <f t="shared" ca="1" si="126"/>
        <v>4266118.6265087072</v>
      </c>
      <c r="DZ23" s="40">
        <f t="shared" ca="1" si="126"/>
        <v>4266118.6265087072</v>
      </c>
      <c r="EA23" s="40">
        <f t="shared" ca="1" si="126"/>
        <v>4266118.6265087072</v>
      </c>
      <c r="EB23" s="40">
        <f t="shared" ca="1" si="126"/>
        <v>4266118.6265087072</v>
      </c>
      <c r="EC23" s="40">
        <f t="shared" ca="1" si="126"/>
        <v>4266118.6265087072</v>
      </c>
      <c r="ED23" s="40">
        <f t="shared" ca="1" si="126"/>
        <v>4266118.6265087072</v>
      </c>
      <c r="EE23" s="40">
        <f t="shared" ca="1" si="126"/>
        <v>4266118.6265087072</v>
      </c>
      <c r="EF23" s="40">
        <f t="shared" ca="1" si="127"/>
        <v>4266118.6265087072</v>
      </c>
      <c r="EG23" s="40">
        <f t="shared" ca="1" si="127"/>
        <v>4266118.6265087072</v>
      </c>
      <c r="EH23" s="40">
        <f t="shared" ca="1" si="127"/>
        <v>4266118.6265087072</v>
      </c>
      <c r="EI23" s="40">
        <f t="shared" ca="1" si="127"/>
        <v>4266118.6265087072</v>
      </c>
      <c r="EJ23" s="40">
        <f t="shared" ca="1" si="127"/>
        <v>4266118.6265087072</v>
      </c>
      <c r="EK23" s="40">
        <f t="shared" ca="1" si="127"/>
        <v>4266118.6265087072</v>
      </c>
      <c r="EL23" s="40">
        <f t="shared" ca="1" si="127"/>
        <v>4266118.6265087072</v>
      </c>
      <c r="EM23" s="40">
        <f t="shared" ca="1" si="127"/>
        <v>4266118.6265087072</v>
      </c>
      <c r="EN23" s="40">
        <f t="shared" ca="1" si="127"/>
        <v>4266118.6265087072</v>
      </c>
      <c r="EO23" s="40">
        <f t="shared" ca="1" si="127"/>
        <v>4266118.6265087072</v>
      </c>
      <c r="EP23" s="40">
        <f t="shared" ca="1" si="127"/>
        <v>4266118.6265087072</v>
      </c>
      <c r="EQ23" s="40">
        <f t="shared" ca="1" si="127"/>
        <v>4266118.6265087072</v>
      </c>
      <c r="ER23" s="40">
        <f t="shared" ca="1" si="127"/>
        <v>4266118.6265087072</v>
      </c>
      <c r="ES23" s="40">
        <f t="shared" ca="1" si="127"/>
        <v>4266118.6265087072</v>
      </c>
      <c r="ET23" s="40">
        <f t="shared" ca="1" si="127"/>
        <v>4266118.6265087072</v>
      </c>
      <c r="EU23" s="40">
        <f t="shared" ca="1" si="127"/>
        <v>4266118.6265087072</v>
      </c>
      <c r="EV23" s="40">
        <f t="shared" ca="1" si="127"/>
        <v>4266118.6265087072</v>
      </c>
      <c r="EW23" s="40">
        <f t="shared" ca="1" si="127"/>
        <v>4266118.6265087072</v>
      </c>
      <c r="EX23" s="40">
        <f t="shared" ca="1" si="127"/>
        <v>4266118.6265087072</v>
      </c>
      <c r="EY23" s="40">
        <f t="shared" ca="1" si="127"/>
        <v>4266118.6265087072</v>
      </c>
      <c r="EZ23" s="40">
        <f t="shared" ca="1" si="127"/>
        <v>4266118.6265087072</v>
      </c>
      <c r="FA23" s="40">
        <f t="shared" ca="1" si="127"/>
        <v>4266118.6265087072</v>
      </c>
      <c r="FB23" s="40">
        <f t="shared" ca="1" si="127"/>
        <v>4266118.6265087072</v>
      </c>
      <c r="FC23" s="40">
        <f t="shared" ca="1" si="127"/>
        <v>4266118.6265087072</v>
      </c>
      <c r="FD23" s="40">
        <f t="shared" ca="1" si="127"/>
        <v>4266118.6265087072</v>
      </c>
      <c r="FE23" s="40">
        <f t="shared" ca="1" si="127"/>
        <v>4266118.6265087072</v>
      </c>
      <c r="FF23" s="40">
        <f t="shared" ca="1" si="127"/>
        <v>4266118.6265087072</v>
      </c>
      <c r="FG23" s="40">
        <f t="shared" ca="1" si="127"/>
        <v>4266118.6265087072</v>
      </c>
      <c r="FH23" s="40">
        <f t="shared" ca="1" si="127"/>
        <v>4266118.6265087072</v>
      </c>
      <c r="FI23" s="40">
        <f t="shared" ca="1" si="127"/>
        <v>4266118.6265087072</v>
      </c>
      <c r="FJ23" s="40">
        <f t="shared" ca="1" si="127"/>
        <v>4266118.6265087072</v>
      </c>
      <c r="FK23" s="40">
        <f t="shared" ca="1" si="127"/>
        <v>4266118.6265087072</v>
      </c>
      <c r="FL23" s="40">
        <f t="shared" ca="1" si="127"/>
        <v>4266118.6265087072</v>
      </c>
      <c r="FM23" s="40">
        <f t="shared" ca="1" si="127"/>
        <v>4266118.6265087072</v>
      </c>
      <c r="FN23" s="40">
        <f t="shared" ca="1" si="127"/>
        <v>4266118.6265087072</v>
      </c>
      <c r="FO23" s="40">
        <f t="shared" ca="1" si="127"/>
        <v>4266118.6265087072</v>
      </c>
      <c r="FP23" s="40">
        <f t="shared" ca="1" si="127"/>
        <v>4266118.6265087072</v>
      </c>
      <c r="FQ23" s="40">
        <f t="shared" ca="1" si="127"/>
        <v>4266118.6265087072</v>
      </c>
      <c r="FR23" s="40">
        <f t="shared" ca="1" si="127"/>
        <v>4266118.6265087072</v>
      </c>
      <c r="FS23" s="40">
        <f t="shared" ca="1" si="127"/>
        <v>4266118.6265087072</v>
      </c>
      <c r="FT23" s="40">
        <f t="shared" ca="1" si="127"/>
        <v>4266118.6265087072</v>
      </c>
      <c r="FU23" s="40">
        <f t="shared" ca="1" si="127"/>
        <v>4266118.6265087072</v>
      </c>
      <c r="FV23" s="40">
        <f t="shared" ca="1" si="127"/>
        <v>4266118.6265087072</v>
      </c>
      <c r="FW23" s="40">
        <f t="shared" ca="1" si="127"/>
        <v>4266118.6265087072</v>
      </c>
      <c r="FX23" s="40">
        <f t="shared" ca="1" si="127"/>
        <v>4266118.6265087072</v>
      </c>
      <c r="FY23" s="40">
        <f t="shared" ca="1" si="127"/>
        <v>4266118.6265087072</v>
      </c>
      <c r="FZ23" s="40">
        <f t="shared" ca="1" si="127"/>
        <v>4266118.6265087072</v>
      </c>
      <c r="GA23" s="40">
        <f t="shared" ca="1" si="127"/>
        <v>4266118.6265087072</v>
      </c>
      <c r="GB23" s="40">
        <f t="shared" ca="1" si="127"/>
        <v>4266118.6265087072</v>
      </c>
      <c r="GC23" s="40">
        <f t="shared" ca="1" si="127"/>
        <v>4266118.6265087072</v>
      </c>
      <c r="GD23" s="40">
        <f t="shared" ca="1" si="127"/>
        <v>4266118.6265087072</v>
      </c>
      <c r="GE23" s="40">
        <f t="shared" ca="1" si="127"/>
        <v>4266118.6265087072</v>
      </c>
      <c r="GF23" s="40">
        <f t="shared" ca="1" si="127"/>
        <v>4266118.6265087072</v>
      </c>
      <c r="GG23" s="40">
        <f t="shared" ca="1" si="127"/>
        <v>4266118.6265087072</v>
      </c>
      <c r="GH23" s="40">
        <f t="shared" ca="1" si="127"/>
        <v>4266118.6265087072</v>
      </c>
      <c r="GI23" s="40">
        <f t="shared" ca="1" si="127"/>
        <v>4266118.6265087072</v>
      </c>
      <c r="GJ23" s="40">
        <f t="shared" ca="1" si="127"/>
        <v>4266118.6265087072</v>
      </c>
      <c r="GK23" s="40">
        <f t="shared" ca="1" si="127"/>
        <v>4266118.6265087072</v>
      </c>
      <c r="GL23" s="40">
        <f t="shared" ca="1" si="127"/>
        <v>4266118.6265087072</v>
      </c>
      <c r="GM23" s="40">
        <f t="shared" ca="1" si="127"/>
        <v>4266118.6265087072</v>
      </c>
      <c r="GN23" s="40">
        <f t="shared" ca="1" si="127"/>
        <v>4266118.6265087072</v>
      </c>
      <c r="GO23" s="40">
        <f t="shared" ca="1" si="127"/>
        <v>4266118.6265087072</v>
      </c>
      <c r="GP23" s="40">
        <f t="shared" ca="1" si="127"/>
        <v>4266118.6265087072</v>
      </c>
      <c r="GQ23" s="40">
        <f t="shared" ca="1" si="127"/>
        <v>4266118.6265087072</v>
      </c>
      <c r="GR23" s="40">
        <f t="shared" ca="1" si="128"/>
        <v>4266118.6265087072</v>
      </c>
      <c r="GS23" s="40">
        <f t="shared" ca="1" si="128"/>
        <v>4266118.6265087072</v>
      </c>
      <c r="GT23" s="40">
        <f t="shared" ca="1" si="128"/>
        <v>4266118.6265087072</v>
      </c>
      <c r="GU23" s="40">
        <f t="shared" ca="1" si="128"/>
        <v>4266118.6265087072</v>
      </c>
      <c r="GV23" s="40">
        <f t="shared" ca="1" si="128"/>
        <v>4266118.6265087072</v>
      </c>
      <c r="GW23" s="40">
        <f t="shared" ca="1" si="128"/>
        <v>4266118.6265087072</v>
      </c>
      <c r="GX23" s="40">
        <f t="shared" ca="1" si="128"/>
        <v>4266118.6265087072</v>
      </c>
      <c r="GY23" s="40">
        <f t="shared" ca="1" si="128"/>
        <v>4266118.6265087072</v>
      </c>
      <c r="GZ23" s="40">
        <f t="shared" ca="1" si="128"/>
        <v>4266118.6265087072</v>
      </c>
      <c r="HA23" s="40">
        <f t="shared" ca="1" si="128"/>
        <v>4266118.6265087072</v>
      </c>
      <c r="HB23" s="40">
        <f t="shared" ca="1" si="128"/>
        <v>4266118.6265087072</v>
      </c>
      <c r="HC23" s="40">
        <f t="shared" ca="1" si="128"/>
        <v>4266118.6265087072</v>
      </c>
      <c r="HD23" s="40">
        <f t="shared" ca="1" si="128"/>
        <v>4266118.6265087072</v>
      </c>
      <c r="HE23" s="40">
        <f t="shared" ca="1" si="128"/>
        <v>4266118.6265087072</v>
      </c>
      <c r="HF23" s="40">
        <f t="shared" ca="1" si="128"/>
        <v>4266118.6265087072</v>
      </c>
      <c r="HG23" s="40">
        <f t="shared" ca="1" si="128"/>
        <v>4266118.6265087072</v>
      </c>
      <c r="HH23" s="40">
        <f t="shared" ca="1" si="128"/>
        <v>4266118.6265087072</v>
      </c>
      <c r="HI23" s="40">
        <f t="shared" ca="1" si="128"/>
        <v>4266118.6265087072</v>
      </c>
      <c r="HJ23" s="40">
        <f t="shared" ca="1" si="128"/>
        <v>4266118.6265087072</v>
      </c>
      <c r="HK23" s="40">
        <f t="shared" ca="1" si="128"/>
        <v>4266118.6265087072</v>
      </c>
      <c r="HL23" s="40">
        <f t="shared" ca="1" si="128"/>
        <v>4266118.6265087072</v>
      </c>
      <c r="HM23" s="40">
        <f t="shared" ca="1" si="128"/>
        <v>4266118.6265087072</v>
      </c>
      <c r="HN23" s="40">
        <f t="shared" ca="1" si="128"/>
        <v>4266118.6265087072</v>
      </c>
      <c r="HO23" s="40">
        <f t="shared" ca="1" si="128"/>
        <v>4266118.6265087072</v>
      </c>
      <c r="HP23" s="40">
        <f t="shared" ca="1" si="128"/>
        <v>4266118.6265087072</v>
      </c>
      <c r="HQ23" s="40">
        <f t="shared" ca="1" si="128"/>
        <v>4266118.6265087072</v>
      </c>
      <c r="HR23" s="40">
        <f t="shared" ca="1" si="128"/>
        <v>4266118.6265087072</v>
      </c>
      <c r="HS23" s="40">
        <f t="shared" ca="1" si="128"/>
        <v>4266118.6265087072</v>
      </c>
      <c r="HT23" s="40">
        <f t="shared" ca="1" si="128"/>
        <v>4266118.6265087072</v>
      </c>
      <c r="HU23" s="40">
        <f t="shared" ca="1" si="128"/>
        <v>4266118.6265087072</v>
      </c>
      <c r="HV23" s="40">
        <f t="shared" ca="1" si="128"/>
        <v>4266118.6265087072</v>
      </c>
      <c r="HW23" s="40">
        <f t="shared" ca="1" si="128"/>
        <v>4266118.6265087072</v>
      </c>
      <c r="HX23" s="40">
        <f t="shared" ca="1" si="128"/>
        <v>4266118.6265087072</v>
      </c>
      <c r="HY23" s="40">
        <f t="shared" ca="1" si="128"/>
        <v>4266118.6265087072</v>
      </c>
      <c r="HZ23" s="40">
        <f t="shared" ca="1" si="128"/>
        <v>4266118.6265087072</v>
      </c>
      <c r="IA23" s="40">
        <f t="shared" ca="1" si="128"/>
        <v>4266118.6265087072</v>
      </c>
      <c r="IB23" s="40">
        <f t="shared" ca="1" si="128"/>
        <v>4266118.6265087072</v>
      </c>
      <c r="IC23" s="40">
        <f t="shared" ca="1" si="128"/>
        <v>4266118.6265087072</v>
      </c>
      <c r="ID23" s="40">
        <f t="shared" ca="1" si="128"/>
        <v>4266118.6265087072</v>
      </c>
      <c r="IE23" s="40">
        <f t="shared" ca="1" si="128"/>
        <v>4266118.6265087072</v>
      </c>
      <c r="IF23" s="40">
        <f t="shared" ca="1" si="128"/>
        <v>4266118.6265087072</v>
      </c>
      <c r="IG23" s="40">
        <f t="shared" ca="1" si="128"/>
        <v>4266118.6265087072</v>
      </c>
      <c r="IH23" s="40">
        <f t="shared" ca="1" si="128"/>
        <v>4266118.6265087072</v>
      </c>
      <c r="II23" s="40">
        <f t="shared" ca="1" si="128"/>
        <v>4266118.6265087072</v>
      </c>
      <c r="IJ23" s="40">
        <f t="shared" ca="1" si="128"/>
        <v>4266118.6265087072</v>
      </c>
      <c r="IK23" s="40">
        <f t="shared" ca="1" si="128"/>
        <v>4266118.6265087072</v>
      </c>
      <c r="IL23" s="40">
        <f t="shared" ca="1" si="128"/>
        <v>4266118.6265087072</v>
      </c>
      <c r="IM23" s="40">
        <f t="shared" ca="1" si="128"/>
        <v>4266118.6265087072</v>
      </c>
      <c r="IN23" s="40">
        <f t="shared" ca="1" si="128"/>
        <v>4266118.6265087072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1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0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1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36848</v>
      </c>
      <c r="D27" s="24">
        <f ca="1">IF(D31&lt;TODAY(),_xlfn.MAXIFS(G20:IN20,G4:IN4,"&lt;"&amp;C5+5),IF(D31="N/A",C16*1.5,_xlfn.MAXIFS(G20:IN20,G3:IN3,"&lt;"&amp;$D$31)*1.5))</f>
        <v>6138.1295417646124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1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1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43925</v>
      </c>
      <c r="D30" s="20">
        <f ca="1">IF(D31&lt;TODAY(),TODAY()+3+Projections!Z45,IFERROR(OFFSET(G26,-23,MATCH(1,G26:IN26,0))+3+Projections!Z45,xMax2+3+Projections!Z45))</f>
        <v>43927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43923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538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621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161807</v>
      </c>
      <c r="E5" s="6">
        <f>IF(COUNTIF(I5:XFD5,"&gt;"&amp;0)=0,,HLOOKUP(COUNTIF(I5:XFD5,"&gt;"&amp;0)-1,I$1:XFD5,A5+1,FALSE))</f>
        <v>161807</v>
      </c>
      <c r="F5" s="7">
        <f>IF(COUNTIF(I5:XFD5,"&gt;"&amp;0)=0,,HLOOKUP(COUNTIF(I5:XFD5,"&gt;"&amp;0)-MIN($F$1+1,COUNTIF(I5:XFD5,"&gt;"&amp;0)),I$1:XFD5,A5+1,FALSE))</f>
        <v>65778</v>
      </c>
      <c r="G5" s="8">
        <f>IF(COUNTIF(I5:XFD5,"&gt;"&amp;0)=0,,(E5/F5)^(1/MIN(COUNTIF(I5:XFD5,"&gt;"&amp;0)-1,$F$1)))</f>
        <v>1.1972458167806583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101739</v>
      </c>
      <c r="E6" s="6">
        <f>IF(COUNTIF(I6:XFD6,"&gt;"&amp;0)=0,,HLOOKUP(COUNTIF(I6:XFD6,"&gt;"&amp;0)-1,I$1:XFD6,A6+1,FALSE))</f>
        <v>101739</v>
      </c>
      <c r="F6" s="7">
        <f>IF(COUNTIF(I6:XFD6,"&gt;"&amp;0)=0,,HLOOKUP(COUNTIF(I6:XFD6,"&gt;"&amp;0)-MIN($F$1+1,COUNTIF(I6:XFD6,"&gt;"&amp;0)),I$1:XFD6,A6+1,FALSE))</f>
        <v>74386</v>
      </c>
      <c r="G6" s="8">
        <f>IF(COUNTIF(I6:XFD6,"&gt;"&amp;0)=0,,(E6/F6)^(1/MIN(COUNTIF(I6:XFD6,"&gt;"&amp;0)-1,$F$1)))</f>
        <v>1.0646313528248741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MAX(I7:JF7)</f>
        <v>87956</v>
      </c>
      <c r="E7" s="6">
        <f>IF(COUNTIF(I7:XFD7,"&gt;"&amp;0)=0,,HLOOKUP(COUNTIF(I7:XFD7,"&gt;"&amp;0)-1,I$1:XFD7,A7+1,FALSE))</f>
        <v>87956</v>
      </c>
      <c r="F7" s="7">
        <f>IF(COUNTIF(I7:XFD7,"&gt;"&amp;0)=0,,HLOOKUP(COUNTIF(I7:XFD7,"&gt;"&amp;0)-MIN($F$1+1,COUNTIF(I7:XFD7,"&gt;"&amp;0)),I$1:XFD7,A7+1,FALSE))</f>
        <v>49515</v>
      </c>
      <c r="G7" s="8">
        <f>IF(COUNTIF(I7:XFD7,"&gt;"&amp;0)=0,,(E7/F7)^(1/MIN(COUNTIF(I7:XFD7,"&gt;"&amp;0)-1,$F$1)))</f>
        <v>1.1217749493645233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China</v>
      </c>
      <c r="D8" s="6">
        <f>MAX(I8:JF8)</f>
        <v>82198</v>
      </c>
      <c r="E8" s="6">
        <f>IF(COUNTIF(I8:XFD8,"&gt;"&amp;0)=0,,HLOOKUP(COUNTIF(I8:XFD8,"&gt;"&amp;0)-1,I$1:XFD8,A8+1,FALSE))</f>
        <v>82198</v>
      </c>
      <c r="F8" s="7">
        <f>IF(COUNTIF(I8:XFD8,"&gt;"&amp;0)=0,,HLOOKUP(COUNTIF(I8:XFD8,"&gt;"&amp;0)-MIN($F$1+1,COUNTIF(I8:XFD8,"&gt;"&amp;0)),I$1:XFD8,A8+1,FALSE))</f>
        <v>81661</v>
      </c>
      <c r="G8" s="8">
        <f>IF(COUNTIF(I8:XFD8,"&gt;"&amp;0)=0,,(E8/F8)^(1/MIN(COUNTIF(I8:XFD8,"&gt;"&amp;0)-1,$F$1)))</f>
        <v>1.0013117474193824</v>
      </c>
      <c r="H8" s="13" t="s">
        <v>337</v>
      </c>
      <c r="I8" s="9">
        <v>548</v>
      </c>
      <c r="J8" s="9">
        <v>643</v>
      </c>
      <c r="K8" s="9">
        <v>920</v>
      </c>
      <c r="L8" s="9">
        <v>1406</v>
      </c>
      <c r="M8" s="9">
        <v>2075</v>
      </c>
      <c r="N8" s="9">
        <v>2877</v>
      </c>
      <c r="O8" s="9">
        <v>5509</v>
      </c>
      <c r="P8" s="9">
        <v>6087</v>
      </c>
      <c r="Q8" s="9">
        <v>8141</v>
      </c>
      <c r="R8" s="9">
        <v>9802</v>
      </c>
      <c r="S8" s="9">
        <v>11891</v>
      </c>
      <c r="T8" s="9">
        <v>16630</v>
      </c>
      <c r="U8" s="9">
        <v>19716</v>
      </c>
      <c r="V8" s="9">
        <v>23707</v>
      </c>
      <c r="W8" s="9">
        <v>27440</v>
      </c>
      <c r="X8" s="9">
        <v>30587</v>
      </c>
      <c r="Y8" s="9">
        <v>34110</v>
      </c>
      <c r="Z8" s="9">
        <v>36814</v>
      </c>
      <c r="AA8" s="9">
        <v>39829</v>
      </c>
      <c r="AB8" s="9">
        <v>42354</v>
      </c>
      <c r="AC8" s="9">
        <v>44386</v>
      </c>
      <c r="AD8" s="9">
        <v>50000</v>
      </c>
      <c r="AE8" s="9">
        <v>59895</v>
      </c>
      <c r="AF8" s="9">
        <v>66358</v>
      </c>
      <c r="AG8" s="9">
        <v>68413</v>
      </c>
      <c r="AH8" s="9">
        <v>70513</v>
      </c>
      <c r="AI8" s="9">
        <v>72434</v>
      </c>
      <c r="AJ8" s="9">
        <v>74211</v>
      </c>
      <c r="AK8" s="9">
        <v>74619</v>
      </c>
      <c r="AL8" s="9">
        <v>75077</v>
      </c>
      <c r="AM8" s="9">
        <v>75550</v>
      </c>
      <c r="AN8" s="9">
        <v>77001</v>
      </c>
      <c r="AO8" s="9">
        <v>77022</v>
      </c>
      <c r="AP8" s="9">
        <v>77241</v>
      </c>
      <c r="AQ8" s="9">
        <v>77754</v>
      </c>
      <c r="AR8" s="9">
        <v>78166</v>
      </c>
      <c r="AS8" s="9">
        <v>78600</v>
      </c>
      <c r="AT8" s="9">
        <v>78928</v>
      </c>
      <c r="AU8" s="9">
        <v>79356</v>
      </c>
      <c r="AV8" s="9">
        <v>79932</v>
      </c>
      <c r="AW8" s="9">
        <v>80136</v>
      </c>
      <c r="AX8" s="9">
        <v>80261</v>
      </c>
      <c r="AY8" s="9">
        <v>80386</v>
      </c>
      <c r="AZ8" s="9">
        <v>80537</v>
      </c>
      <c r="BA8" s="9">
        <v>80690</v>
      </c>
      <c r="BB8" s="9">
        <v>80770</v>
      </c>
      <c r="BC8" s="9">
        <v>80823</v>
      </c>
      <c r="BD8" s="9">
        <v>80860</v>
      </c>
      <c r="BE8" s="9">
        <v>80887</v>
      </c>
      <c r="BF8" s="9">
        <v>80921</v>
      </c>
      <c r="BG8" s="9">
        <v>80932</v>
      </c>
      <c r="BH8" s="9">
        <v>80945</v>
      </c>
      <c r="BI8" s="9">
        <v>80977</v>
      </c>
      <c r="BJ8" s="9">
        <v>81003</v>
      </c>
      <c r="BK8" s="9">
        <v>81033</v>
      </c>
      <c r="BL8" s="9">
        <v>81058</v>
      </c>
      <c r="BM8" s="9">
        <v>81102</v>
      </c>
      <c r="BN8" s="9">
        <v>81156</v>
      </c>
      <c r="BO8" s="9">
        <v>81250</v>
      </c>
      <c r="BP8" s="9">
        <v>81305</v>
      </c>
      <c r="BQ8" s="9">
        <v>81435</v>
      </c>
      <c r="BR8" s="9">
        <v>81498</v>
      </c>
      <c r="BS8" s="9">
        <v>81591</v>
      </c>
      <c r="BT8" s="9">
        <v>81661</v>
      </c>
      <c r="BU8" s="9">
        <v>81782</v>
      </c>
      <c r="BV8" s="9">
        <v>81897</v>
      </c>
      <c r="BW8" s="9">
        <v>81999</v>
      </c>
      <c r="BX8" s="9">
        <v>82122</v>
      </c>
      <c r="BY8" s="9">
        <v>82198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MAX(I9:JF9)</f>
        <v>66885</v>
      </c>
      <c r="E9" s="6">
        <f>IF(COUNTIF(I9:XFD9,"&gt;"&amp;0)=0,,HLOOKUP(COUNTIF(I9:XFD9,"&gt;"&amp;0)-1,I$1:XFD9,A9+1,FALSE))</f>
        <v>66885</v>
      </c>
      <c r="F9" s="7">
        <f>IF(COUNTIF(I9:XFD9,"&gt;"&amp;0)=0,,HLOOKUP(COUNTIF(I9:XFD9,"&gt;"&amp;0)-MIN($F$1+1,COUNTIF(I9:XFD9,"&gt;"&amp;0)),I$1:XFD9,A9+1,FALSE))</f>
        <v>37323</v>
      </c>
      <c r="G9" s="8">
        <f>IF(COUNTIF(I9:XFD9,"&gt;"&amp;0)=0,,(E9/F9)^(1/MIN(COUNTIF(I9:XFD9,"&gt;"&amp;0)-1,$F$1)))</f>
        <v>1.1237518955720063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  <c r="AL9" s="9">
        <v>66885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45170</v>
      </c>
      <c r="E10" s="6">
        <f>IF(COUNTIF(I10:XFD10,"&gt;"&amp;0)=0,,HLOOKUP(COUNTIF(I10:XFD10,"&gt;"&amp;0)-1,I$1:XFD10,A10+1,FALSE))</f>
        <v>45170</v>
      </c>
      <c r="F10" s="7">
        <f>IF(COUNTIF(I10:XFD10,"&gt;"&amp;0)=0,,HLOOKUP(COUNTIF(I10:XFD10,"&gt;"&amp;0)-MIN($F$1+1,COUNTIF(I10:XFD10,"&gt;"&amp;0)),I$1:XFD10,A10+1,FALSE))</f>
        <v>25600</v>
      </c>
      <c r="G10" s="8">
        <f>IF(COUNTIF(I10:XFD10,"&gt;"&amp;0)=0,,(E10/F10)^(1/MIN(COUNTIF(I10:XFD10,"&gt;"&amp;0)-1,$F$1)))</f>
        <v>1.1202682433661177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22453</v>
      </c>
      <c r="E11" s="6">
        <f>IF(COUNTIF(I11:XFD11,"&gt;"&amp;0)=0,,HLOOKUP(COUNTIF(I11:XFD11,"&gt;"&amp;0)-1,I$1:XFD11,A11+1,FALSE))</f>
        <v>22453</v>
      </c>
      <c r="F11" s="7">
        <f>IF(COUNTIF(I11:XFD11,"&gt;"&amp;0)=0,,HLOOKUP(COUNTIF(I11:XFD11,"&gt;"&amp;0)-MIN($F$1+1,COUNTIF(I11:XFD11,"&gt;"&amp;0)),I$1:XFD11,A11+1,FALSE))</f>
        <v>9640</v>
      </c>
      <c r="G11" s="8">
        <f>IF(COUNTIF(I11:XFD11,"&gt;"&amp;0)=0,,(E11/F11)^(1/MIN(COUNTIF(I11:XFD11,"&gt;"&amp;0)-1,$F$1)))</f>
        <v>1.1842392974645395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779657</v>
      </c>
      <c r="E12" s="6">
        <f>IF(COUNTIF(I12:XFD12,"&gt;"&amp;0)=0,,HLOOKUP(COUNTIF(I12:XFD12,"&gt;"&amp;0)-1,I$1:XFD12,A12+1,FALSE))</f>
        <v>779657</v>
      </c>
      <c r="F12" s="7">
        <f>IF(COUNTIF(I12:XFD12,"&gt;"&amp;0)=0,,HLOOKUP(COUNTIF(I12:XFD12,"&gt;"&amp;0)-MIN($F$1+1,COUNTIF(I12:XFD12,"&gt;"&amp;0)),I$1:XFD12,A12+1,FALSE))</f>
        <v>465942</v>
      </c>
      <c r="G12" s="8">
        <f>IF(COUNTIF(I12:XFD12,"&gt;"&amp;0)=0,,(E12/F12)^(1/MIN(COUNTIF(I12:XFD12,"&gt;"&amp;0)-1,$F$1)))</f>
        <v>1.1084454999746127</v>
      </c>
      <c r="H12" s="13" t="s">
        <v>605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426252</v>
      </c>
      <c r="E13" s="6">
        <f>IF(COUNTIF(I13:XFD13,"&gt;"&amp;0)=0,,HLOOKUP(COUNTIF(I13:XFD13,"&gt;"&amp;0)-1,I$1:XFD13,A13+1,FALSE))</f>
        <v>426252</v>
      </c>
      <c r="F13" s="7">
        <f>IF(COUNTIF(I13:XFD13,"&gt;"&amp;0)=0,,HLOOKUP(COUNTIF(I13:XFD13,"&gt;"&amp;0)-MIN($F$1+1,COUNTIF(I13:XFD13,"&gt;"&amp;0)),I$1:XFD13,A13+1,FALSE))</f>
        <v>251069</v>
      </c>
      <c r="G13" s="8">
        <f>IF(COUNTIF(I13:XFD13,"&gt;"&amp;0)=0,,(E13/F13)^(1/MIN(COUNTIF(I13:XFD13,"&gt;"&amp;0)-1,$F$1)))</f>
        <v>1.1116668813116106</v>
      </c>
      <c r="H13" s="13" t="s">
        <v>608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171730</v>
      </c>
      <c r="E14" s="6">
        <f>IF(COUNTIF(I14:XFD14,"&gt;"&amp;0)=0,,HLOOKUP(COUNTIF(I14:XFD14,"&gt;"&amp;0)-1,I$1:XFD14,A14+1,FALSE))</f>
        <v>171730</v>
      </c>
      <c r="F14" s="7">
        <f>IF(COUNTIF(I14:XFD14,"&gt;"&amp;0)=0,,HLOOKUP(COUNTIF(I14:XFD14,"&gt;"&amp;0)-MIN($F$1+1,COUNTIF(I14:XFD14,"&gt;"&amp;0)),I$1:XFD14,A14+1,FALSE))</f>
        <v>70164</v>
      </c>
      <c r="G14" s="8">
        <f>IF(COUNTIF(I14:XFD14,"&gt;"&amp;0)=0,,(E14/F14)^(1/MIN(COUNTIF(I14:XFD14,"&gt;"&amp;0)-1,$F$1)))</f>
        <v>1.1960418223090057</v>
      </c>
      <c r="H14" s="13" t="s">
        <v>610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107938</v>
      </c>
      <c r="E15" s="6">
        <f>IF(COUNTIF(I15:XFD15,"&gt;"&amp;0)=0,,HLOOKUP(COUNTIF(I15:XFD15,"&gt;"&amp;0)-1,I$1:XFD15,A15+1,FALSE))</f>
        <v>107938</v>
      </c>
      <c r="F15" s="7">
        <f>IF(COUNTIF(I15:XFD15,"&gt;"&amp;0)=0,,HLOOKUP(COUNTIF(I15:XFD15,"&gt;"&amp;0)-MIN($F$1+1,COUNTIF(I15:XFD15,"&gt;"&amp;0)),I$1:XFD15,A15+1,FALSE))</f>
        <v>100098</v>
      </c>
      <c r="G15" s="8">
        <f>IF(COUNTIF(I15:XFD15,"&gt;"&amp;0)=0,,(E15/F15)^(1/MIN(COUNTIF(I15:XFD15,"&gt;"&amp;0)-1,$F$1)))</f>
        <v>1.0151957554606654</v>
      </c>
      <c r="H15" s="13" t="s">
        <v>607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51421</v>
      </c>
      <c r="E16" s="6">
        <f>IF(COUNTIF(I16:XFD16,"&gt;"&amp;0)=0,,HLOOKUP(COUNTIF(I16:XFD16,"&gt;"&amp;0)-1,I$1:XFD16,A16+1,FALSE))</f>
        <v>51421</v>
      </c>
      <c r="F16" s="7">
        <f>IF(COUNTIF(I16:XFD16,"&gt;"&amp;0)=0,,HLOOKUP(COUNTIF(I16:XFD16,"&gt;"&amp;0)-MIN($F$1+1,COUNTIF(I16:XFD16,"&gt;"&amp;0)),I$1:XFD16,A16+1,FALSE))</f>
        <v>32804</v>
      </c>
      <c r="G16" s="8">
        <f>IF(COUNTIF(I16:XFD16,"&gt;"&amp;0)=0,,(E16/F16)^(1/MIN(COUNTIF(I16:XFD16,"&gt;"&amp;0)-1,$F$1)))</f>
        <v>1.094064038105468</v>
      </c>
      <c r="H16" s="13" t="s">
        <v>609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</row>
    <row r="17" spans="1:48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41495</v>
      </c>
      <c r="E17" s="6">
        <f>IF(COUNTIF(I17:XFD17,"&gt;"&amp;0)=0,,HLOOKUP(COUNTIF(I17:XFD17,"&gt;"&amp;0)-1,I$1:XFD17,A17+1,FALSE))</f>
        <v>41495</v>
      </c>
      <c r="F17" s="7">
        <f>IF(COUNTIF(I17:XFD17,"&gt;"&amp;0)=0,,HLOOKUP(COUNTIF(I17:XFD17,"&gt;"&amp;0)-MIN($F$1+1,COUNTIF(I17:XFD17,"&gt;"&amp;0)),I$1:XFD17,A17+1,FALSE))</f>
        <v>27017</v>
      </c>
      <c r="G17" s="8">
        <f>IF(COUNTIF(I17:XFD17,"&gt;"&amp;0)=0,,(E17/F17)^(1/MIN(COUNTIF(I17:XFD17,"&gt;"&amp;0)-1,$F$1)))</f>
        <v>1.0896116279429806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</row>
    <row r="18" spans="1:48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Switzerland</v>
      </c>
      <c r="D18" s="6">
        <f>MAX(I18:JF18)</f>
        <v>15922</v>
      </c>
      <c r="E18" s="6">
        <f>IF(COUNTIF(I18:XFD18,"&gt;"&amp;0)=0,,HLOOKUP(COUNTIF(I18:XFD18,"&gt;"&amp;0)-1,I$1:XFD18,A18+1,FALSE))</f>
        <v>15922</v>
      </c>
      <c r="F18" s="7">
        <f>IF(COUNTIF(I18:XFD18,"&gt;"&amp;0)=0,,HLOOKUP(COUNTIF(I18:XFD18,"&gt;"&amp;0)-MIN($F$1+1,COUNTIF(I18:XFD18,"&gt;"&amp;0)),I$1:XFD18,A18+1,FALSE))</f>
        <v>10897</v>
      </c>
      <c r="G18" s="8">
        <f>IF(COUNTIF(I18:XFD18,"&gt;"&amp;0)=0,,(E18/F18)^(1/MIN(COUNTIF(I18:XFD18,"&gt;"&amp;0)-1,$F$1)))</f>
        <v>1.0787930346973056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  <c r="AH18" s="9">
        <v>15922</v>
      </c>
    </row>
    <row r="19" spans="1:48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South America</v>
      </c>
      <c r="D19" s="6">
        <f>MAX(I19:JF19)</f>
        <v>12874</v>
      </c>
      <c r="E19" s="6">
        <f>IF(COUNTIF(I19:XFD19,"&gt;"&amp;0)=0,,HLOOKUP(COUNTIF(I19:XFD19,"&gt;"&amp;0)-1,I$1:XFD19,A19+1,FALSE))</f>
        <v>12874</v>
      </c>
      <c r="F19" s="7">
        <f>IF(COUNTIF(I19:XFD19,"&gt;"&amp;0)=0,,HLOOKUP(COUNTIF(I19:XFD19,"&gt;"&amp;0)-MIN($F$1+1,COUNTIF(I19:XFD19,"&gt;"&amp;0)),I$1:XFD19,A19+1,FALSE))</f>
        <v>6804</v>
      </c>
      <c r="G19" s="8">
        <f>IF(COUNTIF(I19:XFD19,"&gt;"&amp;0)=0,,(E19/F19)^(1/MIN(COUNTIF(I19:XFD19,"&gt;"&amp;0)-1,$F$1)))</f>
        <v>1.1360301038540439</v>
      </c>
      <c r="H19" s="13" t="s">
        <v>611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</row>
    <row r="20" spans="1:48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Belgium</v>
      </c>
      <c r="D20" s="6">
        <f>MAX(I20:JF20)</f>
        <v>11899</v>
      </c>
      <c r="E20" s="6">
        <f>IF(COUNTIF(I20:XFD20,"&gt;"&amp;0)=0,,HLOOKUP(COUNTIF(I20:XFD20,"&gt;"&amp;0)-1,I$1:XFD20,A20+1,FALSE))</f>
        <v>11899</v>
      </c>
      <c r="F20" s="7">
        <f>IF(COUNTIF(I20:XFD20,"&gt;"&amp;0)=0,,HLOOKUP(COUNTIF(I20:XFD20,"&gt;"&amp;0)-MIN($F$1+1,COUNTIF(I20:XFD20,"&gt;"&amp;0)),I$1:XFD20,A20+1,FALSE))</f>
        <v>4937</v>
      </c>
      <c r="G20" s="8">
        <f>IF(COUNTIF(I20:XFD20,"&gt;"&amp;0)=0,,(E20/F20)^(1/MIN(COUNTIF(I20:XFD20,"&gt;"&amp;0)-1,$F$1)))</f>
        <v>1.192365680738694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</row>
    <row r="21" spans="1:48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Netherlands</v>
      </c>
      <c r="D21" s="6">
        <f>MAX(I21:JF21)</f>
        <v>11817</v>
      </c>
      <c r="E21" s="6">
        <f>IF(COUNTIF(I21:XFD21,"&gt;"&amp;0)=0,,HLOOKUP(COUNTIF(I21:XFD21,"&gt;"&amp;0)-1,I$1:XFD21,A21+1,FALSE))</f>
        <v>11817</v>
      </c>
      <c r="F21" s="7">
        <f>IF(COUNTIF(I21:XFD21,"&gt;"&amp;0)=0,,HLOOKUP(COUNTIF(I21:XFD21,"&gt;"&amp;0)-MIN($F$1+1,COUNTIF(I21:XFD21,"&gt;"&amp;0)),I$1:XFD21,A21+1,FALSE))</f>
        <v>6438</v>
      </c>
      <c r="G21" s="8">
        <f>IF(COUNTIF(I21:XFD21,"&gt;"&amp;0)=0,,(E21/F21)^(1/MIN(COUNTIF(I21:XFD21,"&gt;"&amp;0)-1,$F$1)))</f>
        <v>1.1291489958189831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  <c r="AD21" s="9">
        <v>8647</v>
      </c>
      <c r="AE21" s="9">
        <v>9819</v>
      </c>
      <c r="AF21" s="9">
        <v>10930</v>
      </c>
      <c r="AG21" s="9">
        <v>11817</v>
      </c>
    </row>
    <row r="22" spans="1:48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Turkey</v>
      </c>
      <c r="D22" s="6">
        <f>MAX(I22:JF22)</f>
        <v>10827</v>
      </c>
      <c r="E22" s="6">
        <f>IF(COUNTIF(I22:XFD22,"&gt;"&amp;0)=0,,HLOOKUP(COUNTIF(I22:XFD22,"&gt;"&amp;0)-1,I$1:XFD22,A22+1,FALSE))</f>
        <v>10827</v>
      </c>
      <c r="F22" s="7">
        <f>IF(COUNTIF(I22:XFD22,"&gt;"&amp;0)=0,,HLOOKUP(COUNTIF(I22:XFD22,"&gt;"&amp;0)-MIN($F$1+1,COUNTIF(I22:XFD22,"&gt;"&amp;0)),I$1:XFD22,A22+1,FALSE))</f>
        <v>2433</v>
      </c>
      <c r="G22" s="8">
        <f>IF(COUNTIF(I22:XFD22,"&gt;"&amp;0)=0,,(E22/F22)^(1/MIN(COUNTIF(I22:XFD22,"&gt;"&amp;0)-1,$F$1)))</f>
        <v>1.3479482076205047</v>
      </c>
      <c r="H22" s="13" t="s">
        <v>355</v>
      </c>
      <c r="I22" s="9">
        <v>192</v>
      </c>
      <c r="J22" s="9">
        <v>359</v>
      </c>
      <c r="K22" s="9">
        <v>670</v>
      </c>
      <c r="L22" s="9">
        <v>1236</v>
      </c>
      <c r="M22" s="9">
        <v>1529</v>
      </c>
      <c r="N22" s="9">
        <v>1872</v>
      </c>
      <c r="O22" s="9">
        <v>2433</v>
      </c>
      <c r="P22" s="9">
        <v>3629</v>
      </c>
      <c r="Q22" s="9">
        <v>5698</v>
      </c>
      <c r="R22" s="9">
        <v>7402</v>
      </c>
      <c r="S22" s="9">
        <v>9217</v>
      </c>
      <c r="T22" s="9">
        <v>10827</v>
      </c>
    </row>
    <row r="23" spans="1:48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Korea, South</v>
      </c>
      <c r="D23" s="6">
        <f>MAX(I23:JF23)</f>
        <v>9661</v>
      </c>
      <c r="E23" s="6">
        <f>IF(COUNTIF(I23:XFD23,"&gt;"&amp;0)=0,,HLOOKUP(COUNTIF(I23:XFD23,"&gt;"&amp;0)-1,I$1:XFD23,A23+1,FALSE))</f>
        <v>9661</v>
      </c>
      <c r="F23" s="7">
        <f>IF(COUNTIF(I23:XFD23,"&gt;"&amp;0)=0,,HLOOKUP(COUNTIF(I23:XFD23,"&gt;"&amp;0)-MIN($F$1+1,COUNTIF(I23:XFD23,"&gt;"&amp;0)),I$1:XFD23,A23+1,FALSE))</f>
        <v>9137</v>
      </c>
      <c r="G23" s="8">
        <f>IF(COUNTIF(I23:XFD23,"&gt;"&amp;0)=0,,(E23/F23)^(1/MIN(COUNTIF(I23:XFD23,"&gt;"&amp;0)-1,$F$1)))</f>
        <v>1.0112154384048582</v>
      </c>
      <c r="H23" s="13" t="s">
        <v>339</v>
      </c>
      <c r="I23" s="9">
        <v>104</v>
      </c>
      <c r="J23" s="9">
        <v>204</v>
      </c>
      <c r="K23" s="9">
        <v>433</v>
      </c>
      <c r="L23" s="9">
        <v>602</v>
      </c>
      <c r="M23" s="9">
        <v>833</v>
      </c>
      <c r="N23" s="9">
        <v>977</v>
      </c>
      <c r="O23" s="9">
        <v>1261</v>
      </c>
      <c r="P23" s="9">
        <v>1766</v>
      </c>
      <c r="Q23" s="9">
        <v>2337</v>
      </c>
      <c r="R23" s="9">
        <v>3150</v>
      </c>
      <c r="S23" s="9">
        <v>3736</v>
      </c>
      <c r="T23" s="9">
        <v>4335</v>
      </c>
      <c r="U23" s="9">
        <v>5186</v>
      </c>
      <c r="V23" s="9">
        <v>5621</v>
      </c>
      <c r="W23" s="9">
        <v>6088</v>
      </c>
      <c r="X23" s="9">
        <v>6593</v>
      </c>
      <c r="Y23" s="9">
        <v>7041</v>
      </c>
      <c r="Z23" s="9">
        <v>7314</v>
      </c>
      <c r="AA23" s="9">
        <v>7478</v>
      </c>
      <c r="AB23" s="9">
        <v>7513</v>
      </c>
      <c r="AC23" s="9">
        <v>7755</v>
      </c>
      <c r="AD23" s="9">
        <v>7869</v>
      </c>
      <c r="AE23" s="9">
        <v>7979</v>
      </c>
      <c r="AF23" s="9">
        <v>8086</v>
      </c>
      <c r="AG23" s="9">
        <v>8162</v>
      </c>
      <c r="AH23" s="9">
        <v>8236</v>
      </c>
      <c r="AI23" s="9">
        <v>8320</v>
      </c>
      <c r="AJ23" s="9">
        <v>8413</v>
      </c>
      <c r="AK23" s="9">
        <v>8565</v>
      </c>
      <c r="AL23" s="9">
        <v>8652</v>
      </c>
      <c r="AM23" s="9">
        <v>8799</v>
      </c>
      <c r="AN23" s="9">
        <v>8961</v>
      </c>
      <c r="AO23" s="9">
        <v>8961</v>
      </c>
      <c r="AP23" s="9">
        <v>9037</v>
      </c>
      <c r="AQ23" s="9">
        <v>9137</v>
      </c>
      <c r="AR23" s="9">
        <v>9241</v>
      </c>
      <c r="AS23" s="9">
        <v>9332</v>
      </c>
      <c r="AT23" s="9">
        <v>9478</v>
      </c>
      <c r="AU23" s="9">
        <v>9583</v>
      </c>
      <c r="AV23" s="9">
        <v>9661</v>
      </c>
    </row>
    <row r="24" spans="1:48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Austria</v>
      </c>
      <c r="D24" s="6">
        <f>MAX(I24:JF24)</f>
        <v>9618</v>
      </c>
      <c r="E24" s="6">
        <f>IF(COUNTIF(I24:XFD24,"&gt;"&amp;0)=0,,HLOOKUP(COUNTIF(I24:XFD24,"&gt;"&amp;0)-1,I$1:XFD24,A24+1,FALSE))</f>
        <v>9618</v>
      </c>
      <c r="F24" s="7">
        <f>IF(COUNTIF(I24:XFD24,"&gt;"&amp;0)=0,,HLOOKUP(COUNTIF(I24:XFD24,"&gt;"&amp;0)-MIN($F$1+1,COUNTIF(I24:XFD24,"&gt;"&amp;0)),I$1:XFD24,A24+1,FALSE))</f>
        <v>5588</v>
      </c>
      <c r="G24" s="8">
        <f>IF(COUNTIF(I24:XFD24,"&gt;"&amp;0)=0,,(E24/F24)^(1/MIN(COUNTIF(I24:XFD24,"&gt;"&amp;0)-1,$F$1)))</f>
        <v>1.1147196967878179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</row>
    <row r="25" spans="1:48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Canada</v>
      </c>
      <c r="D25" s="6">
        <f>MAX(I25:JF25)</f>
        <v>7398</v>
      </c>
      <c r="E25" s="6">
        <f>IF(COUNTIF(I25:XFD25,"&gt;"&amp;0)=0,,HLOOKUP(COUNTIF(I25:XFD25,"&gt;"&amp;0)-1,I$1:XFD25,A25+1,FALSE))</f>
        <v>7398</v>
      </c>
      <c r="F25" s="7">
        <f>IF(COUNTIF(I25:XFD25,"&gt;"&amp;0)=0,,HLOOKUP(COUNTIF(I25:XFD25,"&gt;"&amp;0)-MIN($F$1+1,COUNTIF(I25:XFD25,"&gt;"&amp;0)),I$1:XFD25,A25+1,FALSE))</f>
        <v>3251</v>
      </c>
      <c r="G25" s="8">
        <f>IF(COUNTIF(I25:XFD25,"&gt;"&amp;0)=0,,(E25/F25)^(1/MIN(COUNTIF(I25:XFD25,"&gt;"&amp;0)-1,$F$1)))</f>
        <v>1.1787439358798424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  <c r="AB25" s="9">
        <v>7398</v>
      </c>
    </row>
    <row r="26" spans="1:48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6408</v>
      </c>
      <c r="E26" s="6">
        <f>IF(COUNTIF(I26:XFD26,"&gt;"&amp;0)=0,,HLOOKUP(COUNTIF(I26:XFD26,"&gt;"&amp;0)-1,I$1:XFD26,A26+1,FALSE))</f>
        <v>6408</v>
      </c>
      <c r="F26" s="7">
        <f>IF(COUNTIF(I26:XFD26,"&gt;"&amp;0)=0,,HLOOKUP(COUNTIF(I26:XFD26,"&gt;"&amp;0)-MIN($F$1+1,COUNTIF(I26:XFD26,"&gt;"&amp;0)),I$1:XFD26,A26+1,FALSE))</f>
        <v>2995</v>
      </c>
      <c r="G26" s="8">
        <f>IF(COUNTIF(I26:XFD26,"&gt;"&amp;0)=0,,(E26/F26)^(1/MIN(COUNTIF(I26:XFD26,"&gt;"&amp;0)-1,$F$1)))</f>
        <v>1.164300637546283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</row>
    <row r="27" spans="1:48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Israel</v>
      </c>
      <c r="D27" s="6">
        <f>MAX(I27:JF27)</f>
        <v>4695</v>
      </c>
      <c r="E27" s="6">
        <f>IF(COUNTIF(I27:XFD27,"&gt;"&amp;0)=0,,HLOOKUP(COUNTIF(I27:XFD27,"&gt;"&amp;0)-1,I$1:XFD27,A27+1,FALSE))</f>
        <v>4695</v>
      </c>
      <c r="F27" s="7">
        <f>IF(COUNTIF(I27:XFD27,"&gt;"&amp;0)=0,,HLOOKUP(COUNTIF(I27:XFD27,"&gt;"&amp;0)-MIN($F$1+1,COUNTIF(I27:XFD27,"&gt;"&amp;0)),I$1:XFD27,A27+1,FALSE))</f>
        <v>2369</v>
      </c>
      <c r="G27" s="8">
        <f>IF(COUNTIF(I27:XFD27,"&gt;"&amp;0)=0,,(E27/F27)^(1/MIN(COUNTIF(I27:XFD27,"&gt;"&amp;0)-1,$F$1)))</f>
        <v>1.1466057284331499</v>
      </c>
      <c r="H27" s="13" t="s">
        <v>79</v>
      </c>
      <c r="I27" s="9">
        <v>100</v>
      </c>
      <c r="J27" s="9">
        <v>126</v>
      </c>
      <c r="K27" s="9">
        <v>155</v>
      </c>
      <c r="L27" s="9">
        <v>213</v>
      </c>
      <c r="M27" s="9">
        <v>218</v>
      </c>
      <c r="N27" s="9">
        <v>250</v>
      </c>
      <c r="O27" s="9">
        <v>304</v>
      </c>
      <c r="P27" s="9">
        <v>427</v>
      </c>
      <c r="Q27" s="9">
        <v>529</v>
      </c>
      <c r="R27" s="9">
        <v>712</v>
      </c>
      <c r="S27" s="9">
        <v>883</v>
      </c>
      <c r="T27" s="9">
        <v>1071</v>
      </c>
      <c r="U27" s="9">
        <v>1238</v>
      </c>
      <c r="V27" s="9">
        <v>2369</v>
      </c>
      <c r="W27" s="9">
        <v>2693</v>
      </c>
      <c r="X27" s="9">
        <v>3035</v>
      </c>
      <c r="Y27" s="9">
        <v>3619</v>
      </c>
      <c r="Z27" s="9">
        <v>4247</v>
      </c>
      <c r="AA27" s="9">
        <v>4695</v>
      </c>
    </row>
    <row r="28" spans="1:48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Brazil</v>
      </c>
      <c r="D28" s="6">
        <f>MAX(I28:JF28)</f>
        <v>4579</v>
      </c>
      <c r="E28" s="6">
        <f>IF(COUNTIF(I28:XFD28,"&gt;"&amp;0)=0,,HLOOKUP(COUNTIF(I28:XFD28,"&gt;"&amp;0)-1,I$1:XFD28,A28+1,FALSE))</f>
        <v>4579</v>
      </c>
      <c r="F28" s="7">
        <f>IF(COUNTIF(I28:XFD28,"&gt;"&amp;0)=0,,HLOOKUP(COUNTIF(I28:XFD28,"&gt;"&amp;0)-MIN($F$1+1,COUNTIF(I28:XFD28,"&gt;"&amp;0)),I$1:XFD28,A28+1,FALSE))</f>
        <v>2554</v>
      </c>
      <c r="G28" s="8">
        <f>IF(COUNTIF(I28:XFD28,"&gt;"&amp;0)=0,,(E28/F28)^(1/MIN(COUNTIF(I28:XFD28,"&gt;"&amp;0)-1,$F$1)))</f>
        <v>1.1238541409500848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  <c r="W28" s="9">
        <v>3417</v>
      </c>
      <c r="X28" s="9">
        <v>3904</v>
      </c>
      <c r="Y28" s="9">
        <v>4256</v>
      </c>
      <c r="Z28" s="9">
        <v>4579</v>
      </c>
    </row>
    <row r="29" spans="1:48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MAX(I29:JF29)</f>
        <v>4492</v>
      </c>
      <c r="E29" s="6">
        <f>IF(COUNTIF(I29:XFD29,"&gt;"&amp;0)=0,,HLOOKUP(COUNTIF(I29:XFD29,"&gt;"&amp;0)-1,I$1:XFD29,A29+1,FALSE))</f>
        <v>4492</v>
      </c>
      <c r="F29" s="7">
        <f>IF(COUNTIF(I29:XFD29,"&gt;"&amp;0)=0,,HLOOKUP(COUNTIF(I29:XFD29,"&gt;"&amp;0)-MIN($F$1+1,COUNTIF(I29:XFD29,"&gt;"&amp;0)),I$1:XFD29,A29+1,FALSE))</f>
        <v>2434</v>
      </c>
      <c r="G29" s="8">
        <f>IF(COUNTIF(I29:XFD29,"&gt;"&amp;0)=0,,(E29/F29)^(1/MIN(COUNTIF(I29:XFD29,"&gt;"&amp;0)-1,$F$1)))</f>
        <v>1.1303783599131789</v>
      </c>
      <c r="H29" s="13" t="s">
        <v>612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</row>
    <row r="30" spans="1:48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Norway</v>
      </c>
      <c r="D30" s="6">
        <f>MAX(I30:JF30)</f>
        <v>4445</v>
      </c>
      <c r="E30" s="6">
        <f>IF(COUNTIF(I30:XFD30,"&gt;"&amp;0)=0,,HLOOKUP(COUNTIF(I30:XFD30,"&gt;"&amp;0)-1,I$1:XFD30,A30+1,FALSE))</f>
        <v>4445</v>
      </c>
      <c r="F30" s="7">
        <f>IF(COUNTIF(I30:XFD30,"&gt;"&amp;0)=0,,HLOOKUP(COUNTIF(I30:XFD30,"&gt;"&amp;0)-MIN($F$1+1,COUNTIF(I30:XFD30,"&gt;"&amp;0)),I$1:XFD30,A30+1,FALSE))</f>
        <v>3084</v>
      </c>
      <c r="G30" s="8">
        <f>IF(COUNTIF(I30:XFD30,"&gt;"&amp;0)=0,,(E30/F30)^(1/MIN(COUNTIF(I30:XFD30,"&gt;"&amp;0)-1,$F$1)))</f>
        <v>1.0758493930439379</v>
      </c>
      <c r="H30" s="13" t="s">
        <v>85</v>
      </c>
      <c r="I30" s="9">
        <v>108</v>
      </c>
      <c r="J30" s="9">
        <v>147</v>
      </c>
      <c r="K30" s="9">
        <v>176</v>
      </c>
      <c r="L30" s="9">
        <v>205</v>
      </c>
      <c r="M30" s="9">
        <v>400</v>
      </c>
      <c r="N30" s="9">
        <v>598</v>
      </c>
      <c r="O30" s="9">
        <v>702</v>
      </c>
      <c r="P30" s="9">
        <v>996</v>
      </c>
      <c r="Q30" s="9">
        <v>1090</v>
      </c>
      <c r="R30" s="9">
        <v>1221</v>
      </c>
      <c r="S30" s="9">
        <v>1333</v>
      </c>
      <c r="T30" s="9">
        <v>1463</v>
      </c>
      <c r="U30" s="9">
        <v>1550</v>
      </c>
      <c r="V30" s="9">
        <v>1746</v>
      </c>
      <c r="W30" s="9">
        <v>1914</v>
      </c>
      <c r="X30" s="9">
        <v>2118</v>
      </c>
      <c r="Y30" s="9">
        <v>2385</v>
      </c>
      <c r="Z30" s="9">
        <v>2621</v>
      </c>
      <c r="AA30" s="9">
        <v>2863</v>
      </c>
      <c r="AB30" s="9">
        <v>3084</v>
      </c>
      <c r="AC30" s="9">
        <v>3369</v>
      </c>
      <c r="AD30" s="9">
        <v>3755</v>
      </c>
      <c r="AE30" s="9">
        <v>4015</v>
      </c>
      <c r="AF30" s="9">
        <v>4284</v>
      </c>
      <c r="AG30" s="9">
        <v>4445</v>
      </c>
    </row>
    <row r="31" spans="1:48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Australia</v>
      </c>
      <c r="D31" s="6">
        <f>MAX(I31:JF31)</f>
        <v>4361</v>
      </c>
      <c r="E31" s="6">
        <f>IF(COUNTIF(I31:XFD31,"&gt;"&amp;0)=0,,HLOOKUP(COUNTIF(I31:XFD31,"&gt;"&amp;0)-1,I$1:XFD31,A31+1,FALSE))</f>
        <v>4361</v>
      </c>
      <c r="F31" s="7">
        <f>IF(COUNTIF(I31:XFD31,"&gt;"&amp;0)=0,,HLOOKUP(COUNTIF(I31:XFD31,"&gt;"&amp;0)-MIN($F$1+1,COUNTIF(I31:XFD31,"&gt;"&amp;0)),I$1:XFD31,A31+1,FALSE))</f>
        <v>2364</v>
      </c>
      <c r="G31" s="8">
        <f>IF(COUNTIF(I31:XFD31,"&gt;"&amp;0)=0,,(E31/F31)^(1/MIN(COUNTIF(I31:XFD31,"&gt;"&amp;0)-1,$F$1)))</f>
        <v>1.1302843721832847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  <c r="AC31" s="9">
        <v>4361</v>
      </c>
    </row>
    <row r="32" spans="1:48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Sweden</v>
      </c>
      <c r="D32" s="6">
        <f>MAX(I32:JF32)</f>
        <v>4028</v>
      </c>
      <c r="E32" s="6">
        <f>IF(COUNTIF(I32:XFD32,"&gt;"&amp;0)=0,,HLOOKUP(COUNTIF(I32:XFD32,"&gt;"&amp;0)-1,I$1:XFD32,A32+1,FALSE))</f>
        <v>4028</v>
      </c>
      <c r="F32" s="7">
        <f>IF(COUNTIF(I32:XFD32,"&gt;"&amp;0)=0,,HLOOKUP(COUNTIF(I32:XFD32,"&gt;"&amp;0)-MIN($F$1+1,COUNTIF(I32:XFD32,"&gt;"&amp;0)),I$1:XFD32,A32+1,FALSE))</f>
        <v>2526</v>
      </c>
      <c r="G32" s="8">
        <f>IF(COUNTIF(I32:XFD32,"&gt;"&amp;0)=0,,(E32/F32)^(1/MIN(COUNTIF(I32:XFD32,"&gt;"&amp;0)-1,$F$1)))</f>
        <v>1.0978202140345328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</row>
    <row r="33" spans="1:47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Czechia</v>
      </c>
      <c r="D33" s="6">
        <f>MAX(I33:JF33)</f>
        <v>3001</v>
      </c>
      <c r="E33" s="6">
        <f>IF(COUNTIF(I33:XFD33,"&gt;"&amp;0)=0,,HLOOKUP(COUNTIF(I33:XFD33,"&gt;"&amp;0)-1,I$1:XFD33,A33+1,FALSE))</f>
        <v>3001</v>
      </c>
      <c r="F33" s="7">
        <f>IF(COUNTIF(I33:XFD33,"&gt;"&amp;0)=0,,HLOOKUP(COUNTIF(I33:XFD33,"&gt;"&amp;0)-MIN($F$1+1,COUNTIF(I33:XFD33,"&gt;"&amp;0)),I$1:XFD33,A33+1,FALSE))</f>
        <v>1654</v>
      </c>
      <c r="G33" s="8">
        <f>IF(COUNTIF(I33:XFD33,"&gt;"&amp;0)=0,,(E33/F33)^(1/MIN(COUNTIF(I33:XFD33,"&gt;"&amp;0)-1,$F$1)))</f>
        <v>1.1265386543491249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</row>
    <row r="34" spans="1:47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Ireland</v>
      </c>
      <c r="D34" s="6">
        <f>MAX(I34:JF34)</f>
        <v>2910</v>
      </c>
      <c r="E34" s="6">
        <f>IF(COUNTIF(I34:XFD34,"&gt;"&amp;0)=0,,HLOOKUP(COUNTIF(I34:XFD34,"&gt;"&amp;0)-1,I$1:XFD34,A34+1,FALSE))</f>
        <v>2910</v>
      </c>
      <c r="F34" s="7">
        <f>IF(COUNTIF(I34:XFD34,"&gt;"&amp;0)=0,,HLOOKUP(COUNTIF(I34:XFD34,"&gt;"&amp;0)-MIN($F$1+1,COUNTIF(I34:XFD34,"&gt;"&amp;0)),I$1:XFD34,A34+1,FALSE))</f>
        <v>1564</v>
      </c>
      <c r="G34" s="8">
        <f>IF(COUNTIF(I34:XFD34,"&gt;"&amp;0)=0,,(E34/F34)^(1/MIN(COUNTIF(I34:XFD34,"&gt;"&amp;0)-1,$F$1)))</f>
        <v>1.1322211102827699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</row>
    <row r="35" spans="1:47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Denmark</v>
      </c>
      <c r="D35" s="6">
        <f>MAX(I35:JF35)</f>
        <v>2755</v>
      </c>
      <c r="E35" s="6">
        <f>IF(COUNTIF(I35:XFD35,"&gt;"&amp;0)=0,,HLOOKUP(COUNTIF(I35:XFD35,"&gt;"&amp;0)-1,I$1:XFD35,A35+1,FALSE))</f>
        <v>2755</v>
      </c>
      <c r="F35" s="7">
        <f>IF(COUNTIF(I35:XFD35,"&gt;"&amp;0)=0,,HLOOKUP(COUNTIF(I35:XFD35,"&gt;"&amp;0)-MIN($F$1+1,COUNTIF(I35:XFD35,"&gt;"&amp;0)),I$1:XFD35,A35+1,FALSE))</f>
        <v>1862</v>
      </c>
      <c r="G35" s="8">
        <f>IF(COUNTIF(I35:XFD35,"&gt;"&amp;0)=0,,(E35/F35)^(1/MIN(COUNTIF(I35:XFD35,"&gt;"&amp;0)-1,$F$1)))</f>
        <v>1.0815046356855895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</row>
    <row r="36" spans="1:47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Malaysia</v>
      </c>
      <c r="D36" s="6">
        <f>MAX(I36:JF36)</f>
        <v>2626</v>
      </c>
      <c r="E36" s="6">
        <f>IF(COUNTIF(I36:XFD36,"&gt;"&amp;0)=0,,HLOOKUP(COUNTIF(I36:XFD36,"&gt;"&amp;0)-1,I$1:XFD36,A36+1,FALSE))</f>
        <v>2626</v>
      </c>
      <c r="F36" s="7">
        <f>IF(COUNTIF(I36:XFD36,"&gt;"&amp;0)=0,,HLOOKUP(COUNTIF(I36:XFD36,"&gt;"&amp;0)-MIN($F$1+1,COUNTIF(I36:XFD36,"&gt;"&amp;0)),I$1:XFD36,A36+1,FALSE))</f>
        <v>1796</v>
      </c>
      <c r="G36" s="8">
        <f>IF(COUNTIF(I36:XFD36,"&gt;"&amp;0)=0,,(E36/F36)^(1/MIN(COUNTIF(I36:XFD36,"&gt;"&amp;0)-1,$F$1)))</f>
        <v>1.0789409532588108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  <c r="AD36" s="9">
        <v>2626</v>
      </c>
    </row>
    <row r="37" spans="1:47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Chile</v>
      </c>
      <c r="D37" s="6">
        <f>MAX(I37:JF37)</f>
        <v>2449</v>
      </c>
      <c r="E37" s="6">
        <f>IF(COUNTIF(I37:XFD37,"&gt;"&amp;0)=0,,HLOOKUP(COUNTIF(I37:XFD37,"&gt;"&amp;0)-1,I$1:XFD37,A37+1,FALSE))</f>
        <v>2449</v>
      </c>
      <c r="F37" s="7">
        <f>IF(COUNTIF(I37:XFD37,"&gt;"&amp;0)=0,,HLOOKUP(COUNTIF(I37:XFD37,"&gt;"&amp;0)-MIN($F$1+1,COUNTIF(I37:XFD37,"&gt;"&amp;0)),I$1:XFD37,A37+1,FALSE))</f>
        <v>1142</v>
      </c>
      <c r="G37" s="8">
        <f>IF(COUNTIF(I37:XFD37,"&gt;"&amp;0)=0,,(E37/F37)^(1/MIN(COUNTIF(I37:XFD37,"&gt;"&amp;0)-1,$F$1)))</f>
        <v>1.1648353346122617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</row>
    <row r="38" spans="1:47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Romania</v>
      </c>
      <c r="D38" s="6">
        <f>MAX(I38:JF38)</f>
        <v>2109</v>
      </c>
      <c r="E38" s="6">
        <f>IF(COUNTIF(I38:XFD38,"&gt;"&amp;0)=0,,HLOOKUP(COUNTIF(I38:XFD38,"&gt;"&amp;0)-1,I$1:XFD38,A38+1,FALSE))</f>
        <v>2109</v>
      </c>
      <c r="F38" s="7">
        <f>IF(COUNTIF(I38:XFD38,"&gt;"&amp;0)=0,,HLOOKUP(COUNTIF(I38:XFD38,"&gt;"&amp;0)-MIN($F$1+1,COUNTIF(I38:XFD38,"&gt;"&amp;0)),I$1:XFD38,A38+1,FALSE))</f>
        <v>906</v>
      </c>
      <c r="G38" s="8">
        <f>IF(COUNTIF(I38:XFD38,"&gt;"&amp;0)=0,,(E38/F38)^(1/MIN(COUNTIF(I38:XFD38,"&gt;"&amp;0)-1,$F$1)))</f>
        <v>1.1841035316218635</v>
      </c>
      <c r="H38" s="13" t="s">
        <v>86</v>
      </c>
      <c r="I38" s="9">
        <v>123</v>
      </c>
      <c r="J38" s="9">
        <v>131</v>
      </c>
      <c r="K38" s="9">
        <v>158</v>
      </c>
      <c r="L38" s="9">
        <v>184</v>
      </c>
      <c r="M38" s="9">
        <v>260</v>
      </c>
      <c r="N38" s="9">
        <v>277</v>
      </c>
      <c r="O38" s="9">
        <v>308</v>
      </c>
      <c r="P38" s="9">
        <v>367</v>
      </c>
      <c r="Q38" s="9">
        <v>433</v>
      </c>
      <c r="R38" s="9">
        <v>576</v>
      </c>
      <c r="S38" s="9">
        <v>794</v>
      </c>
      <c r="T38" s="9">
        <v>906</v>
      </c>
      <c r="U38" s="9">
        <v>1029</v>
      </c>
      <c r="V38" s="9">
        <v>1292</v>
      </c>
      <c r="W38" s="9">
        <v>1452</v>
      </c>
      <c r="X38" s="9">
        <v>1815</v>
      </c>
      <c r="Y38" s="9">
        <v>2109</v>
      </c>
    </row>
    <row r="39" spans="1:47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Poland</v>
      </c>
      <c r="D39" s="6">
        <f>MAX(I39:JF39)</f>
        <v>2055</v>
      </c>
      <c r="E39" s="6">
        <f>IF(COUNTIF(I39:XFD39,"&gt;"&amp;0)=0,,HLOOKUP(COUNTIF(I39:XFD39,"&gt;"&amp;0)-1,I$1:XFD39,A39+1,FALSE))</f>
        <v>2055</v>
      </c>
      <c r="F39" s="7">
        <f>IF(COUNTIF(I39:XFD39,"&gt;"&amp;0)=0,,HLOOKUP(COUNTIF(I39:XFD39,"&gt;"&amp;0)-MIN($F$1+1,COUNTIF(I39:XFD39,"&gt;"&amp;0)),I$1:XFD39,A39+1,FALSE))</f>
        <v>1051</v>
      </c>
      <c r="G39" s="8">
        <f>IF(COUNTIF(I39:XFD39,"&gt;"&amp;0)=0,,(E39/F39)^(1/MIN(COUNTIF(I39:XFD39,"&gt;"&amp;0)-1,$F$1)))</f>
        <v>1.1435148847276049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</row>
    <row r="40" spans="1:47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Luxembourg</v>
      </c>
      <c r="D40" s="6">
        <f>MAX(I40:JF40)</f>
        <v>1988</v>
      </c>
      <c r="E40" s="6">
        <f>IF(COUNTIF(I40:XFD40,"&gt;"&amp;0)=0,,HLOOKUP(COUNTIF(I40:XFD40,"&gt;"&amp;0)-1,I$1:XFD40,A40+1,FALSE))</f>
        <v>1988</v>
      </c>
      <c r="F40" s="7">
        <f>IF(COUNTIF(I40:XFD40,"&gt;"&amp;0)=0,,HLOOKUP(COUNTIF(I40:XFD40,"&gt;"&amp;0)-MIN($F$1+1,COUNTIF(I40:XFD40,"&gt;"&amp;0)),I$1:XFD40,A40+1,FALSE))</f>
        <v>1333</v>
      </c>
      <c r="G40" s="8">
        <f>IF(COUNTIF(I40:XFD40,"&gt;"&amp;0)=0,,(E40/F40)^(1/MIN(COUNTIF(I40:XFD40,"&gt;"&amp;0)-1,$F$1)))</f>
        <v>1.083221436991086</v>
      </c>
      <c r="H40" s="13" t="s">
        <v>99</v>
      </c>
      <c r="I40" s="9">
        <v>140</v>
      </c>
      <c r="J40" s="9">
        <v>203</v>
      </c>
      <c r="K40" s="9">
        <v>335</v>
      </c>
      <c r="L40" s="9">
        <v>484</v>
      </c>
      <c r="M40" s="9">
        <v>670</v>
      </c>
      <c r="N40" s="9">
        <v>798</v>
      </c>
      <c r="O40" s="9">
        <v>875</v>
      </c>
      <c r="P40" s="9">
        <v>1099</v>
      </c>
      <c r="Q40" s="9">
        <v>1333</v>
      </c>
      <c r="R40" s="9">
        <v>1453</v>
      </c>
      <c r="S40" s="9">
        <v>1605</v>
      </c>
      <c r="T40" s="9">
        <v>1831</v>
      </c>
      <c r="U40" s="9">
        <v>1950</v>
      </c>
      <c r="V40" s="9">
        <v>1988</v>
      </c>
    </row>
    <row r="41" spans="1:47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Ecuador</v>
      </c>
      <c r="D41" s="6">
        <f>MAX(I41:JF41)</f>
        <v>1962</v>
      </c>
      <c r="E41" s="6">
        <f>IF(COUNTIF(I41:XFD41,"&gt;"&amp;0)=0,,HLOOKUP(COUNTIF(I41:XFD41,"&gt;"&amp;0)-1,I$1:XFD41,A41+1,FALSE))</f>
        <v>1962</v>
      </c>
      <c r="F41" s="7">
        <f>IF(COUNTIF(I41:XFD41,"&gt;"&amp;0)=0,,HLOOKUP(COUNTIF(I41:XFD41,"&gt;"&amp;0)-MIN($F$1+1,COUNTIF(I41:XFD41,"&gt;"&amp;0)),I$1:XFD41,A41+1,FALSE))</f>
        <v>1173</v>
      </c>
      <c r="G41" s="8">
        <f>IF(COUNTIF(I41:XFD41,"&gt;"&amp;0)=0,,(E41/F41)^(1/MIN(COUNTIF(I41:XFD41,"&gt;"&amp;0)-1,$F$1)))</f>
        <v>1.108358351862949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</row>
    <row r="42" spans="1:47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Japan</v>
      </c>
      <c r="D42" s="6">
        <f>MAX(I42:JF42)</f>
        <v>1866</v>
      </c>
      <c r="E42" s="6">
        <f>IF(COUNTIF(I42:XFD42,"&gt;"&amp;0)=0,,HLOOKUP(COUNTIF(I42:XFD42,"&gt;"&amp;0)-1,I$1:XFD42,A42+1,FALSE))</f>
        <v>1866</v>
      </c>
      <c r="F42" s="7">
        <f>IF(COUNTIF(I42:XFD42,"&gt;"&amp;0)=0,,HLOOKUP(COUNTIF(I42:XFD42,"&gt;"&amp;0)-MIN($F$1+1,COUNTIF(I42:XFD42,"&gt;"&amp;0)),I$1:XFD42,A42+1,FALSE))</f>
        <v>1307</v>
      </c>
      <c r="G42" s="8">
        <f>IF(COUNTIF(I42:XFD42,"&gt;"&amp;0)=0,,(E42/F42)^(1/MIN(COUNTIF(I42:XFD42,"&gt;"&amp;0)-1,$F$1)))</f>
        <v>1.0738094221534296</v>
      </c>
      <c r="H42" s="13" t="s">
        <v>36</v>
      </c>
      <c r="I42" s="9">
        <v>105</v>
      </c>
      <c r="J42" s="9">
        <v>122</v>
      </c>
      <c r="K42" s="9">
        <v>147</v>
      </c>
      <c r="L42" s="9">
        <v>159</v>
      </c>
      <c r="M42" s="9">
        <v>170</v>
      </c>
      <c r="N42" s="9">
        <v>189</v>
      </c>
      <c r="O42" s="9">
        <v>214</v>
      </c>
      <c r="P42" s="9">
        <v>228</v>
      </c>
      <c r="Q42" s="9">
        <v>241</v>
      </c>
      <c r="R42" s="9">
        <v>256</v>
      </c>
      <c r="S42" s="9">
        <v>274</v>
      </c>
      <c r="T42" s="9">
        <v>293</v>
      </c>
      <c r="U42" s="9">
        <v>331</v>
      </c>
      <c r="V42" s="9">
        <v>360</v>
      </c>
      <c r="W42" s="9">
        <v>420</v>
      </c>
      <c r="X42" s="9">
        <v>461</v>
      </c>
      <c r="Y42" s="9">
        <v>502</v>
      </c>
      <c r="Z42" s="9">
        <v>511</v>
      </c>
      <c r="AA42" s="9">
        <v>581</v>
      </c>
      <c r="AB42" s="9">
        <v>639</v>
      </c>
      <c r="AC42" s="9">
        <v>639</v>
      </c>
      <c r="AD42" s="9">
        <v>701</v>
      </c>
      <c r="AE42" s="9">
        <v>773</v>
      </c>
      <c r="AF42" s="9">
        <v>839</v>
      </c>
      <c r="AG42" s="9">
        <v>839</v>
      </c>
      <c r="AH42" s="9">
        <v>878</v>
      </c>
      <c r="AI42" s="9">
        <v>889</v>
      </c>
      <c r="AJ42" s="9">
        <v>924</v>
      </c>
      <c r="AK42" s="9">
        <v>963</v>
      </c>
      <c r="AL42" s="9">
        <v>1007</v>
      </c>
      <c r="AM42" s="9">
        <v>1101</v>
      </c>
      <c r="AN42" s="9">
        <v>1128</v>
      </c>
      <c r="AO42" s="9">
        <v>1193</v>
      </c>
      <c r="AP42" s="9">
        <v>1307</v>
      </c>
      <c r="AQ42" s="9">
        <v>1387</v>
      </c>
      <c r="AR42" s="9">
        <v>1468</v>
      </c>
      <c r="AS42" s="9">
        <v>1693</v>
      </c>
      <c r="AT42" s="9">
        <v>1866</v>
      </c>
      <c r="AU42" s="9">
        <v>1866</v>
      </c>
    </row>
    <row r="43" spans="1:47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Russia</v>
      </c>
      <c r="D43" s="6">
        <f>MAX(I43:JF43)</f>
        <v>1836</v>
      </c>
      <c r="E43" s="6">
        <f>IF(COUNTIF(I43:XFD43,"&gt;"&amp;0)=0,,HLOOKUP(COUNTIF(I43:XFD43,"&gt;"&amp;0)-1,I$1:XFD43,A43+1,FALSE))</f>
        <v>1836</v>
      </c>
      <c r="F43" s="7">
        <f>IF(COUNTIF(I43:XFD43,"&gt;"&amp;0)=0,,HLOOKUP(COUNTIF(I43:XFD43,"&gt;"&amp;0)-MIN($F$1+1,COUNTIF(I43:XFD43,"&gt;"&amp;0)),I$1:XFD43,A43+1,FALSE))</f>
        <v>658</v>
      </c>
      <c r="G43" s="8">
        <f>IF(COUNTIF(I43:XFD43,"&gt;"&amp;0)=0,,(E43/F43)^(1/MIN(COUNTIF(I43:XFD43,"&gt;"&amp;0)-1,$F$1)))</f>
        <v>1.2278048841487137</v>
      </c>
      <c r="H43" s="13" t="s">
        <v>344</v>
      </c>
      <c r="I43" s="9">
        <v>114</v>
      </c>
      <c r="J43" s="9">
        <v>147</v>
      </c>
      <c r="K43" s="9">
        <v>199</v>
      </c>
      <c r="L43" s="9">
        <v>253</v>
      </c>
      <c r="M43" s="9">
        <v>306</v>
      </c>
      <c r="N43" s="9">
        <v>367</v>
      </c>
      <c r="O43" s="9">
        <v>438</v>
      </c>
      <c r="P43" s="9">
        <v>495</v>
      </c>
      <c r="Q43" s="9">
        <v>658</v>
      </c>
      <c r="R43" s="9">
        <v>840</v>
      </c>
      <c r="S43" s="9">
        <v>1036</v>
      </c>
      <c r="T43" s="9">
        <v>1264</v>
      </c>
      <c r="U43" s="9">
        <v>1534</v>
      </c>
      <c r="V43" s="9">
        <v>1836</v>
      </c>
    </row>
    <row r="44" spans="1:47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Pakistan</v>
      </c>
      <c r="D44" s="6">
        <f>MAX(I44:JF44)</f>
        <v>1717</v>
      </c>
      <c r="E44" s="6">
        <f>IF(COUNTIF(I44:XFD44,"&gt;"&amp;0)=0,,HLOOKUP(COUNTIF(I44:XFD44,"&gt;"&amp;0)-1,I$1:XFD44,A44+1,FALSE))</f>
        <v>1717</v>
      </c>
      <c r="F44" s="7">
        <f>IF(COUNTIF(I44:XFD44,"&gt;"&amp;0)=0,,HLOOKUP(COUNTIF(I44:XFD44,"&gt;"&amp;0)-MIN($F$1+1,COUNTIF(I44:XFD44,"&gt;"&amp;0)),I$1:XFD44,A44+1,FALSE))</f>
        <v>1063</v>
      </c>
      <c r="G44" s="8">
        <f>IF(COUNTIF(I44:XFD44,"&gt;"&amp;0)=0,,(E44/F44)^(1/MIN(COUNTIF(I44:XFD44,"&gt;"&amp;0)-1,$F$1)))</f>
        <v>1.10064535761547</v>
      </c>
      <c r="H44" s="13" t="s">
        <v>80</v>
      </c>
      <c r="I44" s="9">
        <v>136</v>
      </c>
      <c r="J44" s="9">
        <v>236</v>
      </c>
      <c r="K44" s="9">
        <v>299</v>
      </c>
      <c r="L44" s="9">
        <v>454</v>
      </c>
      <c r="M44" s="9">
        <v>501</v>
      </c>
      <c r="N44" s="9">
        <v>730</v>
      </c>
      <c r="O44" s="9">
        <v>776</v>
      </c>
      <c r="P44" s="9">
        <v>875</v>
      </c>
      <c r="Q44" s="9">
        <v>972</v>
      </c>
      <c r="R44" s="9">
        <v>1063</v>
      </c>
      <c r="S44" s="9">
        <v>1201</v>
      </c>
      <c r="T44" s="9">
        <v>1373</v>
      </c>
      <c r="U44" s="9">
        <v>1495</v>
      </c>
      <c r="V44" s="9">
        <v>1597</v>
      </c>
      <c r="W44" s="9">
        <v>1717</v>
      </c>
    </row>
    <row r="45" spans="1:47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Philippines</v>
      </c>
      <c r="D45" s="6">
        <f>MAX(I45:JF45)</f>
        <v>1546</v>
      </c>
      <c r="E45" s="6">
        <f>IF(COUNTIF(I45:XFD45,"&gt;"&amp;0)=0,,HLOOKUP(COUNTIF(I45:XFD45,"&gt;"&amp;0)-1,I$1:XFD45,A45+1,FALSE))</f>
        <v>1546</v>
      </c>
      <c r="F45" s="7">
        <f>IF(COUNTIF(I45:XFD45,"&gt;"&amp;0)=0,,HLOOKUP(COUNTIF(I45:XFD45,"&gt;"&amp;0)-MIN($F$1+1,COUNTIF(I45:XFD45,"&gt;"&amp;0)),I$1:XFD45,A45+1,FALSE))</f>
        <v>636</v>
      </c>
      <c r="G45" s="8">
        <f>IF(COUNTIF(I45:XFD45,"&gt;"&amp;0)=0,,(E45/F45)^(1/MIN(COUNTIF(I45:XFD45,"&gt;"&amp;0)-1,$F$1)))</f>
        <v>1.1944018703346466</v>
      </c>
      <c r="H45" s="13" t="s">
        <v>56</v>
      </c>
      <c r="I45" s="9">
        <v>111</v>
      </c>
      <c r="J45" s="9">
        <v>140</v>
      </c>
      <c r="K45" s="9">
        <v>142</v>
      </c>
      <c r="L45" s="9">
        <v>187</v>
      </c>
      <c r="M45" s="9">
        <v>202</v>
      </c>
      <c r="N45" s="9">
        <v>217</v>
      </c>
      <c r="O45" s="9">
        <v>230</v>
      </c>
      <c r="P45" s="9">
        <v>307</v>
      </c>
      <c r="Q45" s="9">
        <v>380</v>
      </c>
      <c r="R45" s="9">
        <v>462</v>
      </c>
      <c r="S45" s="9">
        <v>552</v>
      </c>
      <c r="T45" s="9">
        <v>636</v>
      </c>
      <c r="U45" s="9">
        <v>707</v>
      </c>
      <c r="V45" s="9">
        <v>803</v>
      </c>
      <c r="W45" s="9">
        <v>1075</v>
      </c>
      <c r="X45" s="9">
        <v>1418</v>
      </c>
      <c r="Y45" s="9">
        <v>1546</v>
      </c>
    </row>
    <row r="46" spans="1:47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Thailand</v>
      </c>
      <c r="D46" s="6">
        <f>MAX(I46:JF46)</f>
        <v>1524</v>
      </c>
      <c r="E46" s="6">
        <f>IF(COUNTIF(I46:XFD46,"&gt;"&amp;0)=0,,HLOOKUP(COUNTIF(I46:XFD46,"&gt;"&amp;0)-1,I$1:XFD46,A46+1,FALSE))</f>
        <v>1524</v>
      </c>
      <c r="F46" s="7">
        <f>IF(COUNTIF(I46:XFD46,"&gt;"&amp;0)=0,,HLOOKUP(COUNTIF(I46:XFD46,"&gt;"&amp;0)-MIN($F$1+1,COUNTIF(I46:XFD46,"&gt;"&amp;0)),I$1:XFD46,A46+1,FALSE))</f>
        <v>934</v>
      </c>
      <c r="G46" s="8">
        <f>IF(COUNTIF(I46:XFD46,"&gt;"&amp;0)=0,,(E46/F46)^(1/MIN(COUNTIF(I46:XFD46,"&gt;"&amp;0)-1,$F$1)))</f>
        <v>1.1028783671303997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  <c r="X46" s="9">
        <v>1524</v>
      </c>
    </row>
    <row r="47" spans="1:47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Saudi Arabia</v>
      </c>
      <c r="D47" s="6">
        <f>MAX(I47:JF47)</f>
        <v>1453</v>
      </c>
      <c r="E47" s="6">
        <f>IF(COUNTIF(I47:XFD47,"&gt;"&amp;0)=0,,HLOOKUP(COUNTIF(I47:XFD47,"&gt;"&amp;0)-1,I$1:XFD47,A47+1,FALSE))</f>
        <v>1453</v>
      </c>
      <c r="F47" s="7">
        <f>IF(COUNTIF(I47:XFD47,"&gt;"&amp;0)=0,,HLOOKUP(COUNTIF(I47:XFD47,"&gt;"&amp;0)-MIN($F$1+1,COUNTIF(I47:XFD47,"&gt;"&amp;0)),I$1:XFD47,A47+1,FALSE))</f>
        <v>900</v>
      </c>
      <c r="G47" s="8">
        <f>IF(COUNTIF(I47:XFD47,"&gt;"&amp;0)=0,,(E47/F47)^(1/MIN(COUNTIF(I47:XFD47,"&gt;"&amp;0)-1,$F$1)))</f>
        <v>1.1005369312699966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</row>
    <row r="48" spans="1:47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Indonesia</v>
      </c>
      <c r="D48" s="6">
        <f>MAX(I48:JF48)</f>
        <v>1414</v>
      </c>
      <c r="E48" s="6">
        <f>IF(COUNTIF(I48:XFD48,"&gt;"&amp;0)=0,,HLOOKUP(COUNTIF(I48:XFD48,"&gt;"&amp;0)-1,I$1:XFD48,A48+1,FALSE))</f>
        <v>1414</v>
      </c>
      <c r="F48" s="7">
        <f>IF(COUNTIF(I48:XFD48,"&gt;"&amp;0)=0,,HLOOKUP(COUNTIF(I48:XFD48,"&gt;"&amp;0)-MIN($F$1+1,COUNTIF(I48:XFD48,"&gt;"&amp;0)),I$1:XFD48,A48+1,FALSE))</f>
        <v>790</v>
      </c>
      <c r="G48" s="8">
        <f>IF(COUNTIF(I48:XFD48,"&gt;"&amp;0)=0,,(E48/F48)^(1/MIN(COUNTIF(I48:XFD48,"&gt;"&amp;0)-1,$F$1)))</f>
        <v>1.1234777184699394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</row>
    <row r="49" spans="1:39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Finland</v>
      </c>
      <c r="D49" s="6">
        <f>MAX(I49:JF49)</f>
        <v>1352</v>
      </c>
      <c r="E49" s="6">
        <f>IF(COUNTIF(I49:XFD49,"&gt;"&amp;0)=0,,HLOOKUP(COUNTIF(I49:XFD49,"&gt;"&amp;0)-1,I$1:XFD49,A49+1,FALSE))</f>
        <v>1352</v>
      </c>
      <c r="F49" s="7">
        <f>IF(COUNTIF(I49:XFD49,"&gt;"&amp;0)=0,,HLOOKUP(COUNTIF(I49:XFD49,"&gt;"&amp;0)-MIN($F$1+1,COUNTIF(I49:XFD49,"&gt;"&amp;0)),I$1:XFD49,A49+1,FALSE))</f>
        <v>880</v>
      </c>
      <c r="G49" s="8">
        <f>IF(COUNTIF(I49:XFD49,"&gt;"&amp;0)=0,,(E49/F49)^(1/MIN(COUNTIF(I49:XFD49,"&gt;"&amp;0)-1,$F$1)))</f>
        <v>1.089679558319204</v>
      </c>
      <c r="H49" s="13" t="s">
        <v>54</v>
      </c>
      <c r="I49" s="9">
        <v>155</v>
      </c>
      <c r="J49" s="9">
        <v>225</v>
      </c>
      <c r="K49" s="9">
        <v>244</v>
      </c>
      <c r="L49" s="9">
        <v>277</v>
      </c>
      <c r="M49" s="9">
        <v>321</v>
      </c>
      <c r="N49" s="9">
        <v>336</v>
      </c>
      <c r="O49" s="9">
        <v>400</v>
      </c>
      <c r="P49" s="9">
        <v>450</v>
      </c>
      <c r="Q49" s="9">
        <v>523</v>
      </c>
      <c r="R49" s="9">
        <v>626</v>
      </c>
      <c r="S49" s="9">
        <v>700</v>
      </c>
      <c r="T49" s="9">
        <v>792</v>
      </c>
      <c r="U49" s="9">
        <v>880</v>
      </c>
      <c r="V49" s="9">
        <v>958</v>
      </c>
      <c r="W49" s="9">
        <v>1041</v>
      </c>
      <c r="X49" s="9">
        <v>1167</v>
      </c>
      <c r="Y49" s="9">
        <v>1240</v>
      </c>
      <c r="Z49" s="9">
        <v>1352</v>
      </c>
    </row>
    <row r="50" spans="1:39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South Africa</v>
      </c>
      <c r="D50" s="6">
        <f>MAX(I50:JF50)</f>
        <v>1326</v>
      </c>
      <c r="E50" s="6">
        <f>IF(COUNTIF(I50:XFD50,"&gt;"&amp;0)=0,,HLOOKUP(COUNTIF(I50:XFD50,"&gt;"&amp;0)-1,I$1:XFD50,A50+1,FALSE))</f>
        <v>1326</v>
      </c>
      <c r="F50" s="7">
        <f>IF(COUNTIF(I50:XFD50,"&gt;"&amp;0)=0,,HLOOKUP(COUNTIF(I50:XFD50,"&gt;"&amp;0)-MIN($F$1+1,COUNTIF(I50:XFD50,"&gt;"&amp;0)),I$1:XFD50,A50+1,FALSE))</f>
        <v>709</v>
      </c>
      <c r="G50" s="8">
        <f>IF(COUNTIF(I50:XFD50,"&gt;"&amp;0)=0,,(E50/F50)^(1/MIN(COUNTIF(I50:XFD50,"&gt;"&amp;0)-1,$F$1)))</f>
        <v>1.1333902121011379</v>
      </c>
      <c r="H50" s="13" t="s">
        <v>145</v>
      </c>
      <c r="I50" s="9">
        <v>116</v>
      </c>
      <c r="J50" s="9">
        <v>150</v>
      </c>
      <c r="K50" s="9">
        <v>202</v>
      </c>
      <c r="L50" s="9">
        <v>240</v>
      </c>
      <c r="M50" s="9">
        <v>274</v>
      </c>
      <c r="N50" s="9">
        <v>402</v>
      </c>
      <c r="O50" s="9">
        <v>554</v>
      </c>
      <c r="P50" s="9">
        <v>709</v>
      </c>
      <c r="Q50" s="9">
        <v>927</v>
      </c>
      <c r="R50" s="9">
        <v>1170</v>
      </c>
      <c r="S50" s="9">
        <v>1187</v>
      </c>
      <c r="T50" s="9">
        <v>1280</v>
      </c>
      <c r="U50" s="9">
        <v>1326</v>
      </c>
    </row>
    <row r="51" spans="1:39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India</v>
      </c>
      <c r="D51" s="6">
        <f>MAX(I51:JF51)</f>
        <v>1251</v>
      </c>
      <c r="E51" s="6">
        <f>IF(COUNTIF(I51:XFD51,"&gt;"&amp;0)=0,,HLOOKUP(COUNTIF(I51:XFD51,"&gt;"&amp;0)-1,I$1:XFD51,A51+1,FALSE))</f>
        <v>1251</v>
      </c>
      <c r="F51" s="7">
        <f>IF(COUNTIF(I51:XFD51,"&gt;"&amp;0)=0,,HLOOKUP(COUNTIF(I51:XFD51,"&gt;"&amp;0)-MIN($F$1+1,COUNTIF(I51:XFD51,"&gt;"&amp;0)),I$1:XFD51,A51+1,FALSE))</f>
        <v>657</v>
      </c>
      <c r="G51" s="8">
        <f>IF(COUNTIF(I51:XFD51,"&gt;"&amp;0)=0,,(E51/F51)^(1/MIN(COUNTIF(I51:XFD51,"&gt;"&amp;0)-1,$F$1)))</f>
        <v>1.1374659057155609</v>
      </c>
      <c r="H51" s="13" t="s">
        <v>57</v>
      </c>
      <c r="I51" s="9">
        <v>102</v>
      </c>
      <c r="J51" s="9">
        <v>113</v>
      </c>
      <c r="K51" s="9">
        <v>119</v>
      </c>
      <c r="L51" s="9">
        <v>142</v>
      </c>
      <c r="M51" s="9">
        <v>156</v>
      </c>
      <c r="N51" s="9">
        <v>194</v>
      </c>
      <c r="O51" s="9">
        <v>244</v>
      </c>
      <c r="P51" s="9">
        <v>330</v>
      </c>
      <c r="Q51" s="9">
        <v>396</v>
      </c>
      <c r="R51" s="9">
        <v>499</v>
      </c>
      <c r="S51" s="9">
        <v>536</v>
      </c>
      <c r="T51" s="9">
        <v>657</v>
      </c>
      <c r="U51" s="9">
        <v>727</v>
      </c>
      <c r="V51" s="9">
        <v>887</v>
      </c>
      <c r="W51" s="9">
        <v>987</v>
      </c>
      <c r="X51" s="9">
        <v>1024</v>
      </c>
      <c r="Y51" s="9">
        <v>1251</v>
      </c>
    </row>
    <row r="52" spans="1:39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Greece</v>
      </c>
      <c r="D52" s="6">
        <f>MAX(I52:JF52)</f>
        <v>1212</v>
      </c>
      <c r="E52" s="6">
        <f>IF(COUNTIF(I52:XFD52,"&gt;"&amp;0)=0,,HLOOKUP(COUNTIF(I52:XFD52,"&gt;"&amp;0)-1,I$1:XFD52,A52+1,FALSE))</f>
        <v>1212</v>
      </c>
      <c r="F52" s="7">
        <f>IF(COUNTIF(I52:XFD52,"&gt;"&amp;0)=0,,HLOOKUP(COUNTIF(I52:XFD52,"&gt;"&amp;0)-MIN($F$1+1,COUNTIF(I52:XFD52,"&gt;"&amp;0)),I$1:XFD52,A52+1,FALSE))</f>
        <v>821</v>
      </c>
      <c r="G52" s="8">
        <f>IF(COUNTIF(I52:XFD52,"&gt;"&amp;0)=0,,(E52/F52)^(1/MIN(COUNTIF(I52:XFD52,"&gt;"&amp;0)-1,$F$1)))</f>
        <v>1.0810154289834439</v>
      </c>
      <c r="H52" s="13" t="s">
        <v>83</v>
      </c>
      <c r="I52" s="9">
        <v>190</v>
      </c>
      <c r="J52" s="9">
        <v>228</v>
      </c>
      <c r="K52" s="9">
        <v>331</v>
      </c>
      <c r="L52" s="9">
        <v>331</v>
      </c>
      <c r="M52" s="9">
        <v>387</v>
      </c>
      <c r="N52" s="9">
        <v>418</v>
      </c>
      <c r="O52" s="9">
        <v>418</v>
      </c>
      <c r="P52" s="9">
        <v>495</v>
      </c>
      <c r="Q52" s="9">
        <v>530</v>
      </c>
      <c r="R52" s="9">
        <v>624</v>
      </c>
      <c r="S52" s="9">
        <v>695</v>
      </c>
      <c r="T52" s="9">
        <v>743</v>
      </c>
      <c r="U52" s="9">
        <v>821</v>
      </c>
      <c r="V52" s="9">
        <v>892</v>
      </c>
      <c r="W52" s="9">
        <v>966</v>
      </c>
      <c r="X52" s="9">
        <v>1061</v>
      </c>
      <c r="Y52" s="9">
        <v>1156</v>
      </c>
      <c r="Z52" s="9">
        <v>1212</v>
      </c>
    </row>
    <row r="53" spans="1:39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Iceland</v>
      </c>
      <c r="D53" s="6">
        <f>MAX(I53:JF53)</f>
        <v>1086</v>
      </c>
      <c r="E53" s="6">
        <f>IF(COUNTIF(I53:XFD53,"&gt;"&amp;0)=0,,HLOOKUP(COUNTIF(I53:XFD53,"&gt;"&amp;0)-1,I$1:XFD53,A53+1,FALSE))</f>
        <v>1086</v>
      </c>
      <c r="F53" s="7">
        <f>IF(COUNTIF(I53:XFD53,"&gt;"&amp;0)=0,,HLOOKUP(COUNTIF(I53:XFD53,"&gt;"&amp;0)-MIN($F$1+1,COUNTIF(I53:XFD53,"&gt;"&amp;0)),I$1:XFD53,A53+1,FALSE))</f>
        <v>737</v>
      </c>
      <c r="G53" s="8">
        <f>IF(COUNTIF(I53:XFD53,"&gt;"&amp;0)=0,,(E53/F53)^(1/MIN(COUNTIF(I53:XFD53,"&gt;"&amp;0)-1,$F$1)))</f>
        <v>1.0806186721005862</v>
      </c>
      <c r="H53" s="13" t="s">
        <v>92</v>
      </c>
      <c r="I53" s="9">
        <v>103</v>
      </c>
      <c r="J53" s="9">
        <v>134</v>
      </c>
      <c r="K53" s="9">
        <v>156</v>
      </c>
      <c r="L53" s="9">
        <v>171</v>
      </c>
      <c r="M53" s="9">
        <v>180</v>
      </c>
      <c r="N53" s="9">
        <v>220</v>
      </c>
      <c r="O53" s="9">
        <v>250</v>
      </c>
      <c r="P53" s="9">
        <v>330</v>
      </c>
      <c r="Q53" s="9">
        <v>409</v>
      </c>
      <c r="R53" s="9">
        <v>473</v>
      </c>
      <c r="S53" s="9">
        <v>568</v>
      </c>
      <c r="T53" s="9">
        <v>588</v>
      </c>
      <c r="U53" s="9">
        <v>648</v>
      </c>
      <c r="V53" s="9">
        <v>737</v>
      </c>
      <c r="W53" s="9">
        <v>802</v>
      </c>
      <c r="X53" s="9">
        <v>890</v>
      </c>
      <c r="Y53" s="9">
        <v>963</v>
      </c>
      <c r="Z53" s="9">
        <v>1020</v>
      </c>
      <c r="AA53" s="9">
        <v>1086</v>
      </c>
    </row>
    <row r="54" spans="1:39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Mexico</v>
      </c>
      <c r="D54" s="6">
        <f>MAX(I54:JF54)</f>
        <v>993</v>
      </c>
      <c r="E54" s="6">
        <f>IF(COUNTIF(I54:XFD54,"&gt;"&amp;0)=0,,HLOOKUP(COUNTIF(I54:XFD54,"&gt;"&amp;0)-1,I$1:XFD54,A54+1,FALSE))</f>
        <v>993</v>
      </c>
      <c r="F54" s="7">
        <f>IF(COUNTIF(I54:XFD54,"&gt;"&amp;0)=0,,HLOOKUP(COUNTIF(I54:XFD54,"&gt;"&amp;0)-MIN($F$1+1,COUNTIF(I54:XFD54,"&gt;"&amp;0)),I$1:XFD54,A54+1,FALSE))</f>
        <v>405</v>
      </c>
      <c r="G54" s="8">
        <f>IF(COUNTIF(I54:XFD54,"&gt;"&amp;0)=0,,(E54/F54)^(1/MIN(COUNTIF(I54:XFD54,"&gt;"&amp;0)-1,$F$1)))</f>
        <v>1.1964618215162692</v>
      </c>
      <c r="H54" s="13" t="s">
        <v>94</v>
      </c>
      <c r="I54" s="9">
        <v>118</v>
      </c>
      <c r="J54" s="9">
        <v>164</v>
      </c>
      <c r="K54" s="9">
        <v>203</v>
      </c>
      <c r="L54" s="9">
        <v>251</v>
      </c>
      <c r="M54" s="9">
        <v>316</v>
      </c>
      <c r="N54" s="9">
        <v>367</v>
      </c>
      <c r="O54" s="9">
        <v>405</v>
      </c>
      <c r="P54" s="9">
        <v>475</v>
      </c>
      <c r="Q54" s="9">
        <v>585</v>
      </c>
      <c r="R54" s="9">
        <v>717</v>
      </c>
      <c r="S54" s="9">
        <v>848</v>
      </c>
      <c r="T54" s="9">
        <v>993</v>
      </c>
    </row>
    <row r="55" spans="1:39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Panama</v>
      </c>
      <c r="D55" s="6">
        <f>MAX(I55:JF55)</f>
        <v>989</v>
      </c>
      <c r="E55" s="6">
        <f>IF(COUNTIF(I55:XFD55,"&gt;"&amp;0)=0,,HLOOKUP(COUNTIF(I55:XFD55,"&gt;"&amp;0)-1,I$1:XFD55,A55+1,FALSE))</f>
        <v>989</v>
      </c>
      <c r="F55" s="7">
        <f>IF(COUNTIF(I55:XFD55,"&gt;"&amp;0)=0,,HLOOKUP(COUNTIF(I55:XFD55,"&gt;"&amp;0)-MIN($F$1+1,COUNTIF(I55:XFD55,"&gt;"&amp;0)),I$1:XFD55,A55+1,FALSE))</f>
        <v>443</v>
      </c>
      <c r="G55" s="8">
        <f>IF(COUNTIF(I55:XFD55,"&gt;"&amp;0)=0,,(E55/F55)^(1/MIN(COUNTIF(I55:XFD55,"&gt;"&amp;0)-1,$F$1)))</f>
        <v>1.1742444415722566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  <c r="N55" s="9">
        <v>345</v>
      </c>
      <c r="O55" s="9">
        <v>443</v>
      </c>
      <c r="P55" s="9">
        <v>558</v>
      </c>
      <c r="Q55" s="9">
        <v>674</v>
      </c>
      <c r="R55" s="9">
        <v>786</v>
      </c>
      <c r="S55" s="9">
        <v>901</v>
      </c>
      <c r="T55" s="9">
        <v>989</v>
      </c>
    </row>
    <row r="56" spans="1:39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Peru</v>
      </c>
      <c r="D56" s="6">
        <f>MAX(I56:JF56)</f>
        <v>950</v>
      </c>
      <c r="E56" s="6">
        <f>IF(COUNTIF(I56:XFD56,"&gt;"&amp;0)=0,,HLOOKUP(COUNTIF(I56:XFD56,"&gt;"&amp;0)-1,I$1:XFD56,A56+1,FALSE))</f>
        <v>950</v>
      </c>
      <c r="F56" s="7">
        <f>IF(COUNTIF(I56:XFD56,"&gt;"&amp;0)=0,,HLOOKUP(COUNTIF(I56:XFD56,"&gt;"&amp;0)-MIN($F$1+1,COUNTIF(I56:XFD56,"&gt;"&amp;0)),I$1:XFD56,A56+1,FALSE))</f>
        <v>480</v>
      </c>
      <c r="G56" s="8">
        <f>IF(COUNTIF(I56:XFD56,"&gt;"&amp;0)=0,,(E56/F56)^(1/MIN(COUNTIF(I56:XFD56,"&gt;"&amp;0)-1,$F$1)))</f>
        <v>1.1462951993053123</v>
      </c>
      <c r="H56" s="13" t="s">
        <v>160</v>
      </c>
      <c r="I56" s="9">
        <v>117</v>
      </c>
      <c r="J56" s="9">
        <v>145</v>
      </c>
      <c r="K56" s="9">
        <v>234</v>
      </c>
      <c r="L56" s="9">
        <v>234</v>
      </c>
      <c r="M56" s="9">
        <v>318</v>
      </c>
      <c r="N56" s="9">
        <v>363</v>
      </c>
      <c r="O56" s="9">
        <v>395</v>
      </c>
      <c r="P56" s="9">
        <v>416</v>
      </c>
      <c r="Q56" s="9">
        <v>480</v>
      </c>
      <c r="R56" s="9">
        <v>580</v>
      </c>
      <c r="S56" s="9">
        <v>635</v>
      </c>
      <c r="T56" s="9">
        <v>671</v>
      </c>
      <c r="U56" s="9">
        <v>852</v>
      </c>
      <c r="V56" s="9">
        <v>950</v>
      </c>
    </row>
    <row r="57" spans="1:39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Dominican Republic</v>
      </c>
      <c r="D57" s="6">
        <f>MAX(I57:JF57)</f>
        <v>901</v>
      </c>
      <c r="E57" s="6">
        <f>IF(COUNTIF(I57:XFD57,"&gt;"&amp;0)=0,,HLOOKUP(COUNTIF(I57:XFD57,"&gt;"&amp;0)-1,I$1:XFD57,A57+1,FALSE))</f>
        <v>901</v>
      </c>
      <c r="F57" s="7">
        <f>IF(COUNTIF(I57:XFD57,"&gt;"&amp;0)=0,,HLOOKUP(COUNTIF(I57:XFD57,"&gt;"&amp;0)-MIN($F$1+1,COUNTIF(I57:XFD57,"&gt;"&amp;0)),I$1:XFD57,A57+1,FALSE))</f>
        <v>392</v>
      </c>
      <c r="G57" s="8">
        <f>IF(COUNTIF(I57:XFD57,"&gt;"&amp;0)=0,,(E57/F57)^(1/MIN(COUNTIF(I57:XFD57,"&gt;"&amp;0)-1,$F$1)))</f>
        <v>1.1811029243220754</v>
      </c>
      <c r="H57" s="13" t="s">
        <v>106</v>
      </c>
      <c r="I57" s="9">
        <v>112</v>
      </c>
      <c r="J57" s="9">
        <v>202</v>
      </c>
      <c r="K57" s="9">
        <v>245</v>
      </c>
      <c r="L57" s="9">
        <v>312</v>
      </c>
      <c r="M57" s="9">
        <v>392</v>
      </c>
      <c r="N57" s="9">
        <v>488</v>
      </c>
      <c r="O57" s="9">
        <v>581</v>
      </c>
      <c r="P57" s="9">
        <v>719</v>
      </c>
      <c r="Q57" s="9">
        <v>859</v>
      </c>
      <c r="R57" s="9">
        <v>901</v>
      </c>
    </row>
    <row r="58" spans="1:39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Singapore</v>
      </c>
      <c r="D58" s="6">
        <f>MAX(I58:JF58)</f>
        <v>879</v>
      </c>
      <c r="E58" s="6">
        <f>IF(COUNTIF(I58:XFD58,"&gt;"&amp;0)=0,,HLOOKUP(COUNTIF(I58:XFD58,"&gt;"&amp;0)-1,I$1:XFD58,A58+1,FALSE))</f>
        <v>879</v>
      </c>
      <c r="F58" s="7">
        <f>IF(COUNTIF(I58:XFD58,"&gt;"&amp;0)=0,,HLOOKUP(COUNTIF(I58:XFD58,"&gt;"&amp;0)-MIN($F$1+1,COUNTIF(I58:XFD58,"&gt;"&amp;0)),I$1:XFD58,A58+1,FALSE))</f>
        <v>631</v>
      </c>
      <c r="G58" s="8">
        <f>IF(COUNTIF(I58:XFD58,"&gt;"&amp;0)=0,,(E58/F58)^(1/MIN(COUNTIF(I58:XFD58,"&gt;"&amp;0)-1,$F$1)))</f>
        <v>1.0685427528777631</v>
      </c>
      <c r="H58" s="13" t="s">
        <v>40</v>
      </c>
      <c r="I58" s="9">
        <v>102</v>
      </c>
      <c r="J58" s="9">
        <v>106</v>
      </c>
      <c r="K58" s="9">
        <v>108</v>
      </c>
      <c r="L58" s="9">
        <v>110</v>
      </c>
      <c r="M58" s="9">
        <v>110</v>
      </c>
      <c r="N58" s="9">
        <v>117</v>
      </c>
      <c r="O58" s="9">
        <v>130</v>
      </c>
      <c r="P58" s="9">
        <v>138</v>
      </c>
      <c r="Q58" s="9">
        <v>150</v>
      </c>
      <c r="R58" s="9">
        <v>150</v>
      </c>
      <c r="S58" s="9">
        <v>160</v>
      </c>
      <c r="T58" s="9">
        <v>178</v>
      </c>
      <c r="U58" s="9">
        <v>178</v>
      </c>
      <c r="V58" s="9">
        <v>200</v>
      </c>
      <c r="W58" s="9">
        <v>212</v>
      </c>
      <c r="X58" s="9">
        <v>226</v>
      </c>
      <c r="Y58" s="9">
        <v>243</v>
      </c>
      <c r="Z58" s="9">
        <v>266</v>
      </c>
      <c r="AA58" s="9">
        <v>313</v>
      </c>
      <c r="AB58" s="9">
        <v>345</v>
      </c>
      <c r="AC58" s="9">
        <v>385</v>
      </c>
      <c r="AD58" s="9">
        <v>432</v>
      </c>
      <c r="AE58" s="9">
        <v>455</v>
      </c>
      <c r="AF58" s="9">
        <v>509</v>
      </c>
      <c r="AG58" s="9">
        <v>558</v>
      </c>
      <c r="AH58" s="9">
        <v>631</v>
      </c>
      <c r="AI58" s="9">
        <v>683</v>
      </c>
      <c r="AJ58" s="9">
        <v>732</v>
      </c>
      <c r="AK58" s="9">
        <v>802</v>
      </c>
      <c r="AL58" s="9">
        <v>844</v>
      </c>
      <c r="AM58" s="9">
        <v>879</v>
      </c>
    </row>
    <row r="59" spans="1:39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Argentina</v>
      </c>
      <c r="D59" s="6">
        <f>MAX(I59:JF59)</f>
        <v>820</v>
      </c>
      <c r="E59" s="6">
        <f>IF(COUNTIF(I59:XFD59,"&gt;"&amp;0)=0,,HLOOKUP(COUNTIF(I59:XFD59,"&gt;"&amp;0)-1,I$1:XFD59,A59+1,FALSE))</f>
        <v>820</v>
      </c>
      <c r="F59" s="7">
        <f>IF(COUNTIF(I59:XFD59,"&gt;"&amp;0)=0,,HLOOKUP(COUNTIF(I59:XFD59,"&gt;"&amp;0)-MIN($F$1+1,COUNTIF(I59:XFD59,"&gt;"&amp;0)),I$1:XFD59,A59+1,FALSE))</f>
        <v>387</v>
      </c>
      <c r="G59" s="8">
        <f>IF(COUNTIF(I59:XFD59,"&gt;"&amp;0)=0,,(E59/F59)^(1/MIN(COUNTIF(I59:XFD59,"&gt;"&amp;0)-1,$F$1)))</f>
        <v>1.1620386615637246</v>
      </c>
      <c r="H59" s="13" t="s">
        <v>123</v>
      </c>
      <c r="I59" s="9">
        <v>128</v>
      </c>
      <c r="J59" s="9">
        <v>158</v>
      </c>
      <c r="K59" s="9">
        <v>266</v>
      </c>
      <c r="L59" s="9">
        <v>301</v>
      </c>
      <c r="M59" s="9">
        <v>387</v>
      </c>
      <c r="N59" s="9">
        <v>387</v>
      </c>
      <c r="O59" s="9">
        <v>502</v>
      </c>
      <c r="P59" s="9">
        <v>589</v>
      </c>
      <c r="Q59" s="9">
        <v>690</v>
      </c>
      <c r="R59" s="9">
        <v>745</v>
      </c>
      <c r="S59" s="9">
        <v>820</v>
      </c>
    </row>
    <row r="60" spans="1:39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Colombia</v>
      </c>
      <c r="D60" s="6">
        <f>MAX(I60:JF60)</f>
        <v>798</v>
      </c>
      <c r="E60" s="6">
        <f>IF(COUNTIF(I60:XFD60,"&gt;"&amp;0)=0,,HLOOKUP(COUNTIF(I60:XFD60,"&gt;"&amp;0)-1,I$1:XFD60,A60+1,FALSE))</f>
        <v>798</v>
      </c>
      <c r="F60" s="7">
        <f>IF(COUNTIF(I60:XFD60,"&gt;"&amp;0)=0,,HLOOKUP(COUNTIF(I60:XFD60,"&gt;"&amp;0)-MIN($F$1+1,COUNTIF(I60:XFD60,"&gt;"&amp;0)),I$1:XFD60,A60+1,FALSE))</f>
        <v>470</v>
      </c>
      <c r="G60" s="8">
        <f>IF(COUNTIF(I60:XFD60,"&gt;"&amp;0)=0,,(E60/F60)^(1/MIN(COUNTIF(I60:XFD60,"&gt;"&amp;0)-1,$F$1)))</f>
        <v>1.111683108171126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</row>
    <row r="61" spans="1:39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Croatia</v>
      </c>
      <c r="D61" s="6">
        <f>MAX(I61:JF61)</f>
        <v>790</v>
      </c>
      <c r="E61" s="6">
        <f>IF(COUNTIF(I61:XFD61,"&gt;"&amp;0)=0,,HLOOKUP(COUNTIF(I61:XFD61,"&gt;"&amp;0)-1,I$1:XFD61,A61+1,FALSE))</f>
        <v>790</v>
      </c>
      <c r="F61" s="7">
        <f>IF(COUNTIF(I61:XFD61,"&gt;"&amp;0)=0,,HLOOKUP(COUNTIF(I61:XFD61,"&gt;"&amp;0)-MIN($F$1+1,COUNTIF(I61:XFD61,"&gt;"&amp;0)),I$1:XFD61,A61+1,FALSE))</f>
        <v>442</v>
      </c>
      <c r="G61" s="8">
        <f>IF(COUNTIF(I61:XFD61,"&gt;"&amp;0)=0,,(E61/F61)^(1/MIN(COUNTIF(I61:XFD61,"&gt;"&amp;0)-1,$F$1)))</f>
        <v>1.1231582833152924</v>
      </c>
      <c r="H61" s="13" t="s">
        <v>76</v>
      </c>
      <c r="I61" s="9">
        <v>105</v>
      </c>
      <c r="J61" s="9">
        <v>128</v>
      </c>
      <c r="K61" s="9">
        <v>206</v>
      </c>
      <c r="L61" s="9">
        <v>254</v>
      </c>
      <c r="M61" s="9">
        <v>315</v>
      </c>
      <c r="N61" s="9">
        <v>382</v>
      </c>
      <c r="O61" s="9">
        <v>442</v>
      </c>
      <c r="P61" s="9">
        <v>495</v>
      </c>
      <c r="Q61" s="9">
        <v>586</v>
      </c>
      <c r="R61" s="9">
        <v>657</v>
      </c>
      <c r="S61" s="9">
        <v>713</v>
      </c>
      <c r="T61" s="9">
        <v>790</v>
      </c>
    </row>
    <row r="62" spans="1:39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Serbia</v>
      </c>
      <c r="D62" s="6">
        <f>MAX(I62:JF62)</f>
        <v>785</v>
      </c>
      <c r="E62" s="6">
        <f>IF(COUNTIF(I62:XFD62,"&gt;"&amp;0)=0,,HLOOKUP(COUNTIF(I62:XFD62,"&gt;"&amp;0)-1,I$1:XFD62,A62+1,FALSE))</f>
        <v>785</v>
      </c>
      <c r="F62" s="7">
        <f>IF(COUNTIF(I62:XFD62,"&gt;"&amp;0)=0,,HLOOKUP(COUNTIF(I62:XFD62,"&gt;"&amp;0)-MIN($F$1+1,COUNTIF(I62:XFD62,"&gt;"&amp;0)),I$1:XFD62,A62+1,FALSE))</f>
        <v>384</v>
      </c>
      <c r="G62" s="8">
        <f>IF(COUNTIF(I62:XFD62,"&gt;"&amp;0)=0,,(E62/F62)^(1/MIN(COUNTIF(I62:XFD62,"&gt;"&amp;0)-1,$F$1)))</f>
        <v>1.1537393004074912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  <c r="M62" s="9">
        <v>249</v>
      </c>
      <c r="N62" s="9">
        <v>303</v>
      </c>
      <c r="O62" s="9">
        <v>384</v>
      </c>
      <c r="P62" s="9">
        <v>384</v>
      </c>
      <c r="Q62" s="9">
        <v>457</v>
      </c>
      <c r="R62" s="9">
        <v>659</v>
      </c>
      <c r="S62" s="9">
        <v>741</v>
      </c>
      <c r="T62" s="9">
        <v>785</v>
      </c>
    </row>
    <row r="63" spans="1:39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Slovenia</v>
      </c>
      <c r="D63" s="6">
        <f>MAX(I63:JF63)</f>
        <v>756</v>
      </c>
      <c r="E63" s="6">
        <f>IF(COUNTIF(I63:XFD63,"&gt;"&amp;0)=0,,HLOOKUP(COUNTIF(I63:XFD63,"&gt;"&amp;0)-1,I$1:XFD63,A63+1,FALSE))</f>
        <v>756</v>
      </c>
      <c r="F63" s="7">
        <f>IF(COUNTIF(I63:XFD63,"&gt;"&amp;0)=0,,HLOOKUP(COUNTIF(I63:XFD63,"&gt;"&amp;0)-MIN($F$1+1,COUNTIF(I63:XFD63,"&gt;"&amp;0)),I$1:XFD63,A63+1,FALSE))</f>
        <v>528</v>
      </c>
      <c r="G63" s="8">
        <f>IF(COUNTIF(I63:XFD63,"&gt;"&amp;0)=0,,(E63/F63)^(1/MIN(COUNTIF(I63:XFD63,"&gt;"&amp;0)-1,$F$1)))</f>
        <v>1.074428635578085</v>
      </c>
      <c r="H63" s="13" t="s">
        <v>141</v>
      </c>
      <c r="I63" s="9">
        <v>141</v>
      </c>
      <c r="J63" s="9">
        <v>181</v>
      </c>
      <c r="K63" s="9">
        <v>219</v>
      </c>
      <c r="L63" s="9">
        <v>253</v>
      </c>
      <c r="M63" s="9">
        <v>275</v>
      </c>
      <c r="N63" s="9">
        <v>275</v>
      </c>
      <c r="O63" s="9">
        <v>286</v>
      </c>
      <c r="P63" s="9">
        <v>341</v>
      </c>
      <c r="Q63" s="9">
        <v>383</v>
      </c>
      <c r="R63" s="9">
        <v>414</v>
      </c>
      <c r="S63" s="9">
        <v>442</v>
      </c>
      <c r="T63" s="9">
        <v>480</v>
      </c>
      <c r="U63" s="9">
        <v>528</v>
      </c>
      <c r="V63" s="9">
        <v>562</v>
      </c>
      <c r="W63" s="9">
        <v>632</v>
      </c>
      <c r="X63" s="9">
        <v>684</v>
      </c>
      <c r="Y63" s="9">
        <v>730</v>
      </c>
      <c r="Z63" s="9">
        <v>756</v>
      </c>
    </row>
    <row r="64" spans="1:39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Estonia</v>
      </c>
      <c r="D64" s="6">
        <f>MAX(I64:JF64)</f>
        <v>715</v>
      </c>
      <c r="E64" s="6">
        <f>IF(COUNTIF(I64:XFD64,"&gt;"&amp;0)=0,,HLOOKUP(COUNTIF(I64:XFD64,"&gt;"&amp;0)-1,I$1:XFD64,A64+1,FALSE))</f>
        <v>715</v>
      </c>
      <c r="F64" s="7">
        <f>IF(COUNTIF(I64:XFD64,"&gt;"&amp;0)=0,,HLOOKUP(COUNTIF(I64:XFD64,"&gt;"&amp;0)-MIN($F$1+1,COUNTIF(I64:XFD64,"&gt;"&amp;0)),I$1:XFD64,A64+1,FALSE))</f>
        <v>404</v>
      </c>
      <c r="G64" s="8">
        <f>IF(COUNTIF(I64:XFD64,"&gt;"&amp;0)=0,,(E64/F64)^(1/MIN(COUNTIF(I64:XFD64,"&gt;"&amp;0)-1,$F$1)))</f>
        <v>1.120946629178724</v>
      </c>
      <c r="H64" s="13" t="s">
        <v>88</v>
      </c>
      <c r="I64" s="9">
        <v>115</v>
      </c>
      <c r="J64" s="9">
        <v>171</v>
      </c>
      <c r="K64" s="9">
        <v>205</v>
      </c>
      <c r="L64" s="9">
        <v>225</v>
      </c>
      <c r="M64" s="9">
        <v>258</v>
      </c>
      <c r="N64" s="9">
        <v>267</v>
      </c>
      <c r="O64" s="9">
        <v>283</v>
      </c>
      <c r="P64" s="9">
        <v>306</v>
      </c>
      <c r="Q64" s="9">
        <v>326</v>
      </c>
      <c r="R64" s="9">
        <v>352</v>
      </c>
      <c r="S64" s="9">
        <v>369</v>
      </c>
      <c r="T64" s="9">
        <v>404</v>
      </c>
      <c r="U64" s="9">
        <v>538</v>
      </c>
      <c r="V64" s="9">
        <v>575</v>
      </c>
      <c r="W64" s="9">
        <v>645</v>
      </c>
      <c r="X64" s="9">
        <v>679</v>
      </c>
      <c r="Y64" s="9">
        <v>715</v>
      </c>
    </row>
    <row r="65" spans="1:29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Qatar</v>
      </c>
      <c r="D65" s="6">
        <f>MAX(I65:JF65)</f>
        <v>693</v>
      </c>
      <c r="E65" s="6">
        <f>IF(COUNTIF(I65:XFD65,"&gt;"&amp;0)=0,,HLOOKUP(COUNTIF(I65:XFD65,"&gt;"&amp;0)-1,I$1:XFD65,A65+1,FALSE))</f>
        <v>693</v>
      </c>
      <c r="F65" s="7">
        <f>IF(COUNTIF(I65:XFD65,"&gt;"&amp;0)=0,,HLOOKUP(COUNTIF(I65:XFD65,"&gt;"&amp;0)-MIN($F$1+1,COUNTIF(I65:XFD65,"&gt;"&amp;0)),I$1:XFD65,A65+1,FALSE))</f>
        <v>537</v>
      </c>
      <c r="G65" s="8">
        <f>IF(COUNTIF(I65:XFD65,"&gt;"&amp;0)=0,,(E65/F65)^(1/MIN(COUNTIF(I65:XFD65,"&gt;"&amp;0)-1,$F$1)))</f>
        <v>1.0523296081098792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  <c r="AB65" s="9">
        <v>693</v>
      </c>
    </row>
    <row r="66" spans="1:29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Egypt</v>
      </c>
      <c r="D66" s="6">
        <f>MAX(I66:JF66)</f>
        <v>656</v>
      </c>
      <c r="E66" s="6">
        <f>IF(COUNTIF(I66:XFD66,"&gt;"&amp;0)=0,,HLOOKUP(COUNTIF(I66:XFD66,"&gt;"&amp;0)-1,I$1:XFD66,A66+1,FALSE))</f>
        <v>656</v>
      </c>
      <c r="F66" s="7">
        <f>IF(COUNTIF(I66:XFD66,"&gt;"&amp;0)=0,,HLOOKUP(COUNTIF(I66:XFD66,"&gt;"&amp;0)-MIN($F$1+1,COUNTIF(I66:XFD66,"&gt;"&amp;0)),I$1:XFD66,A66+1,FALSE))</f>
        <v>456</v>
      </c>
      <c r="G66" s="8">
        <f>IF(COUNTIF(I66:XFD66,"&gt;"&amp;0)=0,,(E66/F66)^(1/MIN(COUNTIF(I66:XFD66,"&gt;"&amp;0)-1,$F$1)))</f>
        <v>1.0754439960435782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  <c r="X66" s="9">
        <v>609</v>
      </c>
      <c r="Y66" s="9">
        <v>656</v>
      </c>
    </row>
    <row r="67" spans="1:29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Iraq</v>
      </c>
      <c r="D67" s="6">
        <f>MAX(I67:JF67)</f>
        <v>630</v>
      </c>
      <c r="E67" s="6">
        <f>IF(COUNTIF(I67:XFD67,"&gt;"&amp;0)=0,,HLOOKUP(COUNTIF(I67:XFD67,"&gt;"&amp;0)-1,I$1:XFD67,A67+1,FALSE))</f>
        <v>630</v>
      </c>
      <c r="F67" s="7">
        <f>IF(COUNTIF(I67:XFD67,"&gt;"&amp;0)=0,,HLOOKUP(COUNTIF(I67:XFD67,"&gt;"&amp;0)-MIN($F$1+1,COUNTIF(I67:XFD67,"&gt;"&amp;0)),I$1:XFD67,A67+1,FALSE))</f>
        <v>346</v>
      </c>
      <c r="G67" s="8">
        <f>IF(COUNTIF(I67:XFD67,"&gt;"&amp;0)=0,,(E67/F67)^(1/MIN(COUNTIF(I67:XFD67,"&gt;"&amp;0)-1,$F$1)))</f>
        <v>1.1273347391834638</v>
      </c>
      <c r="H67" s="13" t="s">
        <v>70</v>
      </c>
      <c r="I67" s="9">
        <v>101</v>
      </c>
      <c r="J67" s="9">
        <v>110</v>
      </c>
      <c r="K67" s="9">
        <v>116</v>
      </c>
      <c r="L67" s="9">
        <v>124</v>
      </c>
      <c r="M67" s="9">
        <v>154</v>
      </c>
      <c r="N67" s="9">
        <v>164</v>
      </c>
      <c r="O67" s="9">
        <v>192</v>
      </c>
      <c r="P67" s="9">
        <v>208</v>
      </c>
      <c r="Q67" s="9">
        <v>214</v>
      </c>
      <c r="R67" s="9">
        <v>233</v>
      </c>
      <c r="S67" s="9">
        <v>266</v>
      </c>
      <c r="T67" s="9">
        <v>316</v>
      </c>
      <c r="U67" s="9">
        <v>346</v>
      </c>
      <c r="V67" s="9">
        <v>382</v>
      </c>
      <c r="W67" s="9">
        <v>458</v>
      </c>
      <c r="X67" s="9">
        <v>506</v>
      </c>
      <c r="Y67" s="9">
        <v>547</v>
      </c>
      <c r="Z67" s="9">
        <v>630</v>
      </c>
    </row>
    <row r="68" spans="1:29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United Arab Emirates</v>
      </c>
      <c r="D68" s="6">
        <f>MAX(I68:JF68)</f>
        <v>611</v>
      </c>
      <c r="E68" s="6">
        <f>IF(COUNTIF(I68:XFD68,"&gt;"&amp;0)=0,,HLOOKUP(COUNTIF(I68:XFD68,"&gt;"&amp;0)-1,I$1:XFD68,A68+1,FALSE))</f>
        <v>611</v>
      </c>
      <c r="F68" s="7">
        <f>IF(COUNTIF(I68:XFD68,"&gt;"&amp;0)=0,,HLOOKUP(COUNTIF(I68:XFD68,"&gt;"&amp;0)-MIN($F$1+1,COUNTIF(I68:XFD68,"&gt;"&amp;0)),I$1:XFD68,A68+1,FALSE))</f>
        <v>333</v>
      </c>
      <c r="G68" s="8">
        <f>IF(COUNTIF(I68:XFD68,"&gt;"&amp;0)=0,,(E68/F68)^(1/MIN(COUNTIF(I68:XFD68,"&gt;"&amp;0)-1,$F$1)))</f>
        <v>1.1290661711283083</v>
      </c>
      <c r="H68" s="13" t="s">
        <v>55</v>
      </c>
      <c r="I68" s="9">
        <v>113</v>
      </c>
      <c r="J68" s="9">
        <v>140</v>
      </c>
      <c r="K68" s="9">
        <v>140</v>
      </c>
      <c r="L68" s="9">
        <v>153</v>
      </c>
      <c r="M68" s="9">
        <v>153</v>
      </c>
      <c r="N68" s="9">
        <v>198</v>
      </c>
      <c r="O68" s="9">
        <v>248</v>
      </c>
      <c r="P68" s="9">
        <v>333</v>
      </c>
      <c r="Q68" s="9">
        <v>333</v>
      </c>
      <c r="R68" s="9">
        <v>405</v>
      </c>
      <c r="S68" s="9">
        <v>468</v>
      </c>
      <c r="T68" s="9">
        <v>570</v>
      </c>
      <c r="U68" s="9">
        <v>611</v>
      </c>
    </row>
    <row r="69" spans="1:29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New Zealand</v>
      </c>
      <c r="D69" s="6">
        <f>MAX(I69:JF69)</f>
        <v>589</v>
      </c>
      <c r="E69" s="6">
        <f>IF(COUNTIF(I69:XFD69,"&gt;"&amp;0)=0,,HLOOKUP(COUNTIF(I69:XFD69,"&gt;"&amp;0)-1,I$1:XFD69,A69+1,FALSE))</f>
        <v>589</v>
      </c>
      <c r="F69" s="7">
        <f>IF(COUNTIF(I69:XFD69,"&gt;"&amp;0)=0,,HLOOKUP(COUNTIF(I69:XFD69,"&gt;"&amp;0)-MIN($F$1+1,COUNTIF(I69:XFD69,"&gt;"&amp;0)),I$1:XFD69,A69+1,FALSE))</f>
        <v>205</v>
      </c>
      <c r="G69" s="8">
        <f>IF(COUNTIF(I69:XFD69,"&gt;"&amp;0)=0,,(E69/F69)^(1/MIN(COUNTIF(I69:XFD69,"&gt;"&amp;0)-1,$F$1)))</f>
        <v>1.2350151545590078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  <c r="Q69" s="9">
        <v>589</v>
      </c>
    </row>
    <row r="70" spans="1:29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Algeria</v>
      </c>
      <c r="D70" s="6">
        <f>MAX(I70:JF70)</f>
        <v>584</v>
      </c>
      <c r="E70" s="6">
        <f>IF(COUNTIF(I70:XFD70,"&gt;"&amp;0)=0,,HLOOKUP(COUNTIF(I70:XFD70,"&gt;"&amp;0)-1,I$1:XFD70,A70+1,FALSE))</f>
        <v>584</v>
      </c>
      <c r="F70" s="7">
        <f>IF(COUNTIF(I70:XFD70,"&gt;"&amp;0)=0,,HLOOKUP(COUNTIF(I70:XFD70,"&gt;"&amp;0)-MIN($F$1+1,COUNTIF(I70:XFD70,"&gt;"&amp;0)),I$1:XFD70,A70+1,FALSE))</f>
        <v>302</v>
      </c>
      <c r="G70" s="8">
        <f>IF(COUNTIF(I70:XFD70,"&gt;"&amp;0)=0,,(E70/F70)^(1/MIN(COUNTIF(I70:XFD70,"&gt;"&amp;0)-1,$F$1)))</f>
        <v>1.1409882731027097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  <c r="O70" s="9">
        <v>409</v>
      </c>
      <c r="P70" s="9">
        <v>454</v>
      </c>
      <c r="Q70" s="9">
        <v>511</v>
      </c>
      <c r="R70" s="9">
        <v>584</v>
      </c>
    </row>
    <row r="71" spans="1:29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Morocco</v>
      </c>
      <c r="D71" s="6">
        <f>MAX(I71:JF71)</f>
        <v>556</v>
      </c>
      <c r="E71" s="6">
        <f>IF(COUNTIF(I71:XFD71,"&gt;"&amp;0)=0,,HLOOKUP(COUNTIF(I71:XFD71,"&gt;"&amp;0)-1,I$1:XFD71,A71+1,FALSE))</f>
        <v>556</v>
      </c>
      <c r="F71" s="7">
        <f>IF(COUNTIF(I71:XFD71,"&gt;"&amp;0)=0,,HLOOKUP(COUNTIF(I71:XFD71,"&gt;"&amp;0)-MIN($F$1+1,COUNTIF(I71:XFD71,"&gt;"&amp;0)),I$1:XFD71,A71+1,FALSE))</f>
        <v>225</v>
      </c>
      <c r="G71" s="8">
        <f>IF(COUNTIF(I71:XFD71,"&gt;"&amp;0)=0,,(E71/F71)^(1/MIN(COUNTIF(I71:XFD71,"&gt;"&amp;0)-1,$F$1)))</f>
        <v>1.1983355812941332</v>
      </c>
      <c r="H71" s="13" t="s">
        <v>112</v>
      </c>
      <c r="I71" s="9">
        <v>115</v>
      </c>
      <c r="J71" s="9">
        <v>143</v>
      </c>
      <c r="K71" s="9">
        <v>170</v>
      </c>
      <c r="L71" s="9">
        <v>225</v>
      </c>
      <c r="M71" s="9">
        <v>275</v>
      </c>
      <c r="N71" s="9">
        <v>345</v>
      </c>
      <c r="O71" s="9">
        <v>402</v>
      </c>
      <c r="P71" s="9">
        <v>479</v>
      </c>
      <c r="Q71" s="9">
        <v>556</v>
      </c>
    </row>
    <row r="72" spans="1:29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Ukraine</v>
      </c>
      <c r="D72" s="6">
        <f>MAX(I72:JF72)</f>
        <v>548</v>
      </c>
      <c r="E72" s="6">
        <f>IF(COUNTIF(I72:XFD72,"&gt;"&amp;0)=0,,HLOOKUP(COUNTIF(I72:XFD72,"&gt;"&amp;0)-1,I$1:XFD72,A72+1,FALSE))</f>
        <v>548</v>
      </c>
      <c r="F72" s="7">
        <f>IF(COUNTIF(I72:XFD72,"&gt;"&amp;0)=0,,HLOOKUP(COUNTIF(I72:XFD72,"&gt;"&amp;0)-MIN($F$1+1,COUNTIF(I72:XFD72,"&gt;"&amp;0)),I$1:XFD72,A72+1,FALSE))</f>
        <v>145</v>
      </c>
      <c r="G72" s="8">
        <f>IF(COUNTIF(I72:XFD72,"&gt;"&amp;0)=0,,(E72/F72)^(1/MIN(COUNTIF(I72:XFD72,"&gt;"&amp;0)-1,$F$1)))</f>
        <v>1.3046154315858027</v>
      </c>
      <c r="H72" s="13" t="s">
        <v>129</v>
      </c>
      <c r="I72" s="9">
        <v>145</v>
      </c>
      <c r="J72" s="9">
        <v>196</v>
      </c>
      <c r="K72" s="9">
        <v>310</v>
      </c>
      <c r="L72" s="9">
        <v>356</v>
      </c>
      <c r="M72" s="9">
        <v>475</v>
      </c>
      <c r="N72" s="9">
        <v>548</v>
      </c>
    </row>
    <row r="73" spans="1:29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Bahrain</v>
      </c>
      <c r="D73" s="6">
        <f>MAX(I73:JF73)</f>
        <v>515</v>
      </c>
      <c r="E73" s="6">
        <f>IF(COUNTIF(I73:XFD73,"&gt;"&amp;0)=0,,HLOOKUP(COUNTIF(I73:XFD73,"&gt;"&amp;0)-1,I$1:XFD73,A73+1,FALSE))</f>
        <v>515</v>
      </c>
      <c r="F73" s="7">
        <f>IF(COUNTIF(I73:XFD73,"&gt;"&amp;0)=0,,HLOOKUP(COUNTIF(I73:XFD73,"&gt;"&amp;0)-MIN($F$1+1,COUNTIF(I73:XFD73,"&gt;"&amp;0)),I$1:XFD73,A73+1,FALSE))</f>
        <v>419</v>
      </c>
      <c r="G73" s="8">
        <f>IF(COUNTIF(I73:XFD73,"&gt;"&amp;0)=0,,(E73/F73)^(1/MIN(COUNTIF(I73:XFD73,"&gt;"&amp;0)-1,$F$1)))</f>
        <v>1.0421221845985689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</row>
    <row r="74" spans="1:29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Lithuania</v>
      </c>
      <c r="D74" s="6">
        <f>MAX(I74:JF74)</f>
        <v>491</v>
      </c>
      <c r="E74" s="6">
        <f>IF(COUNTIF(I74:XFD74,"&gt;"&amp;0)=0,,HLOOKUP(COUNTIF(I74:XFD74,"&gt;"&amp;0)-1,I$1:XFD74,A74+1,FALSE))</f>
        <v>491</v>
      </c>
      <c r="F74" s="7">
        <f>IF(COUNTIF(I74:XFD74,"&gt;"&amp;0)=0,,HLOOKUP(COUNTIF(I74:XFD74,"&gt;"&amp;0)-MIN($F$1+1,COUNTIF(I74:XFD74,"&gt;"&amp;0)),I$1:XFD74,A74+1,FALSE))</f>
        <v>274</v>
      </c>
      <c r="G74" s="8">
        <f>IF(COUNTIF(I74:XFD74,"&gt;"&amp;0)=0,,(E74/F74)^(1/MIN(COUNTIF(I74:XFD74,"&gt;"&amp;0)-1,$F$1)))</f>
        <v>1.1237408948273373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</row>
    <row r="75" spans="1:29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Armenia</v>
      </c>
      <c r="D75" s="6">
        <f>MAX(I75:JF75)</f>
        <v>482</v>
      </c>
      <c r="E75" s="6">
        <f>IF(COUNTIF(I75:XFD75,"&gt;"&amp;0)=0,,HLOOKUP(COUNTIF(I75:XFD75,"&gt;"&amp;0)-1,I$1:XFD75,A75+1,FALSE))</f>
        <v>482</v>
      </c>
      <c r="F75" s="7">
        <f>IF(COUNTIF(I75:XFD75,"&gt;"&amp;0)=0,,HLOOKUP(COUNTIF(I75:XFD75,"&gt;"&amp;0)-MIN($F$1+1,COUNTIF(I75:XFD75,"&gt;"&amp;0)),I$1:XFD75,A75+1,FALSE))</f>
        <v>265</v>
      </c>
      <c r="G75" s="8">
        <f>IF(COUNTIF(I75:XFD75,"&gt;"&amp;0)=0,,(E75/F75)^(1/MIN(COUNTIF(I75:XFD75,"&gt;"&amp;0)-1,$F$1)))</f>
        <v>1.1270942465602656</v>
      </c>
      <c r="H75" s="13" t="s">
        <v>105</v>
      </c>
      <c r="I75" s="9">
        <v>115</v>
      </c>
      <c r="J75" s="9">
        <v>136</v>
      </c>
      <c r="K75" s="9">
        <v>160</v>
      </c>
      <c r="L75" s="9">
        <v>194</v>
      </c>
      <c r="M75" s="9">
        <v>235</v>
      </c>
      <c r="N75" s="9">
        <v>249</v>
      </c>
      <c r="O75" s="9">
        <v>265</v>
      </c>
      <c r="P75" s="9">
        <v>290</v>
      </c>
      <c r="Q75" s="9">
        <v>329</v>
      </c>
      <c r="R75" s="9">
        <v>407</v>
      </c>
      <c r="S75" s="9">
        <v>424</v>
      </c>
      <c r="T75" s="9">
        <v>482</v>
      </c>
    </row>
    <row r="76" spans="1:29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Hungary</v>
      </c>
      <c r="D76" s="6">
        <f>MAX(I76:JF76)</f>
        <v>447</v>
      </c>
      <c r="E76" s="6">
        <f>IF(COUNTIF(I76:XFD76,"&gt;"&amp;0)=0,,HLOOKUP(COUNTIF(I76:XFD76,"&gt;"&amp;0)-1,I$1:XFD76,A76+1,FALSE))</f>
        <v>447</v>
      </c>
      <c r="F76" s="7">
        <f>IF(COUNTIF(I76:XFD76,"&gt;"&amp;0)=0,,HLOOKUP(COUNTIF(I76:XFD76,"&gt;"&amp;0)-MIN($F$1+1,COUNTIF(I76:XFD76,"&gt;"&amp;0)),I$1:XFD76,A76+1,FALSE))</f>
        <v>226</v>
      </c>
      <c r="G76" s="8">
        <f>IF(COUNTIF(I76:XFD76,"&gt;"&amp;0)=0,,(E76/F76)^(1/MIN(COUNTIF(I76:XFD76,"&gt;"&amp;0)-1,$F$1)))</f>
        <v>1.1461456667459444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</row>
    <row r="77" spans="1:29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Lebanon</v>
      </c>
      <c r="D77" s="6">
        <f>MAX(I77:JF77)</f>
        <v>446</v>
      </c>
      <c r="E77" s="6">
        <f>IF(COUNTIF(I77:XFD77,"&gt;"&amp;0)=0,,HLOOKUP(COUNTIF(I77:XFD77,"&gt;"&amp;0)-1,I$1:XFD77,A77+1,FALSE))</f>
        <v>446</v>
      </c>
      <c r="F77" s="7">
        <f>IF(COUNTIF(I77:XFD77,"&gt;"&amp;0)=0,,HLOOKUP(COUNTIF(I77:XFD77,"&gt;"&amp;0)-MIN($F$1+1,COUNTIF(I77:XFD77,"&gt;"&amp;0)),I$1:XFD77,A77+1,FALSE))</f>
        <v>333</v>
      </c>
      <c r="G77" s="8">
        <f>IF(COUNTIF(I77:XFD77,"&gt;"&amp;0)=0,,(E77/F77)^(1/MIN(COUNTIF(I77:XFD77,"&gt;"&amp;0)-1,$F$1)))</f>
        <v>1.0601763820141759</v>
      </c>
      <c r="H77" s="13" t="s">
        <v>67</v>
      </c>
      <c r="I77" s="9">
        <v>110</v>
      </c>
      <c r="J77" s="9">
        <v>110</v>
      </c>
      <c r="K77" s="9">
        <v>120</v>
      </c>
      <c r="L77" s="9">
        <v>133</v>
      </c>
      <c r="M77" s="9">
        <v>157</v>
      </c>
      <c r="N77" s="9">
        <v>163</v>
      </c>
      <c r="O77" s="9">
        <v>187</v>
      </c>
      <c r="P77" s="9">
        <v>248</v>
      </c>
      <c r="Q77" s="9">
        <v>267</v>
      </c>
      <c r="R77" s="9">
        <v>318</v>
      </c>
      <c r="S77" s="9">
        <v>333</v>
      </c>
      <c r="T77" s="9">
        <v>368</v>
      </c>
      <c r="U77" s="9">
        <v>391</v>
      </c>
      <c r="V77" s="9">
        <v>412</v>
      </c>
      <c r="W77" s="9">
        <v>438</v>
      </c>
      <c r="X77" s="9">
        <v>446</v>
      </c>
    </row>
    <row r="78" spans="1:29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Latvia</v>
      </c>
      <c r="D78" s="6">
        <f>MAX(I78:JF78)</f>
        <v>376</v>
      </c>
      <c r="E78" s="6">
        <f>IF(COUNTIF(I78:XFD78,"&gt;"&amp;0)=0,,HLOOKUP(COUNTIF(I78:XFD78,"&gt;"&amp;0)-1,I$1:XFD78,A78+1,FALSE))</f>
        <v>376</v>
      </c>
      <c r="F78" s="7">
        <f>IF(COUNTIF(I78:XFD78,"&gt;"&amp;0)=0,,HLOOKUP(COUNTIF(I78:XFD78,"&gt;"&amp;0)-MIN($F$1+1,COUNTIF(I78:XFD78,"&gt;"&amp;0)),I$1:XFD78,A78+1,FALSE))</f>
        <v>221</v>
      </c>
      <c r="G78" s="8">
        <f>IF(COUNTIF(I78:XFD78,"&gt;"&amp;0)=0,,(E78/F78)^(1/MIN(COUNTIF(I78:XFD78,"&gt;"&amp;0)-1,$F$1)))</f>
        <v>1.1121391116119255</v>
      </c>
      <c r="H78" s="13" t="s">
        <v>111</v>
      </c>
      <c r="I78" s="9">
        <v>111</v>
      </c>
      <c r="J78" s="9">
        <v>124</v>
      </c>
      <c r="K78" s="9">
        <v>139</v>
      </c>
      <c r="L78" s="9">
        <v>180</v>
      </c>
      <c r="M78" s="9">
        <v>197</v>
      </c>
      <c r="N78" s="9">
        <v>221</v>
      </c>
      <c r="O78" s="9">
        <v>244</v>
      </c>
      <c r="P78" s="9">
        <v>280</v>
      </c>
      <c r="Q78" s="9">
        <v>305</v>
      </c>
      <c r="R78" s="9">
        <v>347</v>
      </c>
      <c r="S78" s="9">
        <v>376</v>
      </c>
    </row>
    <row r="79" spans="1:29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Andorra</v>
      </c>
      <c r="D79" s="6">
        <f>MAX(I79:JF79)</f>
        <v>370</v>
      </c>
      <c r="E79" s="6">
        <f>IF(COUNTIF(I79:XFD79,"&gt;"&amp;0)=0,,HLOOKUP(COUNTIF(I79:XFD79,"&gt;"&amp;0)-1,I$1:XFD79,A79+1,FALSE))</f>
        <v>370</v>
      </c>
      <c r="F79" s="7">
        <f>IF(COUNTIF(I79:XFD79,"&gt;"&amp;0)=0,,HLOOKUP(COUNTIF(I79:XFD79,"&gt;"&amp;0)-MIN($F$1+1,COUNTIF(I79:XFD79,"&gt;"&amp;0)),I$1:XFD79,A79+1,FALSE))</f>
        <v>188</v>
      </c>
      <c r="G79" s="8">
        <f>IF(COUNTIF(I79:XFD79,"&gt;"&amp;0)=0,,(E79/F79)^(1/MIN(COUNTIF(I79:XFD79,"&gt;"&amp;0)-1,$F$1)))</f>
        <v>1.1450086694638237</v>
      </c>
      <c r="H79" s="13" t="s">
        <v>109</v>
      </c>
      <c r="I79" s="9">
        <v>113</v>
      </c>
      <c r="J79" s="9">
        <v>133</v>
      </c>
      <c r="K79" s="9">
        <v>164</v>
      </c>
      <c r="L79" s="9">
        <v>188</v>
      </c>
      <c r="M79" s="9">
        <v>224</v>
      </c>
      <c r="N79" s="9">
        <v>267</v>
      </c>
      <c r="O79" s="9">
        <v>308</v>
      </c>
      <c r="P79" s="9">
        <v>334</v>
      </c>
      <c r="Q79" s="9">
        <v>370</v>
      </c>
    </row>
    <row r="80" spans="1:29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Bosnia and Herzegovina</v>
      </c>
      <c r="D80" s="6">
        <f>MAX(I80:JF80)</f>
        <v>368</v>
      </c>
      <c r="E80" s="6">
        <f>IF(COUNTIF(I80:XFD80,"&gt;"&amp;0)=0,,HLOOKUP(COUNTIF(I80:XFD80,"&gt;"&amp;0)-1,I$1:XFD80,A80+1,FALSE))</f>
        <v>368</v>
      </c>
      <c r="F80" s="7">
        <f>IF(COUNTIF(I80:XFD80,"&gt;"&amp;0)=0,,HLOOKUP(COUNTIF(I80:XFD80,"&gt;"&amp;0)-MIN($F$1+1,COUNTIF(I80:XFD80,"&gt;"&amp;0)),I$1:XFD80,A80+1,FALSE))</f>
        <v>176</v>
      </c>
      <c r="G80" s="8">
        <f>IF(COUNTIF(I80:XFD80,"&gt;"&amp;0)=0,,(E80/F80)^(1/MIN(COUNTIF(I80:XFD80,"&gt;"&amp;0)-1,$F$1)))</f>
        <v>1.1589562187541786</v>
      </c>
      <c r="H80" s="13" t="s">
        <v>140</v>
      </c>
      <c r="I80" s="9">
        <v>126</v>
      </c>
      <c r="J80" s="9">
        <v>136</v>
      </c>
      <c r="K80" s="9">
        <v>166</v>
      </c>
      <c r="L80" s="9">
        <v>176</v>
      </c>
      <c r="M80" s="9">
        <v>191</v>
      </c>
      <c r="N80" s="9">
        <v>237</v>
      </c>
      <c r="O80" s="9">
        <v>258</v>
      </c>
      <c r="P80" s="9">
        <v>323</v>
      </c>
      <c r="Q80" s="9">
        <v>368</v>
      </c>
    </row>
    <row r="81" spans="1:25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Bulgaria</v>
      </c>
      <c r="D81" s="6">
        <f>MAX(I81:JF81)</f>
        <v>359</v>
      </c>
      <c r="E81" s="6">
        <f>IF(COUNTIF(I81:XFD81,"&gt;"&amp;0)=0,,HLOOKUP(COUNTIF(I81:XFD81,"&gt;"&amp;0)-1,I$1:XFD81,A81+1,FALSE))</f>
        <v>359</v>
      </c>
      <c r="F81" s="7">
        <f>IF(COUNTIF(I81:XFD81,"&gt;"&amp;0)=0,,HLOOKUP(COUNTIF(I81:XFD81,"&gt;"&amp;0)-MIN($F$1+1,COUNTIF(I81:XFD81,"&gt;"&amp;0)),I$1:XFD81,A81+1,FALSE))</f>
        <v>242</v>
      </c>
      <c r="G81" s="8">
        <f>IF(COUNTIF(I81:XFD81,"&gt;"&amp;0)=0,,(E81/F81)^(1/MIN(COUNTIF(I81:XFD81,"&gt;"&amp;0)-1,$F$1)))</f>
        <v>1.0820711460484485</v>
      </c>
      <c r="H81" s="13" t="s">
        <v>199</v>
      </c>
      <c r="I81" s="9">
        <v>127</v>
      </c>
      <c r="J81" s="9">
        <v>163</v>
      </c>
      <c r="K81" s="9">
        <v>187</v>
      </c>
      <c r="L81" s="9">
        <v>201</v>
      </c>
      <c r="M81" s="9">
        <v>218</v>
      </c>
      <c r="N81" s="9">
        <v>242</v>
      </c>
      <c r="O81" s="9">
        <v>264</v>
      </c>
      <c r="P81" s="9">
        <v>293</v>
      </c>
      <c r="Q81" s="9">
        <v>331</v>
      </c>
      <c r="R81" s="9">
        <v>346</v>
      </c>
      <c r="S81" s="9">
        <v>359</v>
      </c>
    </row>
    <row r="82" spans="1:25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Slovakia</v>
      </c>
      <c r="D82" s="6">
        <f>MAX(I82:JF82)</f>
        <v>336</v>
      </c>
      <c r="E82" s="6">
        <f>IF(COUNTIF(I82:XFD82,"&gt;"&amp;0)=0,,HLOOKUP(COUNTIF(I82:XFD82,"&gt;"&amp;0)-1,I$1:XFD82,A82+1,FALSE))</f>
        <v>336</v>
      </c>
      <c r="F82" s="7">
        <f>IF(COUNTIF(I82:XFD82,"&gt;"&amp;0)=0,,HLOOKUP(COUNTIF(I82:XFD82,"&gt;"&amp;0)-MIN($F$1+1,COUNTIF(I82:XFD82,"&gt;"&amp;0)),I$1:XFD82,A82+1,FALSE))</f>
        <v>216</v>
      </c>
      <c r="G82" s="8">
        <f>IF(COUNTIF(I82:XFD82,"&gt;"&amp;0)=0,,(E82/F82)^(1/MIN(COUNTIF(I82:XFD82,"&gt;"&amp;0)-1,$F$1)))</f>
        <v>1.0923884641403729</v>
      </c>
      <c r="H82" s="13" t="s">
        <v>162</v>
      </c>
      <c r="I82" s="9">
        <v>105</v>
      </c>
      <c r="J82" s="9">
        <v>123</v>
      </c>
      <c r="K82" s="9">
        <v>137</v>
      </c>
      <c r="L82" s="9">
        <v>178</v>
      </c>
      <c r="M82" s="9">
        <v>185</v>
      </c>
      <c r="N82" s="9">
        <v>186</v>
      </c>
      <c r="O82" s="9">
        <v>204</v>
      </c>
      <c r="P82" s="9">
        <v>216</v>
      </c>
      <c r="Q82" s="9">
        <v>226</v>
      </c>
      <c r="R82" s="9">
        <v>269</v>
      </c>
      <c r="S82" s="9">
        <v>292</v>
      </c>
      <c r="T82" s="9">
        <v>314</v>
      </c>
      <c r="U82" s="9">
        <v>336</v>
      </c>
    </row>
    <row r="83" spans="1:25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Costa Rica</v>
      </c>
      <c r="D83" s="6">
        <f>MAX(I83:JF83)</f>
        <v>330</v>
      </c>
      <c r="E83" s="6">
        <f>IF(COUNTIF(I83:XFD83,"&gt;"&amp;0)=0,,HLOOKUP(COUNTIF(I83:XFD83,"&gt;"&amp;0)-1,I$1:XFD83,A83+1,FALSE))</f>
        <v>330</v>
      </c>
      <c r="F83" s="7">
        <f>IF(COUNTIF(I83:XFD83,"&gt;"&amp;0)=0,,HLOOKUP(COUNTIF(I83:XFD83,"&gt;"&amp;0)-MIN($F$1+1,COUNTIF(I83:XFD83,"&gt;"&amp;0)),I$1:XFD83,A83+1,FALSE))</f>
        <v>201</v>
      </c>
      <c r="G83" s="8">
        <f>IF(COUNTIF(I83:XFD83,"&gt;"&amp;0)=0,,(E83/F83)^(1/MIN(COUNTIF(I83:XFD83,"&gt;"&amp;0)-1,$F$1)))</f>
        <v>1.1042402581129325</v>
      </c>
      <c r="H83" s="13" t="s">
        <v>159</v>
      </c>
      <c r="I83" s="9">
        <v>117</v>
      </c>
      <c r="J83" s="9">
        <v>134</v>
      </c>
      <c r="K83" s="9">
        <v>158</v>
      </c>
      <c r="L83" s="9">
        <v>177</v>
      </c>
      <c r="M83" s="9">
        <v>201</v>
      </c>
      <c r="N83" s="9">
        <v>231</v>
      </c>
      <c r="O83" s="9">
        <v>263</v>
      </c>
      <c r="P83" s="9">
        <v>295</v>
      </c>
      <c r="Q83" s="9">
        <v>314</v>
      </c>
      <c r="R83" s="9">
        <v>330</v>
      </c>
    </row>
    <row r="84" spans="1:25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Tunisia</v>
      </c>
      <c r="D84" s="6">
        <f>MAX(I84:JF84)</f>
        <v>312</v>
      </c>
      <c r="E84" s="6">
        <f>IF(COUNTIF(I84:XFD84,"&gt;"&amp;0)=0,,HLOOKUP(COUNTIF(I84:XFD84,"&gt;"&amp;0)-1,I$1:XFD84,A84+1,FALSE))</f>
        <v>312</v>
      </c>
      <c r="F84" s="7">
        <f>IF(COUNTIF(I84:XFD84,"&gt;"&amp;0)=0,,HLOOKUP(COUNTIF(I84:XFD84,"&gt;"&amp;0)-MIN($F$1+1,COUNTIF(I84:XFD84,"&gt;"&amp;0)),I$1:XFD84,A84+1,FALSE))</f>
        <v>173</v>
      </c>
      <c r="G84" s="8">
        <f>IF(COUNTIF(I84:XFD84,"&gt;"&amp;0)=0,,(E84/F84)^(1/MIN(COUNTIF(I84:XFD84,"&gt;"&amp;0)-1,$F$1)))</f>
        <v>1.12517920765369</v>
      </c>
      <c r="H84" s="13" t="s">
        <v>138</v>
      </c>
      <c r="I84" s="9">
        <v>114</v>
      </c>
      <c r="J84" s="9">
        <v>173</v>
      </c>
      <c r="K84" s="9">
        <v>197</v>
      </c>
      <c r="L84" s="9">
        <v>227</v>
      </c>
      <c r="M84" s="9">
        <v>278</v>
      </c>
      <c r="N84" s="9">
        <v>312</v>
      </c>
      <c r="O84" s="9">
        <v>312</v>
      </c>
    </row>
    <row r="85" spans="1:25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Taiwan*</v>
      </c>
      <c r="D85" s="6">
        <f>MAX(I85:JF85)</f>
        <v>306</v>
      </c>
      <c r="E85" s="6">
        <f>IF(COUNTIF(I85:XFD85,"&gt;"&amp;0)=0,,HLOOKUP(COUNTIF(I85:XFD85,"&gt;"&amp;0)-1,I$1:XFD85,A85+1,FALSE))</f>
        <v>306</v>
      </c>
      <c r="F85" s="7">
        <f>IF(COUNTIF(I85:XFD85,"&gt;"&amp;0)=0,,HLOOKUP(COUNTIF(I85:XFD85,"&gt;"&amp;0)-MIN($F$1+1,COUNTIF(I85:XFD85,"&gt;"&amp;0)),I$1:XFD85,A85+1,FALSE))</f>
        <v>235</v>
      </c>
      <c r="G85" s="8">
        <f>IF(COUNTIF(I85:XFD85,"&gt;"&amp;0)=0,,(E85/F85)^(1/MIN(COUNTIF(I85:XFD85,"&gt;"&amp;0)-1,$F$1)))</f>
        <v>1.0542186933694599</v>
      </c>
      <c r="H85" s="13" t="s">
        <v>342</v>
      </c>
      <c r="I85" s="9">
        <v>100</v>
      </c>
      <c r="J85" s="9">
        <v>108</v>
      </c>
      <c r="K85" s="9">
        <v>135</v>
      </c>
      <c r="L85" s="9">
        <v>153</v>
      </c>
      <c r="M85" s="9">
        <v>169</v>
      </c>
      <c r="N85" s="9">
        <v>195</v>
      </c>
      <c r="O85" s="9">
        <v>215</v>
      </c>
      <c r="P85" s="9">
        <v>235</v>
      </c>
      <c r="Q85" s="9">
        <v>252</v>
      </c>
      <c r="R85" s="9">
        <v>267</v>
      </c>
      <c r="S85" s="9">
        <v>283</v>
      </c>
      <c r="T85" s="9">
        <v>298</v>
      </c>
      <c r="U85" s="9">
        <v>306</v>
      </c>
    </row>
    <row r="86" spans="1:25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Kazakhstan</v>
      </c>
      <c r="D86" s="6">
        <f>MAX(I86:JF86)</f>
        <v>302</v>
      </c>
      <c r="E86" s="6">
        <f>IF(COUNTIF(I86:XFD86,"&gt;"&amp;0)=0,,HLOOKUP(COUNTIF(I86:XFD86,"&gt;"&amp;0)-1,I$1:XFD86,A86+1,FALSE))</f>
        <v>302</v>
      </c>
      <c r="F86" s="7">
        <f>IF(COUNTIF(I86:XFD86,"&gt;"&amp;0)=0,,HLOOKUP(COUNTIF(I86:XFD86,"&gt;"&amp;0)-MIN($F$1+1,COUNTIF(I86:XFD86,"&gt;"&amp;0)),I$1:XFD86,A86+1,FALSE))</f>
        <v>111</v>
      </c>
      <c r="G86" s="8">
        <f>IF(COUNTIF(I86:XFD86,"&gt;"&amp;0)=0,,(E86/F86)^(1/MIN(COUNTIF(I86:XFD86,"&gt;"&amp;0)-1,$F$1)))</f>
        <v>1.2843133326170866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  <c r="M86" s="9">
        <v>302</v>
      </c>
    </row>
    <row r="87" spans="1:25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Moldova</v>
      </c>
      <c r="D87" s="6">
        <f>MAX(I87:JF87)</f>
        <v>298</v>
      </c>
      <c r="E87" s="6">
        <f>IF(COUNTIF(I87:XFD87,"&gt;"&amp;0)=0,,HLOOKUP(COUNTIF(I87:XFD87,"&gt;"&amp;0)-1,I$1:XFD87,A87+1,FALSE))</f>
        <v>298</v>
      </c>
      <c r="F87" s="7">
        <f>IF(COUNTIF(I87:XFD87,"&gt;"&amp;0)=0,,HLOOKUP(COUNTIF(I87:XFD87,"&gt;"&amp;0)-MIN($F$1+1,COUNTIF(I87:XFD87,"&gt;"&amp;0)),I$1:XFD87,A87+1,FALSE))</f>
        <v>149</v>
      </c>
      <c r="G87" s="8">
        <f>IF(COUNTIF(I87:XFD87,"&gt;"&amp;0)=0,,(E87/F87)^(1/MIN(COUNTIF(I87:XFD87,"&gt;"&amp;0)-1,$F$1)))</f>
        <v>1.1486983549970351</v>
      </c>
      <c r="H87" s="13" t="s">
        <v>345</v>
      </c>
      <c r="I87" s="9">
        <v>109</v>
      </c>
      <c r="J87" s="9">
        <v>125</v>
      </c>
      <c r="K87" s="9">
        <v>149</v>
      </c>
      <c r="L87" s="9">
        <v>177</v>
      </c>
      <c r="M87" s="9">
        <v>199</v>
      </c>
      <c r="N87" s="9">
        <v>231</v>
      </c>
      <c r="O87" s="9">
        <v>263</v>
      </c>
      <c r="P87" s="9">
        <v>298</v>
      </c>
    </row>
    <row r="88" spans="1:25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North Macedonia</v>
      </c>
      <c r="D88" s="6">
        <f>MAX(I88:JF88)</f>
        <v>285</v>
      </c>
      <c r="E88" s="6">
        <f>IF(COUNTIF(I88:XFD88,"&gt;"&amp;0)=0,,HLOOKUP(COUNTIF(I88:XFD88,"&gt;"&amp;0)-1,I$1:XFD88,A88+1,FALSE))</f>
        <v>285</v>
      </c>
      <c r="F88" s="7">
        <f>IF(COUNTIF(I88:XFD88,"&gt;"&amp;0)=0,,HLOOKUP(COUNTIF(I88:XFD88,"&gt;"&amp;0)-MIN($F$1+1,COUNTIF(I88:XFD88,"&gt;"&amp;0)),I$1:XFD88,A88+1,FALSE))</f>
        <v>177</v>
      </c>
      <c r="G88" s="8">
        <f>IF(COUNTIF(I88:XFD88,"&gt;"&amp;0)=0,,(E88/F88)^(1/MIN(COUNTIF(I88:XFD88,"&gt;"&amp;0)-1,$F$1)))</f>
        <v>1.099953481691746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</row>
    <row r="89" spans="1:25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Azerbaijan</v>
      </c>
      <c r="D89" s="6">
        <f>MAX(I89:JF89)</f>
        <v>273</v>
      </c>
      <c r="E89" s="6">
        <f>IF(COUNTIF(I89:XFD89,"&gt;"&amp;0)=0,,HLOOKUP(COUNTIF(I89:XFD89,"&gt;"&amp;0)-1,I$1:XFD89,A89+1,FALSE))</f>
        <v>273</v>
      </c>
      <c r="F89" s="7">
        <f>IF(COUNTIF(I89:XFD89,"&gt;"&amp;0)=0,,HLOOKUP(COUNTIF(I89:XFD89,"&gt;"&amp;0)-MIN($F$1+1,COUNTIF(I89:XFD89,"&gt;"&amp;0)),I$1:XFD89,A89+1,FALSE))</f>
        <v>122</v>
      </c>
      <c r="G89" s="8">
        <f>IF(COUNTIF(I89:XFD89,"&gt;"&amp;0)=0,,(E89/F89)^(1/MIN(COUNTIF(I89:XFD89,"&gt;"&amp;0)-1,$F$1)))</f>
        <v>1.2230682831064863</v>
      </c>
      <c r="H89" s="13" t="s">
        <v>104</v>
      </c>
      <c r="I89" s="9">
        <v>122</v>
      </c>
      <c r="J89" s="9">
        <v>165</v>
      </c>
      <c r="K89" s="9">
        <v>182</v>
      </c>
      <c r="L89" s="9">
        <v>209</v>
      </c>
      <c r="M89" s="9">
        <v>273</v>
      </c>
    </row>
    <row r="90" spans="1:25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Jordan</v>
      </c>
      <c r="D90" s="6">
        <f>MAX(I90:JF90)</f>
        <v>268</v>
      </c>
      <c r="E90" s="6">
        <f>IF(COUNTIF(I90:XFD90,"&gt;"&amp;0)=0,,HLOOKUP(COUNTIF(I90:XFD90,"&gt;"&amp;0)-1,I$1:XFD90,A90+1,FALSE))</f>
        <v>268</v>
      </c>
      <c r="F90" s="7">
        <f>IF(COUNTIF(I90:XFD90,"&gt;"&amp;0)=0,,HLOOKUP(COUNTIF(I90:XFD90,"&gt;"&amp;0)-MIN($F$1+1,COUNTIF(I90:XFD90,"&gt;"&amp;0)),I$1:XFD90,A90+1,FALSE))</f>
        <v>172</v>
      </c>
      <c r="G90" s="8">
        <f>IF(COUNTIF(I90:XFD90,"&gt;"&amp;0)=0,,(E90/F90)^(1/MIN(COUNTIF(I90:XFD90,"&gt;"&amp;0)-1,$F$1)))</f>
        <v>1.0927511429932693</v>
      </c>
      <c r="H90" s="13" t="s">
        <v>125</v>
      </c>
      <c r="I90" s="9">
        <v>112</v>
      </c>
      <c r="J90" s="9">
        <v>127</v>
      </c>
      <c r="K90" s="9">
        <v>154</v>
      </c>
      <c r="L90" s="9">
        <v>172</v>
      </c>
      <c r="M90" s="9">
        <v>212</v>
      </c>
      <c r="N90" s="9">
        <v>235</v>
      </c>
      <c r="O90" s="9">
        <v>246</v>
      </c>
      <c r="P90" s="9">
        <v>259</v>
      </c>
      <c r="Q90" s="9">
        <v>268</v>
      </c>
    </row>
    <row r="91" spans="1:25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Kuwait</v>
      </c>
      <c r="D91" s="6">
        <f>MAX(I91:JF91)</f>
        <v>266</v>
      </c>
      <c r="E91" s="6">
        <f>IF(COUNTIF(I91:XFD91,"&gt;"&amp;0)=0,,HLOOKUP(COUNTIF(I91:XFD91,"&gt;"&amp;0)-1,I$1:XFD91,A91+1,FALSE))</f>
        <v>266</v>
      </c>
      <c r="F91" s="7">
        <f>IF(COUNTIF(I91:XFD91,"&gt;"&amp;0)=0,,HLOOKUP(COUNTIF(I91:XFD91,"&gt;"&amp;0)-MIN($F$1+1,COUNTIF(I91:XFD91,"&gt;"&amp;0)),I$1:XFD91,A91+1,FALSE))</f>
        <v>195</v>
      </c>
      <c r="G91" s="8">
        <f>IF(COUNTIF(I91:XFD91,"&gt;"&amp;0)=0,,(E91/F91)^(1/MIN(COUNTIF(I91:XFD91,"&gt;"&amp;0)-1,$F$1)))</f>
        <v>1.0640680546844183</v>
      </c>
      <c r="H91" s="13" t="s">
        <v>74</v>
      </c>
      <c r="I91" s="9">
        <v>104</v>
      </c>
      <c r="J91" s="9">
        <v>112</v>
      </c>
      <c r="K91" s="9">
        <v>123</v>
      </c>
      <c r="L91" s="9">
        <v>130</v>
      </c>
      <c r="M91" s="9">
        <v>142</v>
      </c>
      <c r="N91" s="9">
        <v>148</v>
      </c>
      <c r="O91" s="9">
        <v>159</v>
      </c>
      <c r="P91" s="9">
        <v>176</v>
      </c>
      <c r="Q91" s="9">
        <v>188</v>
      </c>
      <c r="R91" s="9">
        <v>189</v>
      </c>
      <c r="S91" s="9">
        <v>191</v>
      </c>
      <c r="T91" s="9">
        <v>195</v>
      </c>
      <c r="U91" s="9">
        <v>208</v>
      </c>
      <c r="V91" s="9">
        <v>225</v>
      </c>
      <c r="W91" s="9">
        <v>235</v>
      </c>
      <c r="X91" s="9">
        <v>255</v>
      </c>
      <c r="Y91" s="9">
        <v>266</v>
      </c>
    </row>
    <row r="92" spans="1:25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Burkina Faso</v>
      </c>
      <c r="D92" s="6">
        <f>MAX(I92:JF92)</f>
        <v>246</v>
      </c>
      <c r="E92" s="6">
        <f>IF(COUNTIF(I92:XFD92,"&gt;"&amp;0)=0,,HLOOKUP(COUNTIF(I92:XFD92,"&gt;"&amp;0)-1,I$1:XFD92,A92+1,FALSE))</f>
        <v>246</v>
      </c>
      <c r="F92" s="7">
        <f>IF(COUNTIF(I92:XFD92,"&gt;"&amp;0)=0,,HLOOKUP(COUNTIF(I92:XFD92,"&gt;"&amp;0)-MIN($F$1+1,COUNTIF(I92:XFD92,"&gt;"&amp;0)),I$1:XFD92,A92+1,FALSE))</f>
        <v>146</v>
      </c>
      <c r="G92" s="8">
        <f>IF(COUNTIF(I92:XFD92,"&gt;"&amp;0)=0,,(E92/F92)^(1/MIN(COUNTIF(I92:XFD92,"&gt;"&amp;0)-1,$F$1)))</f>
        <v>1.1099833140732402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  <c r="M92" s="9">
        <v>207</v>
      </c>
      <c r="N92" s="9">
        <v>222</v>
      </c>
      <c r="O92" s="9">
        <v>246</v>
      </c>
    </row>
    <row r="93" spans="1:25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San Marino</v>
      </c>
      <c r="D93" s="6">
        <f>MAX(I93:JF93)</f>
        <v>230</v>
      </c>
      <c r="E93" s="6">
        <f>IF(COUNTIF(I93:XFD93,"&gt;"&amp;0)=0,,HLOOKUP(COUNTIF(I93:XFD93,"&gt;"&amp;0)-1,I$1:XFD93,A93+1,FALSE))</f>
        <v>230</v>
      </c>
      <c r="F93" s="7">
        <f>IF(COUNTIF(I93:XFD93,"&gt;"&amp;0)=0,,HLOOKUP(COUNTIF(I93:XFD93,"&gt;"&amp;0)-MIN($F$1+1,COUNTIF(I93:XFD93,"&gt;"&amp;0)),I$1:XFD93,A93+1,FALSE))</f>
        <v>208</v>
      </c>
      <c r="G93" s="8">
        <f>IF(COUNTIF(I93:XFD93,"&gt;"&amp;0)=0,,(E93/F93)^(1/MIN(COUNTIF(I93:XFD93,"&gt;"&amp;0)-1,$F$1)))</f>
        <v>1.0203117785593883</v>
      </c>
      <c r="H93" s="13" t="s">
        <v>90</v>
      </c>
      <c r="I93" s="9">
        <v>101</v>
      </c>
      <c r="J93" s="9">
        <v>109</v>
      </c>
      <c r="K93" s="9">
        <v>109</v>
      </c>
      <c r="L93" s="9">
        <v>119</v>
      </c>
      <c r="M93" s="9">
        <v>119</v>
      </c>
      <c r="N93" s="9">
        <v>144</v>
      </c>
      <c r="O93" s="9">
        <v>144</v>
      </c>
      <c r="P93" s="9">
        <v>175</v>
      </c>
      <c r="Q93" s="9">
        <v>187</v>
      </c>
      <c r="R93" s="9">
        <v>187</v>
      </c>
      <c r="S93" s="9">
        <v>208</v>
      </c>
      <c r="T93" s="9">
        <v>208</v>
      </c>
      <c r="U93" s="9">
        <v>223</v>
      </c>
      <c r="V93" s="9">
        <v>224</v>
      </c>
      <c r="W93" s="9">
        <v>224</v>
      </c>
      <c r="X93" s="9">
        <v>230</v>
      </c>
    </row>
    <row r="94" spans="1:25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Cyprus</v>
      </c>
      <c r="D94" s="6">
        <f>MAX(I94:JF94)</f>
        <v>230</v>
      </c>
      <c r="E94" s="6">
        <f>IF(COUNTIF(I94:XFD94,"&gt;"&amp;0)=0,,HLOOKUP(COUNTIF(I94:XFD94,"&gt;"&amp;0)-1,I$1:XFD94,A94+1,FALSE))</f>
        <v>230</v>
      </c>
      <c r="F94" s="7">
        <f>IF(COUNTIF(I94:XFD94,"&gt;"&amp;0)=0,,HLOOKUP(COUNTIF(I94:XFD94,"&gt;"&amp;0)-MIN($F$1+1,COUNTIF(I94:XFD94,"&gt;"&amp;0)),I$1:XFD94,A94+1,FALSE))</f>
        <v>132</v>
      </c>
      <c r="G94" s="8">
        <f>IF(COUNTIF(I94:XFD94,"&gt;"&amp;0)=0,,(E94/F94)^(1/MIN(COUNTIF(I94:XFD94,"&gt;"&amp;0)-1,$F$1)))</f>
        <v>1.1174568985900082</v>
      </c>
      <c r="H94" s="13" t="s">
        <v>231</v>
      </c>
      <c r="I94" s="9">
        <v>116</v>
      </c>
      <c r="J94" s="9">
        <v>124</v>
      </c>
      <c r="K94" s="9">
        <v>132</v>
      </c>
      <c r="L94" s="9">
        <v>146</v>
      </c>
      <c r="M94" s="9">
        <v>162</v>
      </c>
      <c r="N94" s="9">
        <v>179</v>
      </c>
      <c r="O94" s="9">
        <v>214</v>
      </c>
      <c r="P94" s="9">
        <v>230</v>
      </c>
    </row>
    <row r="95" spans="1:25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Albania</v>
      </c>
      <c r="D95" s="6">
        <f>MAX(I95:JF95)</f>
        <v>223</v>
      </c>
      <c r="E95" s="6">
        <f>IF(COUNTIF(I95:XFD95,"&gt;"&amp;0)=0,,HLOOKUP(COUNTIF(I95:XFD95,"&gt;"&amp;0)-1,I$1:XFD95,A95+1,FALSE))</f>
        <v>223</v>
      </c>
      <c r="F95" s="7">
        <f>IF(COUNTIF(I95:XFD95,"&gt;"&amp;0)=0,,HLOOKUP(COUNTIF(I95:XFD95,"&gt;"&amp;0)-MIN($F$1+1,COUNTIF(I95:XFD95,"&gt;"&amp;0)),I$1:XFD95,A95+1,FALSE))</f>
        <v>146</v>
      </c>
      <c r="G95" s="8">
        <f>IF(COUNTIF(I95:XFD95,"&gt;"&amp;0)=0,,(E95/F95)^(1/MIN(COUNTIF(I95:XFD95,"&gt;"&amp;0)-1,$F$1)))</f>
        <v>1.0884046823323428</v>
      </c>
      <c r="H95" s="13" t="s">
        <v>230</v>
      </c>
      <c r="I95" s="9">
        <v>104</v>
      </c>
      <c r="J95" s="9">
        <v>123</v>
      </c>
      <c r="K95" s="9">
        <v>146</v>
      </c>
      <c r="L95" s="9">
        <v>174</v>
      </c>
      <c r="M95" s="9">
        <v>186</v>
      </c>
      <c r="N95" s="9">
        <v>197</v>
      </c>
      <c r="O95" s="9">
        <v>212</v>
      </c>
      <c r="P95" s="9">
        <v>223</v>
      </c>
    </row>
    <row r="96" spans="1:25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Vietnam</v>
      </c>
      <c r="D96" s="6">
        <f>MAX(I96:JF96)</f>
        <v>203</v>
      </c>
      <c r="E96" s="6">
        <f>IF(COUNTIF(I96:XFD96,"&gt;"&amp;0)=0,,HLOOKUP(COUNTIF(I96:XFD96,"&gt;"&amp;0)-1,I$1:XFD96,A96+1,FALSE))</f>
        <v>203</v>
      </c>
      <c r="F96" s="7">
        <f>IF(COUNTIF(I96:XFD96,"&gt;"&amp;0)=0,,HLOOKUP(COUNTIF(I96:XFD96,"&gt;"&amp;0)-MIN($F$1+1,COUNTIF(I96:XFD96,"&gt;"&amp;0)),I$1:XFD96,A96+1,FALSE))</f>
        <v>141</v>
      </c>
      <c r="G96" s="8">
        <f>IF(COUNTIF(I96:XFD96,"&gt;"&amp;0)=0,,(E96/F96)^(1/MIN(COUNTIF(I96:XFD96,"&gt;"&amp;0)-1,$F$1)))</f>
        <v>1.075611371647667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  <c r="Q96" s="9">
        <v>203</v>
      </c>
    </row>
    <row r="97" spans="1:16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Oman</v>
      </c>
      <c r="D97" s="6">
        <f>MAX(I97:JF97)</f>
        <v>179</v>
      </c>
      <c r="E97" s="6">
        <f>IF(COUNTIF(I97:XFD97,"&gt;"&amp;0)=0,,HLOOKUP(COUNTIF(I97:XFD97,"&gt;"&amp;0)-1,I$1:XFD97,A97+1,FALSE))</f>
        <v>179</v>
      </c>
      <c r="F97" s="7">
        <f>IF(COUNTIF(I97:XFD97,"&gt;"&amp;0)=0,,HLOOKUP(COUNTIF(I97:XFD97,"&gt;"&amp;0)-MIN($F$1+1,COUNTIF(I97:XFD97,"&gt;"&amp;0)),I$1:XFD97,A97+1,FALSE))</f>
        <v>109</v>
      </c>
      <c r="G97" s="8">
        <f>IF(COUNTIF(I97:XFD97,"&gt;"&amp;0)=0,,(E97/F97)^(1/MIN(COUNTIF(I97:XFD97,"&gt;"&amp;0)-1,$F$1)))</f>
        <v>1.1320266035826096</v>
      </c>
      <c r="H97" s="13" t="s">
        <v>71</v>
      </c>
      <c r="I97" s="9">
        <v>109</v>
      </c>
      <c r="J97" s="9">
        <v>131</v>
      </c>
      <c r="K97" s="9">
        <v>152</v>
      </c>
      <c r="L97" s="9">
        <v>167</v>
      </c>
      <c r="M97" s="9">
        <v>179</v>
      </c>
    </row>
    <row r="98" spans="1:16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Afghanistan</v>
      </c>
      <c r="D98" s="6">
        <f>MAX(I98:JF98)</f>
        <v>170</v>
      </c>
      <c r="E98" s="6">
        <f>IF(COUNTIF(I98:XFD98,"&gt;"&amp;0)=0,,HLOOKUP(COUNTIF(I98:XFD98,"&gt;"&amp;0)-1,I$1:XFD98,A98+1,FALSE))</f>
        <v>170</v>
      </c>
      <c r="F98" s="7">
        <f>IF(COUNTIF(I98:XFD98,"&gt;"&amp;0)=0,,HLOOKUP(COUNTIF(I98:XFD98,"&gt;"&amp;0)-MIN($F$1+1,COUNTIF(I98:XFD98,"&gt;"&amp;0)),I$1:XFD98,A98+1,FALSE))</f>
        <v>110</v>
      </c>
      <c r="G98" s="8">
        <f>IF(COUNTIF(I98:XFD98,"&gt;"&amp;0)=0,,(E98/F98)^(1/MIN(COUNTIF(I98:XFD98,"&gt;"&amp;0)-1,$F$1)))</f>
        <v>1.1561621444192041</v>
      </c>
      <c r="H98" s="13" t="s">
        <v>72</v>
      </c>
      <c r="I98" s="9">
        <v>110</v>
      </c>
      <c r="J98" s="9">
        <v>110</v>
      </c>
      <c r="K98" s="9">
        <v>120</v>
      </c>
      <c r="L98" s="9">
        <v>170</v>
      </c>
    </row>
    <row r="99" spans="1:16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Cuba</v>
      </c>
      <c r="D99" s="6">
        <f>MAX(I99:JF99)</f>
        <v>170</v>
      </c>
      <c r="E99" s="6">
        <f>IF(COUNTIF(I99:XFD99,"&gt;"&amp;0)=0,,HLOOKUP(COUNTIF(I99:XFD99,"&gt;"&amp;0)-1,I$1:XFD99,A99+1,FALSE))</f>
        <v>170</v>
      </c>
      <c r="F99" s="7">
        <f>IF(COUNTIF(I99:XFD99,"&gt;"&amp;0)=0,,HLOOKUP(COUNTIF(I99:XFD99,"&gt;"&amp;0)-MIN($F$1+1,COUNTIF(I99:XFD99,"&gt;"&amp;0)),I$1:XFD99,A99+1,FALSE))</f>
        <v>119</v>
      </c>
      <c r="G99" s="8">
        <f>IF(COUNTIF(I99:XFD99,"&gt;"&amp;0)=0,,(E99/F99)^(1/MIN(COUNTIF(I99:XFD99,"&gt;"&amp;0)-1,$F$1)))</f>
        <v>1.1952286093343936</v>
      </c>
      <c r="H99" s="13" t="s">
        <v>410</v>
      </c>
      <c r="I99" s="9">
        <v>119</v>
      </c>
      <c r="J99" s="9">
        <v>139</v>
      </c>
      <c r="K99" s="9">
        <v>170</v>
      </c>
    </row>
    <row r="100" spans="1:16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Cote d'Ivoire</v>
      </c>
      <c r="D100" s="6">
        <f>MAX(I100:JF100)</f>
        <v>168</v>
      </c>
      <c r="E100" s="6">
        <f>IF(COUNTIF(I100:XFD100,"&gt;"&amp;0)=0,,HLOOKUP(COUNTIF(I100:XFD100,"&gt;"&amp;0)-1,I$1:XFD100,A100+1,FALSE))</f>
        <v>168</v>
      </c>
      <c r="F100" s="7">
        <f>IF(COUNTIF(I100:XFD100,"&gt;"&amp;0)=0,,HLOOKUP(COUNTIF(I100:XFD100,"&gt;"&amp;0)-MIN($F$1+1,COUNTIF(I100:XFD100,"&gt;"&amp;0)),I$1:XFD100,A100+1,FALSE))</f>
        <v>101</v>
      </c>
      <c r="G100" s="8">
        <f>IF(COUNTIF(I100:XFD100,"&gt;"&amp;0)=0,,(E100/F100)^(1/MIN(COUNTIF(I100:XFD100,"&gt;"&amp;0)-1,$F$1)))</f>
        <v>1.1848479895769768</v>
      </c>
      <c r="H100" s="13" t="s">
        <v>352</v>
      </c>
      <c r="I100" s="9">
        <v>101</v>
      </c>
      <c r="J100" s="9">
        <v>101</v>
      </c>
      <c r="K100" s="9">
        <v>165</v>
      </c>
      <c r="L100" s="9">
        <v>168</v>
      </c>
    </row>
    <row r="101" spans="1:16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Senegal</v>
      </c>
      <c r="D101" s="6">
        <f>MAX(I101:JF101)</f>
        <v>162</v>
      </c>
      <c r="E101" s="6">
        <f>IF(COUNTIF(I101:XFD101,"&gt;"&amp;0)=0,,HLOOKUP(COUNTIF(I101:XFD101,"&gt;"&amp;0)-1,I$1:XFD101,A101+1,FALSE))</f>
        <v>162</v>
      </c>
      <c r="F101" s="7">
        <f>IF(COUNTIF(I101:XFD101,"&gt;"&amp;0)=0,,HLOOKUP(COUNTIF(I101:XFD101,"&gt;"&amp;0)-MIN($F$1+1,COUNTIF(I101:XFD101,"&gt;"&amp;0)),I$1:XFD101,A101+1,FALSE))</f>
        <v>105</v>
      </c>
      <c r="G101" s="8">
        <f>IF(COUNTIF(I101:XFD101,"&gt;"&amp;0)=0,,(E101/F101)^(1/MIN(COUNTIF(I101:XFD101,"&gt;"&amp;0)-1,$F$1)))</f>
        <v>1.114503479948016</v>
      </c>
      <c r="H101" s="13" t="s">
        <v>114</v>
      </c>
      <c r="I101" s="9">
        <v>105</v>
      </c>
      <c r="J101" s="9">
        <v>119</v>
      </c>
      <c r="K101" s="9">
        <v>130</v>
      </c>
      <c r="L101" s="9">
        <v>142</v>
      </c>
      <c r="M101" s="9">
        <v>162</v>
      </c>
    </row>
    <row r="102" spans="1:16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Malta</v>
      </c>
      <c r="D102" s="6">
        <f>MAX(I102:JF102)</f>
        <v>156</v>
      </c>
      <c r="E102" s="6">
        <f>IF(COUNTIF(I102:XFD102,"&gt;"&amp;0)=0,,HLOOKUP(COUNTIF(I102:XFD102,"&gt;"&amp;0)-1,I$1:XFD102,A102+1,FALSE))</f>
        <v>156</v>
      </c>
      <c r="F102" s="7">
        <f>IF(COUNTIF(I102:XFD102,"&gt;"&amp;0)=0,,HLOOKUP(COUNTIF(I102:XFD102,"&gt;"&amp;0)-MIN($F$1+1,COUNTIF(I102:XFD102,"&gt;"&amp;0)),I$1:XFD102,A102+1,FALSE))</f>
        <v>129</v>
      </c>
      <c r="G102" s="8">
        <f>IF(COUNTIF(I102:XFD102,"&gt;"&amp;0)=0,,(E102/F102)^(1/MIN(COUNTIF(I102:XFD102,"&gt;"&amp;0)-1,$F$1)))</f>
        <v>1.0387402912542887</v>
      </c>
      <c r="H102" s="13" t="s">
        <v>177</v>
      </c>
      <c r="I102" s="9">
        <v>107</v>
      </c>
      <c r="J102" s="9">
        <v>110</v>
      </c>
      <c r="K102" s="9">
        <v>129</v>
      </c>
      <c r="L102" s="9">
        <v>134</v>
      </c>
      <c r="M102" s="9">
        <v>139</v>
      </c>
      <c r="N102" s="9">
        <v>149</v>
      </c>
      <c r="O102" s="9">
        <v>151</v>
      </c>
      <c r="P102" s="9">
        <v>156</v>
      </c>
    </row>
    <row r="103" spans="1:16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Belarus</v>
      </c>
      <c r="D103" s="6">
        <f>MAX(I103:JF103)</f>
        <v>152</v>
      </c>
      <c r="E103" s="6">
        <f>IF(COUNTIF(I103:XFD103,"&gt;"&amp;0)=0,,HLOOKUP(COUNTIF(I103:XFD103,"&gt;"&amp;0)-1,I$1:XFD103,A103+1,FALSE))</f>
        <v>152</v>
      </c>
      <c r="F103" s="7">
        <f>IF(COUNTIF(I103:XFD103,"&gt;"&amp;0)=0,,HLOOKUP(COUNTIF(I103:XFD103,"&gt;"&amp;0)-MIN($F$1+1,COUNTIF(I103:XFD103,"&gt;"&amp;0)),I$1:XFD103,A103+1,FALSE))</f>
        <v>152</v>
      </c>
      <c r="G103" s="8" t="e">
        <f>IF(COUNTIF(I103:XFD103,"&gt;"&amp;0)=0,,(E103/F103)^(1/MIN(COUNTIF(I103:XFD103,"&gt;"&amp;0)-1,$F$1)))</f>
        <v>#DIV/0!</v>
      </c>
      <c r="H103" s="13" t="s">
        <v>91</v>
      </c>
      <c r="I103" s="9">
        <v>152</v>
      </c>
    </row>
    <row r="104" spans="1:16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>Cameroon</v>
      </c>
      <c r="D104" s="6">
        <f>MAX(I104:JF104)</f>
        <v>139</v>
      </c>
      <c r="E104" s="6">
        <f>IF(COUNTIF(I104:XFD104,"&gt;"&amp;0)=0,,HLOOKUP(COUNTIF(I104:XFD104,"&gt;"&amp;0)-1,I$1:XFD104,A104+1,FALSE))</f>
        <v>139</v>
      </c>
      <c r="F104" s="7">
        <f>IF(COUNTIF(I104:XFD104,"&gt;"&amp;0)=0,,HLOOKUP(COUNTIF(I104:XFD104,"&gt;"&amp;0)-MIN($F$1+1,COUNTIF(I104:XFD104,"&gt;"&amp;0)),I$1:XFD104,A104+1,FALSE))</f>
        <v>139</v>
      </c>
      <c r="G104" s="8">
        <f>IF(COUNTIF(I104:XFD104,"&gt;"&amp;0)=0,,(E104/F104)^(1/MIN(COUNTIF(I104:XFD104,"&gt;"&amp;0)-1,$F$1)))</f>
        <v>1</v>
      </c>
      <c r="H104" s="13" t="s">
        <v>157</v>
      </c>
      <c r="I104" s="9">
        <v>139</v>
      </c>
      <c r="J104" s="9">
        <v>139</v>
      </c>
    </row>
    <row r="105" spans="1:16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>Honduras</v>
      </c>
      <c r="D105" s="6">
        <f>MAX(I105:JF105)</f>
        <v>139</v>
      </c>
      <c r="E105" s="6">
        <f>IF(COUNTIF(I105:XFD105,"&gt;"&amp;0)=0,,HLOOKUP(COUNTIF(I105:XFD105,"&gt;"&amp;0)-1,I$1:XFD105,A105+1,FALSE))</f>
        <v>139</v>
      </c>
      <c r="F105" s="7">
        <f>IF(COUNTIF(I105:XFD105,"&gt;"&amp;0)=0,,HLOOKUP(COUNTIF(I105:XFD105,"&gt;"&amp;0)-MIN($F$1+1,COUNTIF(I105:XFD105,"&gt;"&amp;0)),I$1:XFD105,A105+1,FALSE))</f>
        <v>110</v>
      </c>
      <c r="G105" s="8">
        <f>IF(COUNTIF(I105:XFD105,"&gt;"&amp;0)=0,,(E105/F105)^(1/MIN(COUNTIF(I105:XFD105,"&gt;"&amp;0)-1,$F$1)))</f>
        <v>1.2636363636363637</v>
      </c>
      <c r="H105" s="13" t="s">
        <v>348</v>
      </c>
      <c r="I105" s="9">
        <v>110</v>
      </c>
      <c r="J105" s="9">
        <v>139</v>
      </c>
    </row>
    <row r="106" spans="1:16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>Nigeria</v>
      </c>
      <c r="D106" s="6">
        <f>MAX(I106:JF106)</f>
        <v>131</v>
      </c>
      <c r="E106" s="6">
        <f>IF(COUNTIF(I106:XFD106,"&gt;"&amp;0)=0,,HLOOKUP(COUNTIF(I106:XFD106,"&gt;"&amp;0)-1,I$1:XFD106,A106+1,FALSE))</f>
        <v>131</v>
      </c>
      <c r="F106" s="7">
        <f>IF(COUNTIF(I106:XFD106,"&gt;"&amp;0)=0,,HLOOKUP(COUNTIF(I106:XFD106,"&gt;"&amp;0)-MIN($F$1+1,COUNTIF(I106:XFD106,"&gt;"&amp;0)),I$1:XFD106,A106+1,FALSE))</f>
        <v>111</v>
      </c>
      <c r="G106" s="8">
        <f>IF(COUNTIF(I106:XFD106,"&gt;"&amp;0)=0,,(E106/F106)^(1/MIN(COUNTIF(I106:XFD106,"&gt;"&amp;0)-1,$F$1)))</f>
        <v>1.1801801801801801</v>
      </c>
      <c r="H106" s="13" t="s">
        <v>96</v>
      </c>
      <c r="I106" s="9">
        <v>111</v>
      </c>
      <c r="J106" s="9">
        <v>131</v>
      </c>
    </row>
    <row r="107" spans="1:16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>Brunei</v>
      </c>
      <c r="D107" s="6">
        <f>MAX(I107:JF107)</f>
        <v>127</v>
      </c>
      <c r="E107" s="6">
        <f>IF(COUNTIF(I107:XFD107,"&gt;"&amp;0)=0,,HLOOKUP(COUNTIF(I107:XFD107,"&gt;"&amp;0)-1,I$1:XFD107,A107+1,FALSE))</f>
        <v>127</v>
      </c>
      <c r="F107" s="7">
        <f>IF(COUNTIF(I107:XFD107,"&gt;"&amp;0)=0,,HLOOKUP(COUNTIF(I107:XFD107,"&gt;"&amp;0)-MIN($F$1+1,COUNTIF(I107:XFD107,"&gt;"&amp;0)),I$1:XFD107,A107+1,FALSE))</f>
        <v>109</v>
      </c>
      <c r="G107" s="8">
        <f>IF(COUNTIF(I107:XFD107,"&gt;"&amp;0)=0,,(E107/F107)^(1/MIN(COUNTIF(I107:XFD107,"&gt;"&amp;0)-1,$F$1)))</f>
        <v>1.0310398342907199</v>
      </c>
      <c r="H107" s="13" t="s">
        <v>233</v>
      </c>
      <c r="I107" s="9">
        <v>104</v>
      </c>
      <c r="J107" s="9">
        <v>109</v>
      </c>
      <c r="K107" s="9">
        <v>114</v>
      </c>
      <c r="L107" s="9">
        <v>115</v>
      </c>
      <c r="M107" s="9">
        <v>120</v>
      </c>
      <c r="N107" s="9">
        <v>126</v>
      </c>
      <c r="O107" s="9">
        <v>127</v>
      </c>
    </row>
    <row r="108" spans="1:16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>Sri Lanka</v>
      </c>
      <c r="D108" s="6">
        <f>MAX(I108:JF108)</f>
        <v>122</v>
      </c>
      <c r="E108" s="6">
        <f>IF(COUNTIF(I108:XFD108,"&gt;"&amp;0)=0,,HLOOKUP(COUNTIF(I108:XFD108,"&gt;"&amp;0)-1,I$1:XFD108,A108+1,FALSE))</f>
        <v>122</v>
      </c>
      <c r="F108" s="7">
        <f>IF(COUNTIF(I108:XFD108,"&gt;"&amp;0)=0,,HLOOKUP(COUNTIF(I108:XFD108,"&gt;"&amp;0)-MIN($F$1+1,COUNTIF(I108:XFD108,"&gt;"&amp;0)),I$1:XFD108,A108+1,FALSE))</f>
        <v>102</v>
      </c>
      <c r="G108" s="8">
        <f>IF(COUNTIF(I108:XFD108,"&gt;"&amp;0)=0,,(E108/F108)^(1/MIN(COUNTIF(I108:XFD108,"&gt;"&amp;0)-1,$F$1)))</f>
        <v>1.0364585339845203</v>
      </c>
      <c r="H108" s="13" t="s">
        <v>52</v>
      </c>
      <c r="I108" s="9">
        <v>102</v>
      </c>
      <c r="J108" s="9">
        <v>102</v>
      </c>
      <c r="K108" s="9">
        <v>106</v>
      </c>
      <c r="L108" s="9">
        <v>106</v>
      </c>
      <c r="M108" s="9">
        <v>113</v>
      </c>
      <c r="N108" s="9">
        <v>117</v>
      </c>
      <c r="O108" s="9">
        <v>122</v>
      </c>
    </row>
    <row r="109" spans="1:16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>Cambodia</v>
      </c>
      <c r="D109" s="6">
        <f>MAX(I109:JF109)</f>
        <v>107</v>
      </c>
      <c r="E109" s="6">
        <f>IF(COUNTIF(I109:XFD109,"&gt;"&amp;0)=0,,HLOOKUP(COUNTIF(I109:XFD109,"&gt;"&amp;0)-1,I$1:XFD109,A109+1,FALSE))</f>
        <v>107</v>
      </c>
      <c r="F109" s="7">
        <f>IF(COUNTIF(I109:XFD109,"&gt;"&amp;0)=0,,HLOOKUP(COUNTIF(I109:XFD109,"&gt;"&amp;0)-MIN($F$1+1,COUNTIF(I109:XFD109,"&gt;"&amp;0)),I$1:XFD109,A109+1,FALSE))</f>
        <v>103</v>
      </c>
      <c r="G109" s="8">
        <f>IF(COUNTIF(I109:XFD109,"&gt;"&amp;0)=0,,(E109/F109)^(1/MIN(COUNTIF(I109:XFD109,"&gt;"&amp;0)-1,$F$1)))</f>
        <v>1.0388349514563107</v>
      </c>
      <c r="H109" s="13" t="s">
        <v>51</v>
      </c>
      <c r="I109" s="9">
        <v>103</v>
      </c>
      <c r="J109" s="9">
        <v>107</v>
      </c>
    </row>
    <row r="110" spans="1:16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>Georgia</v>
      </c>
      <c r="D110" s="6">
        <f>MAX(I110:JF110)</f>
        <v>103</v>
      </c>
      <c r="E110" s="6">
        <f>IF(COUNTIF(I110:XFD110,"&gt;"&amp;0)=0,,HLOOKUP(COUNTIF(I110:XFD110,"&gt;"&amp;0)-1,I$1:XFD110,A110+1,FALSE))</f>
        <v>103</v>
      </c>
      <c r="F110" s="7">
        <f>IF(COUNTIF(I110:XFD110,"&gt;"&amp;0)=0,,HLOOKUP(COUNTIF(I110:XFD110,"&gt;"&amp;0)-MIN($F$1+1,COUNTIF(I110:XFD110,"&gt;"&amp;0)),I$1:XFD110,A110+1,FALSE))</f>
        <v>103</v>
      </c>
      <c r="G110" s="8" t="e">
        <f>IF(COUNTIF(I110:XFD110,"&gt;"&amp;0)=0,,(E110/F110)^(1/MIN(COUNTIF(I110:XFD110,"&gt;"&amp;0)-1,$F$1)))</f>
        <v>#DIV/0!</v>
      </c>
      <c r="H110" s="13" t="s">
        <v>82</v>
      </c>
      <c r="I110" s="9">
        <v>103</v>
      </c>
    </row>
    <row r="111" spans="1:16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MAX(I111:JF111)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16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MAX(I112:JF112)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MAX(I113:JF113)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621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11591</v>
      </c>
      <c r="E5" s="6">
        <f>IF(COUNTIF(I5:XFD5,"&gt;"&amp;0)=0,,HLOOKUP(COUNTIF(I5:XFD5,"&gt;"&amp;0)-1,I$1:XFD5,A5+1,FALSE))</f>
        <v>11591</v>
      </c>
      <c r="F5" s="7">
        <f>IF(COUNTIF(I5:XFD5,"&gt;"&amp;0)=0,,HLOOKUP(COUNTIF(I5:XFD5,"&gt;"&amp;0)-MIN($F$1+1,COUNTIF(I5:XFD5,"&gt;"&amp;0)),I$1:XFD5,A5+1,FALSE))</f>
        <v>7503</v>
      </c>
      <c r="G5" s="8">
        <f>IF(COUNTIF(I5:XFD5,"&gt;"&amp;0)=0,,(E5/F5)^(1/MIN(COUNTIF(I5:XFD5,"&gt;"&amp;0)-1,$F$1)))</f>
        <v>1.0908805333326737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7716</v>
      </c>
      <c r="E6" s="6">
        <f>IF(COUNTIF(I6:XFD6,"&gt;"&amp;0)=0,,HLOOKUP(COUNTIF(I6:XFD6,"&gt;"&amp;0)-1,I$1:XFD6,A6+1,FALSE))</f>
        <v>7716</v>
      </c>
      <c r="F6" s="7">
        <f>IF(COUNTIF(I6:XFD6,"&gt;"&amp;0)=0,,HLOOKUP(COUNTIF(I6:XFD6,"&gt;"&amp;0)-MIN($F$1+1,COUNTIF(I6:XFD6,"&gt;"&amp;0)),I$1:XFD6,A6+1,FALSE))</f>
        <v>3647</v>
      </c>
      <c r="G6" s="8">
        <f>IF(COUNTIF(I6:XFD6,"&gt;"&amp;0)=0,,(E6/F6)^(1/MIN(COUNTIF(I6:XFD6,"&gt;"&amp;0)-1,$F$1)))</f>
        <v>1.1616927825035723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MAX(I7:BD7)</f>
        <v>3123</v>
      </c>
      <c r="E7" s="6">
        <f>IF(COUNTIF(I7:XFD7,"&gt;"&amp;0)=0,,HLOOKUP(COUNTIF(I7:XFD7,"&gt;"&amp;0)-1,I$1:XFD7,A7+1,FALSE))</f>
        <v>3308</v>
      </c>
      <c r="F7" s="7">
        <f>IF(COUNTIF(I7:XFD7,"&gt;"&amp;0)=0,,HLOOKUP(COUNTIF(I7:XFD7,"&gt;"&amp;0)-MIN($F$1+1,COUNTIF(I7:XFD7,"&gt;"&amp;0)),I$1:XFD7,A7+1,FALSE))</f>
        <v>3285</v>
      </c>
      <c r="G7" s="8">
        <f>IF(COUNTIF(I7:XFD7,"&gt;"&amp;0)=0,,(E7/F7)^(1/MIN(COUNTIF(I7:XFD7,"&gt;"&amp;0)-1,$F$1)))</f>
        <v>1.0013963991035248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  <c r="BV7" s="9">
        <v>3296</v>
      </c>
      <c r="BW7" s="9">
        <v>3299</v>
      </c>
      <c r="BX7" s="9">
        <v>3304</v>
      </c>
      <c r="BY7" s="9">
        <v>3308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3030</v>
      </c>
      <c r="E8" s="6">
        <f>IF(COUNTIF(I8:XFD8,"&gt;"&amp;0)=0,,HLOOKUP(COUNTIF(I8:XFD8,"&gt;"&amp;0)-1,I$1:XFD8,A8+1,FALSE))</f>
        <v>3030</v>
      </c>
      <c r="F8" s="7">
        <f>IF(COUNTIF(I8:XFD8,"&gt;"&amp;0)=0,,HLOOKUP(COUNTIF(I8:XFD8,"&gt;"&amp;0)-MIN($F$1+1,COUNTIF(I8:XFD8,"&gt;"&amp;0)),I$1:XFD8,A8+1,FALSE))</f>
        <v>1333</v>
      </c>
      <c r="G8" s="8">
        <f>IF(COUNTIF(I8:XFD8,"&gt;"&amp;0)=0,,(E8/F8)^(1/MIN(COUNTIF(I8:XFD8,"&gt;"&amp;0)-1,$F$1)))</f>
        <v>1.178480757928337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2978</v>
      </c>
      <c r="E9" s="6">
        <f>IF(COUNTIF(I9:XFD9,"&gt;"&amp;0)=0,,HLOOKUP(COUNTIF(I9:XFD9,"&gt;"&amp;0)-1,I$1:XFD9,A9+1,FALSE))</f>
        <v>2978</v>
      </c>
      <c r="F9" s="7">
        <f>IF(COUNTIF(I9:XFD9,"&gt;"&amp;0)=0,,HLOOKUP(COUNTIF(I9:XFD9,"&gt;"&amp;0)-MIN($F$1+1,COUNTIF(I9:XFD9,"&gt;"&amp;0)),I$1:XFD9,A9+1,FALSE))</f>
        <v>942</v>
      </c>
      <c r="G9" s="8">
        <f>IF(COUNTIF(I9:XFD9,"&gt;"&amp;0)=0,,(E9/F9)^(1/MIN(COUNTIF(I9:XFD9,"&gt;"&amp;0)-1,$F$1)))</f>
        <v>1.2588522432042568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  <c r="AG9" s="9">
        <v>2026</v>
      </c>
      <c r="AH9" s="9">
        <v>2467</v>
      </c>
      <c r="AI9" s="9">
        <v>2978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1411</v>
      </c>
      <c r="E10" s="6">
        <f>IF(COUNTIF(I10:XFD10,"&gt;"&amp;0)=0,,HLOOKUP(COUNTIF(I10:XFD10,"&gt;"&amp;0)-1,I$1:XFD10,A10+1,FALSE))</f>
        <v>1411</v>
      </c>
      <c r="F10" s="7">
        <f>IF(COUNTIF(I10:XFD10,"&gt;"&amp;0)=0,,HLOOKUP(COUNTIF(I10:XFD10,"&gt;"&amp;0)-MIN($F$1+1,COUNTIF(I10:XFD10,"&gt;"&amp;0)),I$1:XFD10,A10+1,FALSE))</f>
        <v>466</v>
      </c>
      <c r="G10" s="8">
        <f>IF(COUNTIF(I10:XFD10,"&gt;"&amp;0)=0,,(E10/F10)^(1/MIN(COUNTIF(I10:XFD10,"&gt;"&amp;0)-1,$F$1)))</f>
        <v>1.2480391798255455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645</v>
      </c>
      <c r="E11" s="6">
        <f>IF(COUNTIF(I11:XFD11,"&gt;"&amp;0)=0,,HLOOKUP(COUNTIF(I11:XFD11,"&gt;"&amp;0)-1,I$1:XFD11,A11+1,FALSE))</f>
        <v>645</v>
      </c>
      <c r="F11" s="7">
        <f>IF(COUNTIF(I11:XFD11,"&gt;"&amp;0)=0,,HLOOKUP(COUNTIF(I11:XFD11,"&gt;"&amp;0)-MIN($F$1+1,COUNTIF(I11:XFD11,"&gt;"&amp;0)),I$1:XFD11,A11+1,FALSE))</f>
        <v>206</v>
      </c>
      <c r="G11" s="8">
        <f>IF(COUNTIF(I11:XFD11,"&gt;"&amp;0)=0,,(E11/F11)^(1/MIN(COUNTIF(I11:XFD11,"&gt;"&amp;0)-1,$F$1)))</f>
        <v>1.2564305823026849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27207</v>
      </c>
      <c r="E12" s="6">
        <f>IF(COUNTIF(I12:XFD12,"&gt;"&amp;0)=0,,HLOOKUP(COUNTIF(I12:XFD12,"&gt;"&amp;0)-1,I$1:XFD12,A12+1,FALSE))</f>
        <v>27207</v>
      </c>
      <c r="F12" s="7">
        <f>IF(COUNTIF(I12:XFD12,"&gt;"&amp;0)=0,,HLOOKUP(COUNTIF(I12:XFD12,"&gt;"&amp;0)-MIN($F$1+1,COUNTIF(I12:XFD12,"&gt;"&amp;0)),I$1:XFD12,A12+1,FALSE))</f>
        <v>14236</v>
      </c>
      <c r="G12" s="8">
        <f>IF(COUNTIF(I12:XFD12,"&gt;"&amp;0)=0,,(E12/F12)^(1/MIN(COUNTIF(I12:XFD12,"&gt;"&amp;0)-1,$F$1)))</f>
        <v>1.1383047168382179</v>
      </c>
      <c r="H12" s="13" t="s">
        <v>608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World</v>
      </c>
      <c r="D13" s="6">
        <f>MAX(I13:BD13)</f>
        <v>3982</v>
      </c>
      <c r="E13" s="6">
        <f>IF(COUNTIF(I13:XFD13,"&gt;"&amp;0)=0,,HLOOKUP(COUNTIF(I13:XFD13,"&gt;"&amp;0)-1,I$1:XFD13,A13+1,FALSE))</f>
        <v>37536</v>
      </c>
      <c r="F13" s="7">
        <f>IF(COUNTIF(I13:XFD13,"&gt;"&amp;0)=0,,HLOOKUP(COUNTIF(I13:XFD13,"&gt;"&amp;0)-MIN($F$1+1,COUNTIF(I13:XFD13,"&gt;"&amp;0)),I$1:XFD13,A13+1,FALSE))</f>
        <v>21157</v>
      </c>
      <c r="G13" s="8">
        <f>IF(COUNTIF(I13:XFD13,"&gt;"&amp;0)=0,,(E13/F13)^(1/MIN(COUNTIF(I13:XFD13,"&gt;"&amp;0)-1,$F$1)))</f>
        <v>1.1214987164617614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  <c r="BV13" s="9">
        <v>27168</v>
      </c>
      <c r="BW13" s="9">
        <v>30618</v>
      </c>
      <c r="BX13" s="9">
        <v>33885</v>
      </c>
      <c r="BY13" s="9">
        <v>37536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Asia</v>
      </c>
      <c r="D14" s="6">
        <f>MAX(I14:BD14)</f>
        <v>3189</v>
      </c>
      <c r="E14" s="6">
        <f>IF(COUNTIF(I14:XFD14,"&gt;"&amp;0)=0,,HLOOKUP(COUNTIF(I14:XFD14,"&gt;"&amp;0)-1,I$1:XFD14,A14+1,FALSE))</f>
        <v>3849</v>
      </c>
      <c r="F14" s="7">
        <f>IF(COUNTIF(I14:XFD14,"&gt;"&amp;0)=0,,HLOOKUP(COUNTIF(I14:XFD14,"&gt;"&amp;0)-MIN($F$1+1,COUNTIF(I14:XFD14,"&gt;"&amp;0)),I$1:XFD14,A14+1,FALSE))</f>
        <v>3610</v>
      </c>
      <c r="G14" s="8">
        <f>IF(COUNTIF(I14:XFD14,"&gt;"&amp;0)=0,,(E14/F14)^(1/MIN(COUNTIF(I14:XFD14,"&gt;"&amp;0)-1,$F$1)))</f>
        <v>1.0129036633425557</v>
      </c>
      <c r="H14" s="13" t="s">
        <v>607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  <c r="BV14" s="9">
        <v>3704</v>
      </c>
      <c r="BW14" s="9">
        <v>3754</v>
      </c>
      <c r="BX14" s="9">
        <v>3803</v>
      </c>
      <c r="BY14" s="9">
        <v>3849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North America</v>
      </c>
      <c r="D15" s="6">
        <f>MAX(I15:BD15)</f>
        <v>3109</v>
      </c>
      <c r="E15" s="6">
        <f>IF(COUNTIF(I15:XFD15,"&gt;"&amp;0)=0,,HLOOKUP(COUNTIF(I15:XFD15,"&gt;"&amp;0)-1,I$1:XFD15,A15+1,FALSE))</f>
        <v>3109</v>
      </c>
      <c r="F15" s="7">
        <f>IF(COUNTIF(I15:XFD15,"&gt;"&amp;0)=0,,HLOOKUP(COUNTIF(I15:XFD15,"&gt;"&amp;0)-MIN($F$1+1,COUNTIF(I15:XFD15,"&gt;"&amp;0)),I$1:XFD15,A15+1,FALSE))</f>
        <v>989</v>
      </c>
      <c r="G15" s="8">
        <f>IF(COUNTIF(I15:XFD15,"&gt;"&amp;0)=0,,(E15/F15)^(1/MIN(COUNTIF(I15:XFD15,"&gt;"&amp;0)-1,$F$1)))</f>
        <v>1.2574330935945004</v>
      </c>
      <c r="H15" s="13" t="s">
        <v>610</v>
      </c>
      <c r="I15" s="9">
        <v>11</v>
      </c>
      <c r="J15" s="9">
        <v>12</v>
      </c>
      <c r="K15" s="9">
        <v>14</v>
      </c>
      <c r="L15" s="9">
        <v>17</v>
      </c>
      <c r="M15" s="9">
        <v>21</v>
      </c>
      <c r="N15" s="9">
        <v>23</v>
      </c>
      <c r="O15" s="9">
        <v>29</v>
      </c>
      <c r="P15" s="9">
        <v>38</v>
      </c>
      <c r="Q15" s="9">
        <v>42</v>
      </c>
      <c r="R15" s="9">
        <v>49</v>
      </c>
      <c r="S15" s="9">
        <v>56</v>
      </c>
      <c r="T15" s="9">
        <v>65</v>
      </c>
      <c r="U15" s="9">
        <v>90</v>
      </c>
      <c r="V15" s="9">
        <v>114</v>
      </c>
      <c r="W15" s="9">
        <v>128</v>
      </c>
      <c r="X15" s="9">
        <v>214</v>
      </c>
      <c r="Y15" s="9">
        <v>261</v>
      </c>
      <c r="Z15" s="9">
        <v>333</v>
      </c>
      <c r="AA15" s="9">
        <v>447</v>
      </c>
      <c r="AB15" s="9">
        <v>595</v>
      </c>
      <c r="AC15" s="9">
        <v>746</v>
      </c>
      <c r="AD15" s="9">
        <v>989</v>
      </c>
      <c r="AE15" s="9">
        <v>1266</v>
      </c>
      <c r="AF15" s="9">
        <v>1657</v>
      </c>
      <c r="AG15" s="9">
        <v>2119</v>
      </c>
      <c r="AH15" s="9">
        <v>2570</v>
      </c>
      <c r="AI15" s="9">
        <v>3109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MAX(I16:BD16)</f>
        <v>2857</v>
      </c>
      <c r="E16" s="6">
        <f>IF(COUNTIF(I16:XFD16,"&gt;"&amp;0)=0,,HLOOKUP(COUNTIF(I16:XFD16,"&gt;"&amp;0)-1,I$1:XFD16,A16+1,FALSE))</f>
        <v>2857</v>
      </c>
      <c r="F16" s="7">
        <f>IF(COUNTIF(I16:XFD16,"&gt;"&amp;0)=0,,HLOOKUP(COUNTIF(I16:XFD16,"&gt;"&amp;0)-MIN($F$1+1,COUNTIF(I16:XFD16,"&gt;"&amp;0)),I$1:XFD16,A16+1,FALSE))</f>
        <v>2127</v>
      </c>
      <c r="G16" s="8">
        <f>IF(COUNTIF(I16:XFD16,"&gt;"&amp;0)=0,,(E16/F16)^(1/MIN(COUNTIF(I16:XFD16,"&gt;"&amp;0)-1,$F$1)))</f>
        <v>1.0607878825048198</v>
      </c>
      <c r="H16" s="13" t="s">
        <v>609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</row>
    <row r="17" spans="1:45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MAX(I17:BD17)</f>
        <v>2757</v>
      </c>
      <c r="E17" s="6">
        <f>IF(COUNTIF(I17:XFD17,"&gt;"&amp;0)=0,,HLOOKUP(COUNTIF(I17:XFD17,"&gt;"&amp;0)-1,I$1:XFD17,A17+1,FALSE))</f>
        <v>2757</v>
      </c>
      <c r="F17" s="7">
        <f>IF(COUNTIF(I17:XFD17,"&gt;"&amp;0)=0,,HLOOKUP(COUNTIF(I17:XFD17,"&gt;"&amp;0)-MIN($F$1+1,COUNTIF(I17:XFD17,"&gt;"&amp;0)),I$1:XFD17,A17+1,FALSE))</f>
        <v>2077</v>
      </c>
      <c r="G17" s="8">
        <f>IF(COUNTIF(I17:XFD17,"&gt;"&amp;0)=0,,(E17/F17)^(1/MIN(COUNTIF(I17:XFD17,"&gt;"&amp;0)-1,$F$1)))</f>
        <v>1.0582786969655968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</row>
    <row r="18" spans="1:45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865</v>
      </c>
      <c r="E18" s="6">
        <f>IF(COUNTIF(I18:XFD18,"&gt;"&amp;0)=0,,HLOOKUP(COUNTIF(I18:XFD18,"&gt;"&amp;0)-1,I$1:XFD18,A18+1,FALSE))</f>
        <v>865</v>
      </c>
      <c r="F18" s="7">
        <f>IF(COUNTIF(I18:XFD18,"&gt;"&amp;0)=0,,HLOOKUP(COUNTIF(I18:XFD18,"&gt;"&amp;0)-MIN($F$1+1,COUNTIF(I18:XFD18,"&gt;"&amp;0)),I$1:XFD18,A18+1,FALSE))</f>
        <v>357</v>
      </c>
      <c r="G18" s="8">
        <f>IF(COUNTIF(I18:XFD18,"&gt;"&amp;0)=0,,(E18/F18)^(1/MIN(COUNTIF(I18:XFD18,"&gt;"&amp;0)-1,$F$1)))</f>
        <v>1.1936295951574007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</row>
    <row r="19" spans="1:45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513</v>
      </c>
      <c r="E19" s="6">
        <f>IF(COUNTIF(I19:XFD19,"&gt;"&amp;0)=0,,HLOOKUP(COUNTIF(I19:XFD19,"&gt;"&amp;0)-1,I$1:XFD19,A19+1,FALSE))</f>
        <v>513</v>
      </c>
      <c r="F19" s="7">
        <f>IF(COUNTIF(I19:XFD19,"&gt;"&amp;0)=0,,HLOOKUP(COUNTIF(I19:XFD19,"&gt;"&amp;0)-MIN($F$1+1,COUNTIF(I19:XFD19,"&gt;"&amp;0)),I$1:XFD19,A19+1,FALSE))</f>
        <v>178</v>
      </c>
      <c r="G19" s="8">
        <f>IF(COUNTIF(I19:XFD19,"&gt;"&amp;0)=0,,(E19/F19)^(1/MIN(COUNTIF(I19:XFD19,"&gt;"&amp;0)-1,$F$1)))</f>
        <v>1.2357751919730506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</row>
    <row r="20" spans="1:45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MAX(I20:BD20)</f>
        <v>359</v>
      </c>
      <c r="E20" s="6">
        <f>IF(COUNTIF(I20:XFD20,"&gt;"&amp;0)=0,,HLOOKUP(COUNTIF(I20:XFD20,"&gt;"&amp;0)-1,I$1:XFD20,A20+1,FALSE))</f>
        <v>359</v>
      </c>
      <c r="F20" s="7">
        <f>IF(COUNTIF(I20:XFD20,"&gt;"&amp;0)=0,,HLOOKUP(COUNTIF(I20:XFD20,"&gt;"&amp;0)-MIN($F$1+1,COUNTIF(I20:XFD20,"&gt;"&amp;0)),I$1:XFD20,A20+1,FALSE))</f>
        <v>153</v>
      </c>
      <c r="G20" s="8">
        <f>IF(COUNTIF(I20:XFD20,"&gt;"&amp;0)=0,,(E20/F20)^(1/MIN(COUNTIF(I20:XFD20,"&gt;"&amp;0)-1,$F$1)))</f>
        <v>1.1859888431650283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  <c r="Z20" s="9">
        <v>359</v>
      </c>
    </row>
    <row r="21" spans="1:45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South America</v>
      </c>
      <c r="D21" s="6">
        <f>MAX(I21:BD21)</f>
        <v>343</v>
      </c>
      <c r="E21" s="6">
        <f>IF(COUNTIF(I21:XFD21,"&gt;"&amp;0)=0,,HLOOKUP(COUNTIF(I21:XFD21,"&gt;"&amp;0)-1,I$1:XFD21,A21+1,FALSE))</f>
        <v>343</v>
      </c>
      <c r="F21" s="7">
        <f>IF(COUNTIF(I21:XFD21,"&gt;"&amp;0)=0,,HLOOKUP(COUNTIF(I21:XFD21,"&gt;"&amp;0)-MIN($F$1+1,COUNTIF(I21:XFD21,"&gt;"&amp;0)),I$1:XFD21,A21+1,FALSE))</f>
        <v>125</v>
      </c>
      <c r="G21" s="8">
        <f>IF(COUNTIF(I21:XFD21,"&gt;"&amp;0)=0,,(E21/F21)^(1/MIN(COUNTIF(I21:XFD21,"&gt;"&amp;0)-1,$F$1)))</f>
        <v>1.223705244744459</v>
      </c>
      <c r="H21" s="13" t="s">
        <v>611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  <c r="U21" s="9">
        <v>343</v>
      </c>
    </row>
    <row r="22" spans="1:45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Turkey</v>
      </c>
      <c r="D22" s="6">
        <f>MAX(I22:BD22)</f>
        <v>168</v>
      </c>
      <c r="E22" s="6">
        <f>IF(COUNTIF(I22:XFD22,"&gt;"&amp;0)=0,,HLOOKUP(COUNTIF(I22:XFD22,"&gt;"&amp;0)-1,I$1:XFD22,A22+1,FALSE))</f>
        <v>168</v>
      </c>
      <c r="F22" s="7">
        <f>IF(COUNTIF(I22:XFD22,"&gt;"&amp;0)=0,,HLOOKUP(COUNTIF(I22:XFD22,"&gt;"&amp;0)-MIN($F$1+1,COUNTIF(I22:XFD22,"&gt;"&amp;0)),I$1:XFD22,A22+1,FALSE))</f>
        <v>59</v>
      </c>
      <c r="G22" s="8">
        <f>IF(COUNTIF(I22:XFD22,"&gt;"&amp;0)=0,,(E22/F22)^(1/MIN(COUNTIF(I22:XFD22,"&gt;"&amp;0)-1,$F$1)))</f>
        <v>1.2327966740034577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</row>
    <row r="23" spans="1:45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Brazil</v>
      </c>
      <c r="D23" s="6">
        <f>MAX(I23:BD23)</f>
        <v>159</v>
      </c>
      <c r="E23" s="6">
        <f>IF(COUNTIF(I23:XFD23,"&gt;"&amp;0)=0,,HLOOKUP(COUNTIF(I23:XFD23,"&gt;"&amp;0)-1,I$1:XFD23,A23+1,FALSE))</f>
        <v>159</v>
      </c>
      <c r="F23" s="7">
        <f>IF(COUNTIF(I23:XFD23,"&gt;"&amp;0)=0,,HLOOKUP(COUNTIF(I23:XFD23,"&gt;"&amp;0)-MIN($F$1+1,COUNTIF(I23:XFD23,"&gt;"&amp;0)),I$1:XFD23,A23+1,FALSE))</f>
        <v>59</v>
      </c>
      <c r="G23" s="8">
        <f>IF(COUNTIF(I23:XFD23,"&gt;"&amp;0)=0,,(E23/F23)^(1/MIN(COUNTIF(I23:XFD23,"&gt;"&amp;0)-1,$F$1)))</f>
        <v>1.219295644764284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</row>
    <row r="24" spans="1:45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Korea, South</v>
      </c>
      <c r="D24" s="6">
        <f>MAX(I24:BD24)</f>
        <v>158</v>
      </c>
      <c r="E24" s="6">
        <f>IF(COUNTIF(I24:XFD24,"&gt;"&amp;0)=0,,HLOOKUP(COUNTIF(I24:XFD24,"&gt;"&amp;0)-1,I$1:XFD24,A24+1,FALSE))</f>
        <v>158</v>
      </c>
      <c r="F24" s="7">
        <f>IF(COUNTIF(I24:XFD24,"&gt;"&amp;0)=0,,HLOOKUP(COUNTIF(I24:XFD24,"&gt;"&amp;0)-MIN($F$1+1,COUNTIF(I24:XFD24,"&gt;"&amp;0)),I$1:XFD24,A24+1,FALSE))</f>
        <v>126</v>
      </c>
      <c r="G24" s="8">
        <f>IF(COUNTIF(I24:XFD24,"&gt;"&amp;0)=0,,(E24/F24)^(1/MIN(COUNTIF(I24:XFD24,"&gt;"&amp;0)-1,$F$1)))</f>
        <v>1.0463026092769006</v>
      </c>
      <c r="H24" s="13" t="s">
        <v>339</v>
      </c>
      <c r="I24" s="9">
        <v>8</v>
      </c>
      <c r="J24" s="9">
        <v>10</v>
      </c>
      <c r="K24" s="9">
        <v>12</v>
      </c>
      <c r="L24" s="9">
        <v>13</v>
      </c>
      <c r="M24" s="9">
        <v>13</v>
      </c>
      <c r="N24" s="9">
        <v>16</v>
      </c>
      <c r="O24" s="9">
        <v>17</v>
      </c>
      <c r="P24" s="9">
        <v>28</v>
      </c>
      <c r="Q24" s="9">
        <v>28</v>
      </c>
      <c r="R24" s="9">
        <v>35</v>
      </c>
      <c r="S24" s="9">
        <v>35</v>
      </c>
      <c r="T24" s="9">
        <v>42</v>
      </c>
      <c r="U24" s="9">
        <v>44</v>
      </c>
      <c r="V24" s="9">
        <v>50</v>
      </c>
      <c r="W24" s="9">
        <v>53</v>
      </c>
      <c r="X24" s="9">
        <v>54</v>
      </c>
      <c r="Y24" s="9">
        <v>60</v>
      </c>
      <c r="Z24" s="9">
        <v>66</v>
      </c>
      <c r="AA24" s="9">
        <v>66</v>
      </c>
      <c r="AB24" s="9">
        <v>72</v>
      </c>
      <c r="AC24" s="9">
        <v>75</v>
      </c>
      <c r="AD24" s="9">
        <v>75</v>
      </c>
      <c r="AE24" s="9">
        <v>81</v>
      </c>
      <c r="AF24" s="9">
        <v>84</v>
      </c>
      <c r="AG24" s="9">
        <v>91</v>
      </c>
      <c r="AH24" s="9">
        <v>94</v>
      </c>
      <c r="AI24" s="9">
        <v>102</v>
      </c>
      <c r="AJ24" s="9">
        <v>111</v>
      </c>
      <c r="AK24" s="9">
        <v>111</v>
      </c>
      <c r="AL24" s="9">
        <v>120</v>
      </c>
      <c r="AM24" s="9">
        <v>126</v>
      </c>
      <c r="AN24" s="9">
        <v>131</v>
      </c>
      <c r="AO24" s="9">
        <v>139</v>
      </c>
      <c r="AP24" s="9">
        <v>144</v>
      </c>
      <c r="AQ24" s="9">
        <v>152</v>
      </c>
      <c r="AR24" s="9">
        <v>158</v>
      </c>
    </row>
    <row r="25" spans="1:45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Africa</v>
      </c>
      <c r="D25" s="6">
        <f>MAX(I25:BD25)</f>
        <v>153</v>
      </c>
      <c r="E25" s="6">
        <f>IF(COUNTIF(I25:XFD25,"&gt;"&amp;0)=0,,HLOOKUP(COUNTIF(I25:XFD25,"&gt;"&amp;0)-1,I$1:XFD25,A25+1,FALSE))</f>
        <v>153</v>
      </c>
      <c r="F25" s="7">
        <f>IF(COUNTIF(I25:XFD25,"&gt;"&amp;0)=0,,HLOOKUP(COUNTIF(I25:XFD25,"&gt;"&amp;0)-MIN($F$1+1,COUNTIF(I25:XFD25,"&gt;"&amp;0)),I$1:XFD25,A25+1,FALSE))</f>
        <v>62</v>
      </c>
      <c r="G25" s="8">
        <f>IF(COUNTIF(I25:XFD25,"&gt;"&amp;0)=0,,(E25/F25)^(1/MIN(COUNTIF(I25:XFD25,"&gt;"&amp;0)-1,$F$1)))</f>
        <v>1.1980086347074186</v>
      </c>
      <c r="H25" s="13" t="s">
        <v>612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</row>
    <row r="26" spans="1:45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Sweden</v>
      </c>
      <c r="D26" s="6">
        <f>MAX(I26:BD26)</f>
        <v>146</v>
      </c>
      <c r="E26" s="6">
        <f>IF(COUNTIF(I26:XFD26,"&gt;"&amp;0)=0,,HLOOKUP(COUNTIF(I26:XFD26,"&gt;"&amp;0)-1,I$1:XFD26,A26+1,FALSE))</f>
        <v>146</v>
      </c>
      <c r="F26" s="7">
        <f>IF(COUNTIF(I26:XFD26,"&gt;"&amp;0)=0,,HLOOKUP(COUNTIF(I26:XFD26,"&gt;"&amp;0)-MIN($F$1+1,COUNTIF(I26:XFD26,"&gt;"&amp;0)),I$1:XFD26,A26+1,FALSE))</f>
        <v>62</v>
      </c>
      <c r="G26" s="8">
        <f>IF(COUNTIF(I26:XFD26,"&gt;"&amp;0)=0,,(E26/F26)^(1/MIN(COUNTIF(I26:XFD26,"&gt;"&amp;0)-1,$F$1)))</f>
        <v>1.1868401594969407</v>
      </c>
      <c r="H26" s="13" t="s">
        <v>59</v>
      </c>
      <c r="I26" s="9">
        <v>10</v>
      </c>
      <c r="J26" s="9">
        <v>11</v>
      </c>
      <c r="K26" s="9">
        <v>16</v>
      </c>
      <c r="L26" s="9">
        <v>20</v>
      </c>
      <c r="M26" s="9">
        <v>21</v>
      </c>
      <c r="N26" s="9">
        <v>25</v>
      </c>
      <c r="O26" s="9">
        <v>36</v>
      </c>
      <c r="P26" s="9">
        <v>62</v>
      </c>
      <c r="Q26" s="9">
        <v>77</v>
      </c>
      <c r="R26" s="9">
        <v>105</v>
      </c>
      <c r="S26" s="9">
        <v>105</v>
      </c>
      <c r="T26" s="9">
        <v>110</v>
      </c>
      <c r="U26" s="9">
        <v>146</v>
      </c>
    </row>
    <row r="27" spans="1:45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Portugal</v>
      </c>
      <c r="D27" s="6">
        <f>MAX(I27:BD27)</f>
        <v>140</v>
      </c>
      <c r="E27" s="6">
        <f>IF(COUNTIF(I27:XFD27,"&gt;"&amp;0)=0,,HLOOKUP(COUNTIF(I27:XFD27,"&gt;"&amp;0)-1,I$1:XFD27,A27+1,FALSE))</f>
        <v>140</v>
      </c>
      <c r="F27" s="7">
        <f>IF(COUNTIF(I27:XFD27,"&gt;"&amp;0)=0,,HLOOKUP(COUNTIF(I27:XFD27,"&gt;"&amp;0)-MIN($F$1+1,COUNTIF(I27:XFD27,"&gt;"&amp;0)),I$1:XFD27,A27+1,FALSE))</f>
        <v>43</v>
      </c>
      <c r="G27" s="8">
        <f>IF(COUNTIF(I27:XFD27,"&gt;"&amp;0)=0,,(E27/F27)^(1/MIN(COUNTIF(I27:XFD27,"&gt;"&amp;0)-1,$F$1)))</f>
        <v>1.2662863226519809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</row>
    <row r="28" spans="1:45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Indonesia</v>
      </c>
      <c r="D28" s="6">
        <f>MAX(I28:BD28)</f>
        <v>122</v>
      </c>
      <c r="E28" s="6">
        <f>IF(COUNTIF(I28:XFD28,"&gt;"&amp;0)=0,,HLOOKUP(COUNTIF(I28:XFD28,"&gt;"&amp;0)-1,I$1:XFD28,A28+1,FALSE))</f>
        <v>122</v>
      </c>
      <c r="F28" s="7">
        <f>IF(COUNTIF(I28:XFD28,"&gt;"&amp;0)=0,,HLOOKUP(COUNTIF(I28:XFD28,"&gt;"&amp;0)-MIN($F$1+1,COUNTIF(I28:XFD28,"&gt;"&amp;0)),I$1:XFD28,A28+1,FALSE))</f>
        <v>58</v>
      </c>
      <c r="G28" s="8">
        <f>IF(COUNTIF(I28:XFD28,"&gt;"&amp;0)=0,,(E28/F28)^(1/MIN(COUNTIF(I28:XFD28,"&gt;"&amp;0)-1,$F$1)))</f>
        <v>1.1603429486797616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</row>
    <row r="29" spans="1:45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108</v>
      </c>
      <c r="E29" s="6">
        <f>IF(COUNTIF(I29:XFD29,"&gt;"&amp;0)=0,,HLOOKUP(COUNTIF(I29:XFD29,"&gt;"&amp;0)-1,I$1:XFD29,A29+1,FALSE))</f>
        <v>108</v>
      </c>
      <c r="F29" s="7">
        <f>IF(COUNTIF(I29:XFD29,"&gt;"&amp;0)=0,,HLOOKUP(COUNTIF(I29:XFD29,"&gt;"&amp;0)-MIN($F$1+1,COUNTIF(I29:XFD29,"&gt;"&amp;0)),I$1:XFD29,A29+1,FALSE))</f>
        <v>30</v>
      </c>
      <c r="G29" s="8">
        <f>IF(COUNTIF(I29:XFD29,"&gt;"&amp;0)=0,,(E29/F29)^(1/MIN(COUNTIF(I29:XFD29,"&gt;"&amp;0)-1,$F$1)))</f>
        <v>1.2919940099556333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</row>
    <row r="30" spans="1:45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Canada</v>
      </c>
      <c r="D30" s="6">
        <f>MAX(I30:BD30)</f>
        <v>80</v>
      </c>
      <c r="E30" s="6">
        <f>IF(COUNTIF(I30:XFD30,"&gt;"&amp;0)=0,,HLOOKUP(COUNTIF(I30:XFD30,"&gt;"&amp;0)-1,I$1:XFD30,A30+1,FALSE))</f>
        <v>80</v>
      </c>
      <c r="F30" s="7">
        <f>IF(COUNTIF(I30:XFD30,"&gt;"&amp;0)=0,,HLOOKUP(COUNTIF(I30:XFD30,"&gt;"&amp;0)-MIN($F$1+1,COUNTIF(I30:XFD30,"&gt;"&amp;0)),I$1:XFD30,A30+1,FALSE))</f>
        <v>30</v>
      </c>
      <c r="G30" s="8">
        <f>IF(COUNTIF(I30:XFD30,"&gt;"&amp;0)=0,,(E30/F30)^(1/MIN(COUNTIF(I30:XFD30,"&gt;"&amp;0)-1,$F$1)))</f>
        <v>1.2167286837864115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</row>
    <row r="31" spans="1:45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Philippines</v>
      </c>
      <c r="D31" s="6">
        <f>MAX(I31:BD31)</f>
        <v>78</v>
      </c>
      <c r="E31" s="6">
        <f>IF(COUNTIF(I31:XFD31,"&gt;"&amp;0)=0,,HLOOKUP(COUNTIF(I31:XFD31,"&gt;"&amp;0)-1,I$1:XFD31,A31+1,FALSE))</f>
        <v>78</v>
      </c>
      <c r="F31" s="7">
        <f>IF(COUNTIF(I31:XFD31,"&gt;"&amp;0)=0,,HLOOKUP(COUNTIF(I31:XFD31,"&gt;"&amp;0)-MIN($F$1+1,COUNTIF(I31:XFD31,"&gt;"&amp;0)),I$1:XFD31,A31+1,FALSE))</f>
        <v>38</v>
      </c>
      <c r="G31" s="8">
        <f>IF(COUNTIF(I31:XFD31,"&gt;"&amp;0)=0,,(E31/F31)^(1/MIN(COUNTIF(I31:XFD31,"&gt;"&amp;0)-1,$F$1)))</f>
        <v>1.1546814827060505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  <c r="V31" s="9">
        <v>54</v>
      </c>
      <c r="W31" s="9">
        <v>68</v>
      </c>
      <c r="X31" s="9">
        <v>71</v>
      </c>
      <c r="Y31" s="9">
        <v>78</v>
      </c>
    </row>
    <row r="32" spans="1:45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Denmark</v>
      </c>
      <c r="D32" s="6">
        <f>MAX(I32:BD32)</f>
        <v>77</v>
      </c>
      <c r="E32" s="6">
        <f>IF(COUNTIF(I32:XFD32,"&gt;"&amp;0)=0,,HLOOKUP(COUNTIF(I32:XFD32,"&gt;"&amp;0)-1,I$1:XFD32,A32+1,FALSE))</f>
        <v>77</v>
      </c>
      <c r="F32" s="7">
        <f>IF(COUNTIF(I32:XFD32,"&gt;"&amp;0)=0,,HLOOKUP(COUNTIF(I32:XFD32,"&gt;"&amp;0)-MIN($F$1+1,COUNTIF(I32:XFD32,"&gt;"&amp;0)),I$1:XFD32,A32+1,FALSE))</f>
        <v>34</v>
      </c>
      <c r="G32" s="8">
        <f>IF(COUNTIF(I32:XFD32,"&gt;"&amp;0)=0,,(E32/F32)^(1/MIN(COUNTIF(I32:XFD32,"&gt;"&amp;0)-1,$F$1)))</f>
        <v>1.1776123771768878</v>
      </c>
      <c r="H32" s="15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  <c r="Q32" s="9">
        <v>65</v>
      </c>
      <c r="R32" s="9">
        <v>72</v>
      </c>
      <c r="S32" s="9">
        <v>77</v>
      </c>
    </row>
    <row r="33" spans="1:30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Romania</v>
      </c>
      <c r="D33" s="6">
        <f>MAX(I33:BD33)</f>
        <v>65</v>
      </c>
      <c r="E33" s="6">
        <f>IF(COUNTIF(I33:XFD33,"&gt;"&amp;0)=0,,HLOOKUP(COUNTIF(I33:XFD33,"&gt;"&amp;0)-1,I$1:XFD33,A33+1,FALSE))</f>
        <v>65</v>
      </c>
      <c r="F33" s="7">
        <f>IF(COUNTIF(I33:XFD33,"&gt;"&amp;0)=0,,HLOOKUP(COUNTIF(I33:XFD33,"&gt;"&amp;0)-MIN($F$1+1,COUNTIF(I33:XFD33,"&gt;"&amp;0)),I$1:XFD33,A33+1,FALSE))</f>
        <v>17</v>
      </c>
      <c r="G33" s="8">
        <f>IF(COUNTIF(I33:XFD33,"&gt;"&amp;0)=0,,(E33/F33)^(1/MIN(COUNTIF(I33:XFD33,"&gt;"&amp;0)-1,$F$1)))</f>
        <v>1.3076541217686586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</row>
    <row r="34" spans="1:30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Ecuador</v>
      </c>
      <c r="D34" s="6">
        <f>MAX(I34:BD34)</f>
        <v>60</v>
      </c>
      <c r="E34" s="6">
        <f>IF(COUNTIF(I34:XFD34,"&gt;"&amp;0)=0,,HLOOKUP(COUNTIF(I34:XFD34,"&gt;"&amp;0)-1,I$1:XFD34,A34+1,FALSE))</f>
        <v>60</v>
      </c>
      <c r="F34" s="7">
        <f>IF(COUNTIF(I34:XFD34,"&gt;"&amp;0)=0,,HLOOKUP(COUNTIF(I34:XFD34,"&gt;"&amp;0)-MIN($F$1+1,COUNTIF(I34:XFD34,"&gt;"&amp;0)),I$1:XFD34,A34+1,FALSE))</f>
        <v>28</v>
      </c>
      <c r="G34" s="8">
        <f>IF(COUNTIF(I34:XFD34,"&gt;"&amp;0)=0,,(E34/F34)^(1/MIN(COUNTIF(I34:XFD34,"&gt;"&amp;0)-1,$F$1)))</f>
        <v>1.1646586157796568</v>
      </c>
      <c r="H34" s="13" t="s">
        <v>103</v>
      </c>
      <c r="I34" s="9">
        <v>14</v>
      </c>
      <c r="J34" s="9">
        <v>18</v>
      </c>
      <c r="K34" s="9">
        <v>27</v>
      </c>
      <c r="L34" s="9">
        <v>28</v>
      </c>
      <c r="M34" s="9">
        <v>34</v>
      </c>
      <c r="N34" s="9">
        <v>36</v>
      </c>
      <c r="O34" s="9">
        <v>48</v>
      </c>
      <c r="P34" s="9">
        <v>58</v>
      </c>
      <c r="Q34" s="9">
        <v>60</v>
      </c>
    </row>
    <row r="35" spans="1:30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Japan</v>
      </c>
      <c r="D35" s="6">
        <f>MAX(I35:BD35)</f>
        <v>54</v>
      </c>
      <c r="E35" s="6">
        <f>IF(COUNTIF(I35:XFD35,"&gt;"&amp;0)=0,,HLOOKUP(COUNTIF(I35:XFD35,"&gt;"&amp;0)-1,I$1:XFD35,A35+1,FALSE))</f>
        <v>54</v>
      </c>
      <c r="F35" s="7">
        <f>IF(COUNTIF(I35:XFD35,"&gt;"&amp;0)=0,,HLOOKUP(COUNTIF(I35:XFD35,"&gt;"&amp;0)-MIN($F$1+1,COUNTIF(I35:XFD35,"&gt;"&amp;0)),I$1:XFD35,A35+1,FALSE))</f>
        <v>45</v>
      </c>
      <c r="G35" s="8">
        <f>IF(COUNTIF(I35:XFD35,"&gt;"&amp;0)=0,,(E35/F35)^(1/MIN(COUNTIF(I35:XFD35,"&gt;"&amp;0)-1,$F$1)))</f>
        <v>1.0371372893366482</v>
      </c>
      <c r="H35" s="13" t="s">
        <v>36</v>
      </c>
      <c r="I35" s="9">
        <v>10</v>
      </c>
      <c r="J35" s="9">
        <v>10</v>
      </c>
      <c r="K35" s="9">
        <v>15</v>
      </c>
      <c r="L35" s="9">
        <v>16</v>
      </c>
      <c r="M35" s="9">
        <v>19</v>
      </c>
      <c r="N35" s="9">
        <v>22</v>
      </c>
      <c r="O35" s="9">
        <v>22</v>
      </c>
      <c r="P35" s="9">
        <v>27</v>
      </c>
      <c r="Q35" s="9">
        <v>29</v>
      </c>
      <c r="R35" s="9">
        <v>29</v>
      </c>
      <c r="S35" s="9">
        <v>29</v>
      </c>
      <c r="T35" s="9">
        <v>33</v>
      </c>
      <c r="U35" s="9">
        <v>35</v>
      </c>
      <c r="V35" s="9">
        <v>41</v>
      </c>
      <c r="W35" s="9">
        <v>42</v>
      </c>
      <c r="X35" s="9">
        <v>43</v>
      </c>
      <c r="Y35" s="9">
        <v>45</v>
      </c>
      <c r="Z35" s="9">
        <v>47</v>
      </c>
      <c r="AA35" s="9">
        <v>49</v>
      </c>
      <c r="AB35" s="9">
        <v>52</v>
      </c>
      <c r="AC35" s="9">
        <v>54</v>
      </c>
      <c r="AD35" s="9">
        <v>54</v>
      </c>
    </row>
    <row r="36" spans="1:30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Ireland</v>
      </c>
      <c r="D36" s="6">
        <f>MAX(I36:BD36)</f>
        <v>54</v>
      </c>
      <c r="E36" s="6">
        <f>IF(COUNTIF(I36:XFD36,"&gt;"&amp;0)=0,,HLOOKUP(COUNTIF(I36:XFD36,"&gt;"&amp;0)-1,I$1:XFD36,A36+1,FALSE))</f>
        <v>54</v>
      </c>
      <c r="F36" s="7">
        <f>IF(COUNTIF(I36:XFD36,"&gt;"&amp;0)=0,,HLOOKUP(COUNTIF(I36:XFD36,"&gt;"&amp;0)-MIN($F$1+1,COUNTIF(I36:XFD36,"&gt;"&amp;0)),I$1:XFD36,A36+1,FALSE))</f>
        <v>9</v>
      </c>
      <c r="G36" s="8">
        <f>IF(COUNTIF(I36:XFD36,"&gt;"&amp;0)=0,,(E36/F36)^(1/MIN(COUNTIF(I36:XFD36,"&gt;"&amp;0)-1,$F$1)))</f>
        <v>1.4309690811052556</v>
      </c>
      <c r="H36" s="13" t="s">
        <v>98</v>
      </c>
      <c r="I36" s="9">
        <v>9</v>
      </c>
      <c r="J36" s="9">
        <v>19</v>
      </c>
      <c r="K36" s="9">
        <v>22</v>
      </c>
      <c r="L36" s="9">
        <v>36</v>
      </c>
      <c r="M36" s="9">
        <v>46</v>
      </c>
      <c r="N36" s="9">
        <v>54</v>
      </c>
    </row>
    <row r="37" spans="1:30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Iraq</v>
      </c>
      <c r="D37" s="6">
        <f>MAX(I37:BD37)</f>
        <v>46</v>
      </c>
      <c r="E37" s="6">
        <f>IF(COUNTIF(I37:XFD37,"&gt;"&amp;0)=0,,HLOOKUP(COUNTIF(I37:XFD37,"&gt;"&amp;0)-1,I$1:XFD37,A37+1,FALSE))</f>
        <v>46</v>
      </c>
      <c r="F37" s="7">
        <f>IF(COUNTIF(I37:XFD37,"&gt;"&amp;0)=0,,HLOOKUP(COUNTIF(I37:XFD37,"&gt;"&amp;0)-MIN($F$1+1,COUNTIF(I37:XFD37,"&gt;"&amp;0)),I$1:XFD37,A37+1,FALSE))</f>
        <v>29</v>
      </c>
      <c r="G37" s="8">
        <f>IF(COUNTIF(I37:XFD37,"&gt;"&amp;0)=0,,(E37/F37)^(1/MIN(COUNTIF(I37:XFD37,"&gt;"&amp;0)-1,$F$1)))</f>
        <v>1.0966599081406767</v>
      </c>
      <c r="H37" s="13" t="s">
        <v>70</v>
      </c>
      <c r="I37" s="9">
        <v>8</v>
      </c>
      <c r="J37" s="9">
        <v>9</v>
      </c>
      <c r="K37" s="9">
        <v>10</v>
      </c>
      <c r="L37" s="9">
        <v>10</v>
      </c>
      <c r="M37" s="9">
        <v>10</v>
      </c>
      <c r="N37" s="9">
        <v>11</v>
      </c>
      <c r="O37" s="9">
        <v>12</v>
      </c>
      <c r="P37" s="9">
        <v>13</v>
      </c>
      <c r="Q37" s="9">
        <v>17</v>
      </c>
      <c r="R37" s="9">
        <v>17</v>
      </c>
      <c r="S37" s="9">
        <v>20</v>
      </c>
      <c r="T37" s="9">
        <v>23</v>
      </c>
      <c r="U37" s="9">
        <v>27</v>
      </c>
      <c r="V37" s="9">
        <v>29</v>
      </c>
      <c r="W37" s="9">
        <v>36</v>
      </c>
      <c r="X37" s="9">
        <v>40</v>
      </c>
      <c r="Y37" s="9">
        <v>42</v>
      </c>
      <c r="Z37" s="9">
        <v>42</v>
      </c>
      <c r="AA37" s="9">
        <v>46</v>
      </c>
    </row>
    <row r="38" spans="1:30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Greece</v>
      </c>
      <c r="D38" s="6">
        <f>MAX(I38:BD38)</f>
        <v>43</v>
      </c>
      <c r="E38" s="6">
        <f>IF(COUNTIF(I38:XFD38,"&gt;"&amp;0)=0,,HLOOKUP(COUNTIF(I38:XFD38,"&gt;"&amp;0)-1,I$1:XFD38,A38+1,FALSE))</f>
        <v>43</v>
      </c>
      <c r="F38" s="7">
        <f>IF(COUNTIF(I38:XFD38,"&gt;"&amp;0)=0,,HLOOKUP(COUNTIF(I38:XFD38,"&gt;"&amp;0)-MIN($F$1+1,COUNTIF(I38:XFD38,"&gt;"&amp;0)),I$1:XFD38,A38+1,FALSE))</f>
        <v>22</v>
      </c>
      <c r="G38" s="8">
        <f>IF(COUNTIF(I38:XFD38,"&gt;"&amp;0)=0,,(E38/F38)^(1/MIN(COUNTIF(I38:XFD38,"&gt;"&amp;0)-1,$F$1)))</f>
        <v>1.1434288742094985</v>
      </c>
      <c r="H38" s="13" t="s">
        <v>83</v>
      </c>
      <c r="I38" s="9">
        <v>13</v>
      </c>
      <c r="J38" s="9">
        <v>15</v>
      </c>
      <c r="K38" s="9">
        <v>17</v>
      </c>
      <c r="L38" s="9">
        <v>20</v>
      </c>
      <c r="M38" s="9">
        <v>22</v>
      </c>
      <c r="N38" s="9">
        <v>26</v>
      </c>
      <c r="O38" s="9">
        <v>28</v>
      </c>
      <c r="P38" s="9">
        <v>32</v>
      </c>
      <c r="Q38" s="9">
        <v>38</v>
      </c>
      <c r="R38" s="9">
        <v>43</v>
      </c>
    </row>
    <row r="39" spans="1:30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Dominican Republic</v>
      </c>
      <c r="D39" s="6">
        <f>MAX(I39:BD39)</f>
        <v>42</v>
      </c>
      <c r="E39" s="6">
        <f>IF(COUNTIF(I39:XFD39,"&gt;"&amp;0)=0,,HLOOKUP(COUNTIF(I39:XFD39,"&gt;"&amp;0)-1,I$1:XFD39,A39+1,FALSE))</f>
        <v>42</v>
      </c>
      <c r="F39" s="7">
        <f>IF(COUNTIF(I39:XFD39,"&gt;"&amp;0)=0,,HLOOKUP(COUNTIF(I39:XFD39,"&gt;"&amp;0)-MIN($F$1+1,COUNTIF(I39:XFD39,"&gt;"&amp;0)),I$1:XFD39,A39+1,FALSE))</f>
        <v>10</v>
      </c>
      <c r="G39" s="8">
        <f>IF(COUNTIF(I39:XFD39,"&gt;"&amp;0)=0,,(E39/F39)^(1/MIN(COUNTIF(I39:XFD39,"&gt;"&amp;0)-1,$F$1)))</f>
        <v>1.3324467383744967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  <c r="N39" s="9">
        <v>42</v>
      </c>
    </row>
    <row r="40" spans="1:30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Egypt</v>
      </c>
      <c r="D40" s="6">
        <f>MAX(I40:BD40)</f>
        <v>41</v>
      </c>
      <c r="E40" s="6">
        <f>IF(COUNTIF(I40:XFD40,"&gt;"&amp;0)=0,,HLOOKUP(COUNTIF(I40:XFD40,"&gt;"&amp;0)-1,I$1:XFD40,A40+1,FALSE))</f>
        <v>41</v>
      </c>
      <c r="F40" s="7">
        <f>IF(COUNTIF(I40:XFD40,"&gt;"&amp;0)=0,,HLOOKUP(COUNTIF(I40:XFD40,"&gt;"&amp;0)-MIN($F$1+1,COUNTIF(I40:XFD40,"&gt;"&amp;0)),I$1:XFD40,A40+1,FALSE))</f>
        <v>21</v>
      </c>
      <c r="G40" s="8">
        <f>IF(COUNTIF(I40:XFD40,"&gt;"&amp;0)=0,,(E40/F40)^(1/MIN(COUNTIF(I40:XFD40,"&gt;"&amp;0)-1,$F$1)))</f>
        <v>1.1431755108178514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</row>
    <row r="41" spans="1:30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Malaysia</v>
      </c>
      <c r="D41" s="6">
        <f>MAX(I41:BD41)</f>
        <v>37</v>
      </c>
      <c r="E41" s="6">
        <f>IF(COUNTIF(I41:XFD41,"&gt;"&amp;0)=0,,HLOOKUP(COUNTIF(I41:XFD41,"&gt;"&amp;0)-1,I$1:XFD41,A41+1,FALSE))</f>
        <v>37</v>
      </c>
      <c r="F41" s="7">
        <f>IF(COUNTIF(I41:XFD41,"&gt;"&amp;0)=0,,HLOOKUP(COUNTIF(I41:XFD41,"&gt;"&amp;0)-MIN($F$1+1,COUNTIF(I41:XFD41,"&gt;"&amp;0)),I$1:XFD41,A41+1,FALSE))</f>
        <v>20</v>
      </c>
      <c r="G41" s="8">
        <f>IF(COUNTIF(I41:XFD41,"&gt;"&amp;0)=0,,(E41/F41)^(1/MIN(COUNTIF(I41:XFD41,"&gt;"&amp;0)-1,$F$1)))</f>
        <v>1.1309264089979596</v>
      </c>
      <c r="H41" s="13" t="s">
        <v>43</v>
      </c>
      <c r="I41" s="9">
        <v>10</v>
      </c>
      <c r="J41" s="9">
        <v>14</v>
      </c>
      <c r="K41" s="9">
        <v>16</v>
      </c>
      <c r="L41" s="9">
        <v>20</v>
      </c>
      <c r="M41" s="9">
        <v>23</v>
      </c>
      <c r="N41" s="9">
        <v>26</v>
      </c>
      <c r="O41" s="9">
        <v>27</v>
      </c>
      <c r="P41" s="9">
        <v>35</v>
      </c>
      <c r="Q41" s="9">
        <v>37</v>
      </c>
    </row>
    <row r="42" spans="1:30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Algeria</v>
      </c>
      <c r="D42" s="6">
        <f>MAX(I42:BD42)</f>
        <v>35</v>
      </c>
      <c r="E42" s="6">
        <f>IF(COUNTIF(I42:XFD42,"&gt;"&amp;0)=0,,HLOOKUP(COUNTIF(I42:XFD42,"&gt;"&amp;0)-1,I$1:XFD42,A42+1,FALSE))</f>
        <v>35</v>
      </c>
      <c r="F42" s="7">
        <f>IF(COUNTIF(I42:XFD42,"&gt;"&amp;0)=0,,HLOOKUP(COUNTIF(I42:XFD42,"&gt;"&amp;0)-MIN($F$1+1,COUNTIF(I42:XFD42,"&gt;"&amp;0)),I$1:XFD42,A42+1,FALSE))</f>
        <v>21</v>
      </c>
      <c r="G42" s="8">
        <f>IF(COUNTIF(I42:XFD42,"&gt;"&amp;0)=0,,(E42/F42)^(1/MIN(COUNTIF(I42:XFD42,"&gt;"&amp;0)-1,$F$1)))</f>
        <v>1.1075663432482901</v>
      </c>
      <c r="H42" s="13" t="s">
        <v>75</v>
      </c>
      <c r="I42" s="9">
        <v>9</v>
      </c>
      <c r="J42" s="9">
        <v>11</v>
      </c>
      <c r="K42" s="9">
        <v>15</v>
      </c>
      <c r="L42" s="9">
        <v>17</v>
      </c>
      <c r="M42" s="9">
        <v>17</v>
      </c>
      <c r="N42" s="9">
        <v>19</v>
      </c>
      <c r="O42" s="9">
        <v>21</v>
      </c>
      <c r="P42" s="9">
        <v>25</v>
      </c>
      <c r="Q42" s="9">
        <v>26</v>
      </c>
      <c r="R42" s="9">
        <v>29</v>
      </c>
      <c r="S42" s="9">
        <v>31</v>
      </c>
      <c r="T42" s="9">
        <v>35</v>
      </c>
    </row>
    <row r="43" spans="1:30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Morocco</v>
      </c>
      <c r="D43" s="6">
        <f>MAX(I43:BD43)</f>
        <v>33</v>
      </c>
      <c r="E43" s="6">
        <f>IF(COUNTIF(I43:XFD43,"&gt;"&amp;0)=0,,HLOOKUP(COUNTIF(I43:XFD43,"&gt;"&amp;0)-1,I$1:XFD43,A43+1,FALSE))</f>
        <v>33</v>
      </c>
      <c r="F43" s="7">
        <f>IF(COUNTIF(I43:XFD43,"&gt;"&amp;0)=0,,HLOOKUP(COUNTIF(I43:XFD43,"&gt;"&amp;0)-MIN($F$1+1,COUNTIF(I43:XFD43,"&gt;"&amp;0)),I$1:XFD43,A43+1,FALSE))</f>
        <v>11</v>
      </c>
      <c r="G43" s="8">
        <f>IF(COUNTIF(I43:XFD43,"&gt;"&amp;0)=0,,(E43/F43)^(1/MIN(COUNTIF(I43:XFD43,"&gt;"&amp;0)-1,$F$1)))</f>
        <v>1.3160740129524926</v>
      </c>
      <c r="H43" s="13" t="s">
        <v>112</v>
      </c>
      <c r="I43" s="9">
        <v>11</v>
      </c>
      <c r="J43" s="9">
        <v>23</v>
      </c>
      <c r="K43" s="9">
        <v>25</v>
      </c>
      <c r="L43" s="9">
        <v>26</v>
      </c>
      <c r="M43" s="9">
        <v>33</v>
      </c>
    </row>
    <row r="44" spans="1:30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Norway</v>
      </c>
      <c r="D44" s="6">
        <f>MAX(I44:BD44)</f>
        <v>32</v>
      </c>
      <c r="E44" s="6">
        <f>IF(COUNTIF(I44:XFD44,"&gt;"&amp;0)=0,,HLOOKUP(COUNTIF(I44:XFD44,"&gt;"&amp;0)-1,I$1:XFD44,A44+1,FALSE))</f>
        <v>32</v>
      </c>
      <c r="F44" s="7">
        <f>IF(COUNTIF(I44:XFD44,"&gt;"&amp;0)=0,,HLOOKUP(COUNTIF(I44:XFD44,"&gt;"&amp;0)-MIN($F$1+1,COUNTIF(I44:XFD44,"&gt;"&amp;0)),I$1:XFD44,A44+1,FALSE))</f>
        <v>14</v>
      </c>
      <c r="G44" s="8">
        <f>IF(COUNTIF(I44:XFD44,"&gt;"&amp;0)=0,,(E44/F44)^(1/MIN(COUNTIF(I44:XFD44,"&gt;"&amp;0)-1,$F$1)))</f>
        <v>1.1797891247127799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</row>
    <row r="45" spans="1:30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India</v>
      </c>
      <c r="D45" s="6">
        <f>MAX(I45:BD45)</f>
        <v>32</v>
      </c>
      <c r="E45" s="6">
        <f>IF(COUNTIF(I45:XFD45,"&gt;"&amp;0)=0,,HLOOKUP(COUNTIF(I45:XFD45,"&gt;"&amp;0)-1,I$1:XFD45,A45+1,FALSE))</f>
        <v>32</v>
      </c>
      <c r="F45" s="7">
        <f>IF(COUNTIF(I45:XFD45,"&gt;"&amp;0)=0,,HLOOKUP(COUNTIF(I45:XFD45,"&gt;"&amp;0)-MIN($F$1+1,COUNTIF(I45:XFD45,"&gt;"&amp;0)),I$1:XFD45,A45+1,FALSE))</f>
        <v>12</v>
      </c>
      <c r="G45" s="8">
        <f>IF(COUNTIF(I45:XFD45,"&gt;"&amp;0)=0,,(E45/F45)^(1/MIN(COUNTIF(I45:XFD45,"&gt;"&amp;0)-1,$F$1)))</f>
        <v>1.2167286837864115</v>
      </c>
      <c r="H45" s="13" t="s">
        <v>57</v>
      </c>
      <c r="I45" s="9">
        <v>10</v>
      </c>
      <c r="J45" s="9">
        <v>10</v>
      </c>
      <c r="K45" s="9">
        <v>12</v>
      </c>
      <c r="L45" s="9">
        <v>20</v>
      </c>
      <c r="M45" s="9">
        <v>20</v>
      </c>
      <c r="N45" s="9">
        <v>24</v>
      </c>
      <c r="O45" s="9">
        <v>27</v>
      </c>
      <c r="P45" s="9">
        <v>32</v>
      </c>
    </row>
    <row r="46" spans="1:30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Poland</v>
      </c>
      <c r="D46" s="6">
        <f>MAX(I46:BD46)</f>
        <v>31</v>
      </c>
      <c r="E46" s="6">
        <f>IF(COUNTIF(I46:XFD46,"&gt;"&amp;0)=0,,HLOOKUP(COUNTIF(I46:XFD46,"&gt;"&amp;0)-1,I$1:XFD46,A46+1,FALSE))</f>
        <v>31</v>
      </c>
      <c r="F46" s="7">
        <f>IF(COUNTIF(I46:XFD46,"&gt;"&amp;0)=0,,HLOOKUP(COUNTIF(I46:XFD46,"&gt;"&amp;0)-MIN($F$1+1,COUNTIF(I46:XFD46,"&gt;"&amp;0)),I$1:XFD46,A46+1,FALSE))</f>
        <v>14</v>
      </c>
      <c r="G46" s="8">
        <f>IF(COUNTIF(I46:XFD46,"&gt;"&amp;0)=0,,(E46/F46)^(1/MIN(COUNTIF(I46:XFD46,"&gt;"&amp;0)-1,$F$1)))</f>
        <v>1.172321504725808</v>
      </c>
      <c r="H46" s="13" t="s">
        <v>137</v>
      </c>
      <c r="I46" s="9">
        <v>8</v>
      </c>
      <c r="J46" s="9">
        <v>10</v>
      </c>
      <c r="K46" s="9">
        <v>14</v>
      </c>
      <c r="L46" s="9">
        <v>16</v>
      </c>
      <c r="M46" s="9">
        <v>16</v>
      </c>
      <c r="N46" s="9">
        <v>18</v>
      </c>
      <c r="O46" s="9">
        <v>22</v>
      </c>
      <c r="P46" s="9">
        <v>31</v>
      </c>
    </row>
    <row r="47" spans="1:30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San Marino</v>
      </c>
      <c r="D47" s="6">
        <f>MAX(I47:BD47)</f>
        <v>25</v>
      </c>
      <c r="E47" s="6">
        <f>IF(COUNTIF(I47:XFD47,"&gt;"&amp;0)=0,,HLOOKUP(COUNTIF(I47:XFD47,"&gt;"&amp;0)-1,I$1:XFD47,A47+1,FALSE))</f>
        <v>25</v>
      </c>
      <c r="F47" s="7">
        <f>IF(COUNTIF(I47:XFD47,"&gt;"&amp;0)=0,,HLOOKUP(COUNTIF(I47:XFD47,"&gt;"&amp;0)-MIN($F$1+1,COUNTIF(I47:XFD47,"&gt;"&amp;0)),I$1:XFD47,A47+1,FALSE))</f>
        <v>21</v>
      </c>
      <c r="G47" s="8">
        <f>IF(COUNTIF(I47:XFD47,"&gt;"&amp;0)=0,,(E47/F47)^(1/MIN(COUNTIF(I47:XFD47,"&gt;"&amp;0)-1,$F$1)))</f>
        <v>1.0354857884559052</v>
      </c>
      <c r="H47" s="13" t="s">
        <v>90</v>
      </c>
      <c r="I47" s="9">
        <v>11</v>
      </c>
      <c r="J47" s="9">
        <v>11</v>
      </c>
      <c r="K47" s="9">
        <v>14</v>
      </c>
      <c r="L47" s="9">
        <v>20</v>
      </c>
      <c r="M47" s="9">
        <v>20</v>
      </c>
      <c r="N47" s="9">
        <v>20</v>
      </c>
      <c r="O47" s="9">
        <v>21</v>
      </c>
      <c r="P47" s="9">
        <v>21</v>
      </c>
      <c r="Q47" s="9">
        <v>21</v>
      </c>
      <c r="R47" s="9">
        <v>21</v>
      </c>
      <c r="S47" s="9">
        <v>22</v>
      </c>
      <c r="T47" s="9">
        <v>22</v>
      </c>
      <c r="U47" s="9">
        <v>25</v>
      </c>
    </row>
    <row r="48" spans="1:30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MAX(I48:BD48)</f>
        <v>24</v>
      </c>
      <c r="E48" s="6">
        <f>IF(COUNTIF(I48:XFD48,"&gt;"&amp;0)=0,,HLOOKUP(COUNTIF(I48:XFD48,"&gt;"&amp;0)-1,I$1:XFD48,A48+1,FALSE))</f>
        <v>24</v>
      </c>
      <c r="F48" s="7">
        <f>IF(COUNTIF(I48:XFD48,"&gt;"&amp;0)=0,,HLOOKUP(COUNTIF(I48:XFD48,"&gt;"&amp;0)-MIN($F$1+1,COUNTIF(I48:XFD48,"&gt;"&amp;0)),I$1:XFD48,A48+1,FALSE))</f>
        <v>9</v>
      </c>
      <c r="G48" s="8">
        <f>IF(COUNTIF(I48:XFD48,"&gt;"&amp;0)=0,,(E48/F48)^(1/MIN(COUNTIF(I48:XFD48,"&gt;"&amp;0)-1,$F$1)))</f>
        <v>1.2167286837864115</v>
      </c>
      <c r="H48" s="13" t="s">
        <v>160</v>
      </c>
      <c r="I48" s="9">
        <v>9</v>
      </c>
      <c r="J48" s="9">
        <v>9</v>
      </c>
      <c r="K48" s="9">
        <v>11</v>
      </c>
      <c r="L48" s="9">
        <v>16</v>
      </c>
      <c r="M48" s="9">
        <v>18</v>
      </c>
      <c r="N48" s="9">
        <v>24</v>
      </c>
    </row>
    <row r="49" spans="1:18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Panama</v>
      </c>
      <c r="D49" s="6">
        <f>MAX(I49:BD49)</f>
        <v>24</v>
      </c>
      <c r="E49" s="6">
        <f>IF(COUNTIF(I49:XFD49,"&gt;"&amp;0)=0,,HLOOKUP(COUNTIF(I49:XFD49,"&gt;"&amp;0)-1,I$1:XFD49,A49+1,FALSE))</f>
        <v>24</v>
      </c>
      <c r="F49" s="7">
        <f>IF(COUNTIF(I49:XFD49,"&gt;"&amp;0)=0,,HLOOKUP(COUNTIF(I49:XFD49,"&gt;"&amp;0)-MIN($F$1+1,COUNTIF(I49:XFD49,"&gt;"&amp;0)),I$1:XFD49,A49+1,FALSE))</f>
        <v>8</v>
      </c>
      <c r="G49" s="8">
        <f>IF(COUNTIF(I49:XFD49,"&gt;"&amp;0)=0,,(E49/F49)^(1/MIN(COUNTIF(I49:XFD49,"&gt;"&amp;0)-1,$F$1)))</f>
        <v>1.2457309396155174</v>
      </c>
      <c r="H49" s="13" t="s">
        <v>283</v>
      </c>
      <c r="I49" s="9">
        <v>8</v>
      </c>
      <c r="J49" s="9">
        <v>8</v>
      </c>
      <c r="K49" s="9">
        <v>9</v>
      </c>
      <c r="L49" s="9">
        <v>14</v>
      </c>
      <c r="M49" s="9">
        <v>17</v>
      </c>
      <c r="N49" s="9">
        <v>24</v>
      </c>
    </row>
    <row r="50" spans="1:18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Czechia</v>
      </c>
      <c r="D50" s="6">
        <f>MAX(I50:BD50)</f>
        <v>23</v>
      </c>
      <c r="E50" s="6">
        <f>IF(COUNTIF(I50:XFD50,"&gt;"&amp;0)=0,,HLOOKUP(COUNTIF(I50:XFD50,"&gt;"&amp;0)-1,I$1:XFD50,A50+1,FALSE))</f>
        <v>23</v>
      </c>
      <c r="F50" s="7">
        <f>IF(COUNTIF(I50:XFD50,"&gt;"&amp;0)=0,,HLOOKUP(COUNTIF(I50:XFD50,"&gt;"&amp;0)-MIN($F$1+1,COUNTIF(I50:XFD50,"&gt;"&amp;0)),I$1:XFD50,A50+1,FALSE))</f>
        <v>9</v>
      </c>
      <c r="G50" s="8">
        <f>IF(COUNTIF(I50:XFD50,"&gt;"&amp;0)=0,,(E50/F50)^(1/MIN(COUNTIF(I50:XFD50,"&gt;"&amp;0)-1,$F$1)))</f>
        <v>1.2643616997405871</v>
      </c>
      <c r="H50" s="13" t="s">
        <v>341</v>
      </c>
      <c r="I50" s="9">
        <v>9</v>
      </c>
      <c r="J50" s="9">
        <v>9</v>
      </c>
      <c r="K50" s="9">
        <v>11</v>
      </c>
      <c r="L50" s="9">
        <v>16</v>
      </c>
      <c r="M50" s="9">
        <v>23</v>
      </c>
    </row>
    <row r="51" spans="1:18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Argentina</v>
      </c>
      <c r="D51" s="6">
        <f>MAX(I51:BD51)</f>
        <v>23</v>
      </c>
      <c r="E51" s="6">
        <f>IF(COUNTIF(I51:XFD51,"&gt;"&amp;0)=0,,HLOOKUP(COUNTIF(I51:XFD51,"&gt;"&amp;0)-1,I$1:XFD51,A51+1,FALSE))</f>
        <v>23</v>
      </c>
      <c r="F51" s="7">
        <f>IF(COUNTIF(I51:XFD51,"&gt;"&amp;0)=0,,HLOOKUP(COUNTIF(I51:XFD51,"&gt;"&amp;0)-MIN($F$1+1,COUNTIF(I51:XFD51,"&gt;"&amp;0)),I$1:XFD51,A51+1,FALSE))</f>
        <v>8</v>
      </c>
      <c r="G51" s="8">
        <f>IF(COUNTIF(I51:XFD51,"&gt;"&amp;0)=0,,(E51/F51)^(1/MIN(COUNTIF(I51:XFD51,"&gt;"&amp;0)-1,$F$1)))</f>
        <v>1.2351723745192793</v>
      </c>
      <c r="H51" s="13" t="s">
        <v>123</v>
      </c>
      <c r="I51" s="9">
        <v>8</v>
      </c>
      <c r="J51" s="9">
        <v>9</v>
      </c>
      <c r="K51" s="9">
        <v>13</v>
      </c>
      <c r="L51" s="9">
        <v>18</v>
      </c>
      <c r="M51" s="9">
        <v>19</v>
      </c>
      <c r="N51" s="9">
        <v>23</v>
      </c>
    </row>
    <row r="52" spans="1:18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Luxembourg</v>
      </c>
      <c r="D52" s="6">
        <f>MAX(I52:BD52)</f>
        <v>22</v>
      </c>
      <c r="E52" s="6">
        <f>IF(COUNTIF(I52:XFD52,"&gt;"&amp;0)=0,,HLOOKUP(COUNTIF(I52:XFD52,"&gt;"&amp;0)-1,I$1:XFD52,A52+1,FALSE))</f>
        <v>22</v>
      </c>
      <c r="F52" s="7">
        <f>IF(COUNTIF(I52:XFD52,"&gt;"&amp;0)=0,,HLOOKUP(COUNTIF(I52:XFD52,"&gt;"&amp;0)-MIN($F$1+1,COUNTIF(I52:XFD52,"&gt;"&amp;0)),I$1:XFD52,A52+1,FALSE))</f>
        <v>8</v>
      </c>
      <c r="G52" s="8">
        <f>IF(COUNTIF(I52:XFD52,"&gt;"&amp;0)=0,,(E52/F52)^(1/MIN(COUNTIF(I52:XFD52,"&gt;"&amp;0)-1,$F$1)))</f>
        <v>1.2242399253642746</v>
      </c>
      <c r="H52" s="13" t="s">
        <v>99</v>
      </c>
      <c r="I52" s="9">
        <v>8</v>
      </c>
      <c r="J52" s="9">
        <v>8</v>
      </c>
      <c r="K52" s="9">
        <v>8</v>
      </c>
      <c r="L52" s="9">
        <v>8</v>
      </c>
      <c r="M52" s="9">
        <v>8</v>
      </c>
      <c r="N52" s="9">
        <v>9</v>
      </c>
      <c r="O52" s="9">
        <v>15</v>
      </c>
      <c r="P52" s="9">
        <v>18</v>
      </c>
      <c r="Q52" s="9">
        <v>21</v>
      </c>
      <c r="R52" s="9">
        <v>22</v>
      </c>
    </row>
    <row r="53" spans="1:18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Pakistan</v>
      </c>
      <c r="D53" s="6">
        <f>MAX(I53:BD53)</f>
        <v>21</v>
      </c>
      <c r="E53" s="6">
        <f>IF(COUNTIF(I53:XFD53,"&gt;"&amp;0)=0,,HLOOKUP(COUNTIF(I53:XFD53,"&gt;"&amp;0)-1,I$1:XFD53,A53+1,FALSE))</f>
        <v>21</v>
      </c>
      <c r="F53" s="7">
        <f>IF(COUNTIF(I53:XFD53,"&gt;"&amp;0)=0,,HLOOKUP(COUNTIF(I53:XFD53,"&gt;"&amp;0)-MIN($F$1+1,COUNTIF(I53:XFD53,"&gt;"&amp;0)),I$1:XFD53,A53+1,FALSE))</f>
        <v>8</v>
      </c>
      <c r="G53" s="8">
        <f>IF(COUNTIF(I53:XFD53,"&gt;"&amp;0)=0,,(E53/F53)^(1/MIN(COUNTIF(I53:XFD53,"&gt;"&amp;0)-1,$F$1)))</f>
        <v>1.2129024171617326</v>
      </c>
      <c r="H53" s="13" t="s">
        <v>80</v>
      </c>
      <c r="I53" s="9">
        <v>8</v>
      </c>
      <c r="J53" s="9">
        <v>9</v>
      </c>
      <c r="K53" s="9">
        <v>11</v>
      </c>
      <c r="L53" s="9">
        <v>12</v>
      </c>
      <c r="M53" s="9">
        <v>14</v>
      </c>
      <c r="N53" s="9">
        <v>21</v>
      </c>
    </row>
    <row r="54" spans="1:18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Mexico</v>
      </c>
      <c r="D54" s="6">
        <f>MAX(I54:BD54)</f>
        <v>20</v>
      </c>
      <c r="E54" s="6">
        <f>IF(COUNTIF(I54:XFD54,"&gt;"&amp;0)=0,,HLOOKUP(COUNTIF(I54:XFD54,"&gt;"&amp;0)-1,I$1:XFD54,A54+1,FALSE))</f>
        <v>20</v>
      </c>
      <c r="F54" s="7">
        <f>IF(COUNTIF(I54:XFD54,"&gt;"&amp;0)=0,,HLOOKUP(COUNTIF(I54:XFD54,"&gt;"&amp;0)-MIN($F$1+1,COUNTIF(I54:XFD54,"&gt;"&amp;0)),I$1:XFD54,A54+1,FALSE))</f>
        <v>8</v>
      </c>
      <c r="G54" s="8">
        <f>IF(COUNTIF(I54:XFD54,"&gt;"&amp;0)=0,,(E54/F54)^(1/MIN(COUNTIF(I54:XFD54,"&gt;"&amp;0)-1,$F$1)))</f>
        <v>1.3572088082974534</v>
      </c>
      <c r="H54" s="13" t="s">
        <v>94</v>
      </c>
      <c r="I54" s="9">
        <v>8</v>
      </c>
      <c r="J54" s="9">
        <v>12</v>
      </c>
      <c r="K54" s="9">
        <v>16</v>
      </c>
      <c r="L54" s="9">
        <v>20</v>
      </c>
    </row>
    <row r="55" spans="1:18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Australia</v>
      </c>
      <c r="D55" s="6">
        <f>MAX(I55:BD55)</f>
        <v>17</v>
      </c>
      <c r="E55" s="6">
        <f>IF(COUNTIF(I55:XFD55,"&gt;"&amp;0)=0,,HLOOKUP(COUNTIF(I55:XFD55,"&gt;"&amp;0)-1,I$1:XFD55,A55+1,FALSE))</f>
        <v>17</v>
      </c>
      <c r="F55" s="7">
        <f>IF(COUNTIF(I55:XFD55,"&gt;"&amp;0)=0,,HLOOKUP(COUNTIF(I55:XFD55,"&gt;"&amp;0)-MIN($F$1+1,COUNTIF(I55:XFD55,"&gt;"&amp;0)),I$1:XFD55,A55+1,FALSE))</f>
        <v>8</v>
      </c>
      <c r="G55" s="8">
        <f>IF(COUNTIF(I55:XFD55,"&gt;"&amp;0)=0,,(E55/F55)^(1/MIN(COUNTIF(I55:XFD55,"&gt;"&amp;0)-1,$F$1)))</f>
        <v>1.1627110152194982</v>
      </c>
      <c r="H55" s="13" t="s">
        <v>48</v>
      </c>
      <c r="I55" s="9">
        <v>8</v>
      </c>
      <c r="J55" s="9">
        <v>8</v>
      </c>
      <c r="K55" s="9">
        <v>13</v>
      </c>
      <c r="L55" s="9">
        <v>13</v>
      </c>
      <c r="M55" s="9">
        <v>14</v>
      </c>
      <c r="N55" s="9">
        <v>16</v>
      </c>
      <c r="O55" s="9">
        <v>17</v>
      </c>
    </row>
    <row r="56" spans="1:18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Israel</v>
      </c>
      <c r="D56" s="6">
        <f>MAX(I56:BD56)</f>
        <v>16</v>
      </c>
      <c r="E56" s="6">
        <f>IF(COUNTIF(I56:XFD56,"&gt;"&amp;0)=0,,HLOOKUP(COUNTIF(I56:XFD56,"&gt;"&amp;0)-1,I$1:XFD56,A56+1,FALSE))</f>
        <v>16</v>
      </c>
      <c r="F56" s="7">
        <f>IF(COUNTIF(I56:XFD56,"&gt;"&amp;0)=0,,HLOOKUP(COUNTIF(I56:XFD56,"&gt;"&amp;0)-MIN($F$1+1,COUNTIF(I56:XFD56,"&gt;"&amp;0)),I$1:XFD56,A56+1,FALSE))</f>
        <v>8</v>
      </c>
      <c r="G56" s="8">
        <f>IF(COUNTIF(I56:XFD56,"&gt;"&amp;0)=0,,(E56/F56)^(1/MIN(COUNTIF(I56:XFD56,"&gt;"&amp;0)-1,$F$1)))</f>
        <v>1.189207115002721</v>
      </c>
      <c r="H56" s="13" t="s">
        <v>79</v>
      </c>
      <c r="I56" s="9">
        <v>8</v>
      </c>
      <c r="J56" s="9">
        <v>12</v>
      </c>
      <c r="K56" s="9">
        <v>12</v>
      </c>
      <c r="L56" s="9">
        <v>15</v>
      </c>
      <c r="M56" s="9">
        <v>16</v>
      </c>
    </row>
    <row r="57" spans="1:18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Serbia</v>
      </c>
      <c r="D57" s="6">
        <f>MAX(I57:BD57)</f>
        <v>16</v>
      </c>
      <c r="E57" s="6">
        <f>IF(COUNTIF(I57:XFD57,"&gt;"&amp;0)=0,,HLOOKUP(COUNTIF(I57:XFD57,"&gt;"&amp;0)-1,I$1:XFD57,A57+1,FALSE))</f>
        <v>16</v>
      </c>
      <c r="F57" s="7">
        <f>IF(COUNTIF(I57:XFD57,"&gt;"&amp;0)=0,,HLOOKUP(COUNTIF(I57:XFD57,"&gt;"&amp;0)-MIN($F$1+1,COUNTIF(I57:XFD57,"&gt;"&amp;0)),I$1:XFD57,A57+1,FALSE))</f>
        <v>10</v>
      </c>
      <c r="G57" s="8">
        <f>IF(COUNTIF(I57:XFD57,"&gt;"&amp;0)=0,,(E57/F57)^(1/MIN(COUNTIF(I57:XFD57,"&gt;"&amp;0)-1,$F$1)))</f>
        <v>1.2649110640673518</v>
      </c>
      <c r="H57" s="13" t="s">
        <v>161</v>
      </c>
      <c r="I57" s="9">
        <v>10</v>
      </c>
      <c r="J57" s="9">
        <v>13</v>
      </c>
      <c r="K57" s="9">
        <v>16</v>
      </c>
    </row>
    <row r="58" spans="1:18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Hungary</v>
      </c>
      <c r="D58" s="6">
        <f>MAX(I58:BD58)</f>
        <v>15</v>
      </c>
      <c r="E58" s="6">
        <f>IF(COUNTIF(I58:XFD58,"&gt;"&amp;0)=0,,HLOOKUP(COUNTIF(I58:XFD58,"&gt;"&amp;0)-1,I$1:XFD58,A58+1,FALSE))</f>
        <v>15</v>
      </c>
      <c r="F58" s="7">
        <f>IF(COUNTIF(I58:XFD58,"&gt;"&amp;0)=0,,HLOOKUP(COUNTIF(I58:XFD58,"&gt;"&amp;0)-MIN($F$1+1,COUNTIF(I58:XFD58,"&gt;"&amp;0)),I$1:XFD58,A58+1,FALSE))</f>
        <v>10</v>
      </c>
      <c r="G58" s="8">
        <f>IF(COUNTIF(I58:XFD58,"&gt;"&amp;0)=0,,(E58/F58)^(1/MIN(COUNTIF(I58:XFD58,"&gt;"&amp;0)-1,$F$1)))</f>
        <v>1.0844717711976986</v>
      </c>
      <c r="H58" s="13" t="s">
        <v>132</v>
      </c>
      <c r="I58" s="9">
        <v>9</v>
      </c>
      <c r="J58" s="9">
        <v>10</v>
      </c>
      <c r="K58" s="9">
        <v>10</v>
      </c>
      <c r="L58" s="9">
        <v>10</v>
      </c>
      <c r="M58" s="9">
        <v>11</v>
      </c>
      <c r="N58" s="9">
        <v>13</v>
      </c>
      <c r="O58" s="9">
        <v>15</v>
      </c>
    </row>
    <row r="59" spans="1:18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Finland</v>
      </c>
      <c r="D59" s="6">
        <f>MAX(I59:BD59)</f>
        <v>13</v>
      </c>
      <c r="E59" s="6">
        <f>IF(COUNTIF(I59:XFD59,"&gt;"&amp;0)=0,,HLOOKUP(COUNTIF(I59:XFD59,"&gt;"&amp;0)-1,I$1:XFD59,A59+1,FALSE))</f>
        <v>13</v>
      </c>
      <c r="F59" s="7">
        <f>IF(COUNTIF(I59:XFD59,"&gt;"&amp;0)=0,,HLOOKUP(COUNTIF(I59:XFD59,"&gt;"&amp;0)-MIN($F$1+1,COUNTIF(I59:XFD59,"&gt;"&amp;0)),I$1:XFD59,A59+1,FALSE))</f>
        <v>9</v>
      </c>
      <c r="G59" s="8">
        <f>IF(COUNTIF(I59:XFD59,"&gt;"&amp;0)=0,,(E59/F59)^(1/MIN(COUNTIF(I59:XFD59,"&gt;"&amp;0)-1,$F$1)))</f>
        <v>1.2018504251546631</v>
      </c>
      <c r="H59" s="13" t="s">
        <v>54</v>
      </c>
      <c r="I59" s="9">
        <v>9</v>
      </c>
      <c r="J59" s="9">
        <v>11</v>
      </c>
      <c r="K59" s="9">
        <v>13</v>
      </c>
    </row>
    <row r="60" spans="1:18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Ukraine</v>
      </c>
      <c r="D60" s="6">
        <f>MAX(I60:BD60)</f>
        <v>13</v>
      </c>
      <c r="E60" s="6">
        <f>IF(COUNTIF(I60:XFD60,"&gt;"&amp;0)=0,,HLOOKUP(COUNTIF(I60:XFD60,"&gt;"&amp;0)-1,I$1:XFD60,A60+1,FALSE))</f>
        <v>13</v>
      </c>
      <c r="F60" s="7">
        <f>IF(COUNTIF(I60:XFD60,"&gt;"&amp;0)=0,,HLOOKUP(COUNTIF(I60:XFD60,"&gt;"&amp;0)-MIN($F$1+1,COUNTIF(I60:XFD60,"&gt;"&amp;0)),I$1:XFD60,A60+1,FALSE))</f>
        <v>9</v>
      </c>
      <c r="G60" s="8">
        <f>IF(COUNTIF(I60:XFD60,"&gt;"&amp;0)=0,,(E60/F60)^(1/MIN(COUNTIF(I60:XFD60,"&gt;"&amp;0)-1,$F$1)))</f>
        <v>1.2018504251546631</v>
      </c>
      <c r="H60" s="13" t="s">
        <v>129</v>
      </c>
      <c r="I60" s="9">
        <v>9</v>
      </c>
      <c r="J60" s="9">
        <v>10</v>
      </c>
      <c r="K60" s="9">
        <v>13</v>
      </c>
    </row>
    <row r="61" spans="1:18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Colombia</v>
      </c>
      <c r="D61" s="6">
        <f>MAX(I61:BD61)</f>
        <v>12</v>
      </c>
      <c r="E61" s="6">
        <f>IF(COUNTIF(I61:XFD61,"&gt;"&amp;0)=0,,HLOOKUP(COUNTIF(I61:XFD61,"&gt;"&amp;0)-1,I$1:XFD61,A61+1,FALSE))</f>
        <v>12</v>
      </c>
      <c r="F61" s="7">
        <f>IF(COUNTIF(I61:XFD61,"&gt;"&amp;0)=0,,HLOOKUP(COUNTIF(I61:XFD61,"&gt;"&amp;0)-MIN($F$1+1,COUNTIF(I61:XFD61,"&gt;"&amp;0)),I$1:XFD61,A61+1,FALSE))</f>
        <v>10</v>
      </c>
      <c r="G61" s="8">
        <f>IF(COUNTIF(I61:XFD61,"&gt;"&amp;0)=0,,(E61/F61)^(1/MIN(COUNTIF(I61:XFD61,"&gt;"&amp;0)-1,$F$1)))</f>
        <v>1.2</v>
      </c>
      <c r="H61" s="13" t="s">
        <v>158</v>
      </c>
      <c r="I61" s="9">
        <v>10</v>
      </c>
      <c r="J61" s="9">
        <v>12</v>
      </c>
    </row>
    <row r="62" spans="1:18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>Burkina Faso</v>
      </c>
      <c r="D62" s="6">
        <f>MAX(I62:BD62)</f>
        <v>12</v>
      </c>
      <c r="E62" s="6">
        <f>IF(COUNTIF(I62:XFD62,"&gt;"&amp;0)=0,,HLOOKUP(COUNTIF(I62:XFD62,"&gt;"&amp;0)-1,I$1:XFD62,A62+1,FALSE))</f>
        <v>12</v>
      </c>
      <c r="F62" s="7">
        <f>IF(COUNTIF(I62:XFD62,"&gt;"&amp;0)=0,,HLOOKUP(COUNTIF(I62:XFD62,"&gt;"&amp;0)-MIN($F$1+1,COUNTIF(I62:XFD62,"&gt;"&amp;0)),I$1:XFD62,A62+1,FALSE))</f>
        <v>9</v>
      </c>
      <c r="G62" s="8">
        <f>IF(COUNTIF(I62:XFD62,"&gt;"&amp;0)=0,,(E62/F62)^(1/MIN(COUNTIF(I62:XFD62,"&gt;"&amp;0)-1,$F$1)))</f>
        <v>1.1006424162982089</v>
      </c>
      <c r="H62" s="13" t="s">
        <v>279</v>
      </c>
      <c r="I62" s="9">
        <v>9</v>
      </c>
      <c r="J62" s="9">
        <v>11</v>
      </c>
      <c r="K62" s="9">
        <v>12</v>
      </c>
      <c r="L62" s="9">
        <v>12</v>
      </c>
    </row>
    <row r="63" spans="1:18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>Slovenia</v>
      </c>
      <c r="D63" s="6">
        <f>MAX(I63:BD63)</f>
        <v>11</v>
      </c>
      <c r="E63" s="6">
        <f>IF(COUNTIF(I63:XFD63,"&gt;"&amp;0)=0,,HLOOKUP(COUNTIF(I63:XFD63,"&gt;"&amp;0)-1,I$1:XFD63,A63+1,FALSE))</f>
        <v>11</v>
      </c>
      <c r="F63" s="7">
        <f>IF(COUNTIF(I63:XFD63,"&gt;"&amp;0)=0,,HLOOKUP(COUNTIF(I63:XFD63,"&gt;"&amp;0)-MIN($F$1+1,COUNTIF(I63:XFD63,"&gt;"&amp;0)),I$1:XFD63,A63+1,FALSE))</f>
        <v>9</v>
      </c>
      <c r="G63" s="8">
        <f>IF(COUNTIF(I63:XFD63,"&gt;"&amp;0)=0,,(E63/F63)^(1/MIN(COUNTIF(I63:XFD63,"&gt;"&amp;0)-1,$F$1)))</f>
        <v>1.0691781099986088</v>
      </c>
      <c r="H63" s="13" t="s">
        <v>141</v>
      </c>
      <c r="I63" s="9">
        <v>9</v>
      </c>
      <c r="J63" s="9">
        <v>9</v>
      </c>
      <c r="K63" s="9">
        <v>11</v>
      </c>
      <c r="L63" s="9">
        <v>11</v>
      </c>
    </row>
    <row r="64" spans="1:18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>Lebanon</v>
      </c>
      <c r="D64" s="6">
        <f>MAX(I64:BD64)</f>
        <v>11</v>
      </c>
      <c r="E64" s="6">
        <f>IF(COUNTIF(I64:XFD64,"&gt;"&amp;0)=0,,HLOOKUP(COUNTIF(I64:XFD64,"&gt;"&amp;0)-1,I$1:XFD64,A64+1,FALSE))</f>
        <v>11</v>
      </c>
      <c r="F64" s="7">
        <f>IF(COUNTIF(I64:XFD64,"&gt;"&amp;0)=0,,HLOOKUP(COUNTIF(I64:XFD64,"&gt;"&amp;0)-MIN($F$1+1,COUNTIF(I64:XFD64,"&gt;"&amp;0)),I$1:XFD64,A64+1,FALSE))</f>
        <v>8</v>
      </c>
      <c r="G64" s="8">
        <f>IF(COUNTIF(I64:XFD64,"&gt;"&amp;0)=0,,(E64/F64)^(1/MIN(COUNTIF(I64:XFD64,"&gt;"&amp;0)-1,$F$1)))</f>
        <v>1.1119900452846578</v>
      </c>
      <c r="H64" s="13" t="s">
        <v>67</v>
      </c>
      <c r="I64" s="9">
        <v>8</v>
      </c>
      <c r="J64" s="9">
        <v>8</v>
      </c>
      <c r="K64" s="9">
        <v>10</v>
      </c>
      <c r="L64" s="9">
        <v>11</v>
      </c>
    </row>
    <row r="65" spans="1:12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>Albania</v>
      </c>
      <c r="D65" s="6">
        <f>MAX(I65:BD65)</f>
        <v>11</v>
      </c>
      <c r="E65" s="6">
        <f>IF(COUNTIF(I65:XFD65,"&gt;"&amp;0)=0,,HLOOKUP(COUNTIF(I65:XFD65,"&gt;"&amp;0)-1,I$1:XFD65,A65+1,FALSE))</f>
        <v>11</v>
      </c>
      <c r="F65" s="7">
        <f>IF(COUNTIF(I65:XFD65,"&gt;"&amp;0)=0,,HLOOKUP(COUNTIF(I65:XFD65,"&gt;"&amp;0)-MIN($F$1+1,COUNTIF(I65:XFD65,"&gt;"&amp;0)),I$1:XFD65,A65+1,FALSE))</f>
        <v>8</v>
      </c>
      <c r="G65" s="8">
        <f>IF(COUNTIF(I65:XFD65,"&gt;"&amp;0)=0,,(E65/F65)^(1/MIN(COUNTIF(I65:XFD65,"&gt;"&amp;0)-1,$F$1)))</f>
        <v>1.1119900452846578</v>
      </c>
      <c r="H65" s="13" t="s">
        <v>230</v>
      </c>
      <c r="I65" s="9">
        <v>8</v>
      </c>
      <c r="J65" s="9">
        <v>10</v>
      </c>
      <c r="K65" s="9">
        <v>10</v>
      </c>
      <c r="L65" s="9">
        <v>11</v>
      </c>
    </row>
    <row r="66" spans="1:12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>Bosnia and Herzegovina</v>
      </c>
      <c r="D66" s="6">
        <f>MAX(I66:BD66)</f>
        <v>10</v>
      </c>
      <c r="E66" s="6">
        <f>IF(COUNTIF(I66:XFD66,"&gt;"&amp;0)=0,,HLOOKUP(COUNTIF(I66:XFD66,"&gt;"&amp;0)-1,I$1:XFD66,A66+1,FALSE))</f>
        <v>10</v>
      </c>
      <c r="F66" s="7">
        <f>IF(COUNTIF(I66:XFD66,"&gt;"&amp;0)=0,,HLOOKUP(COUNTIF(I66:XFD66,"&gt;"&amp;0)-MIN($F$1+1,COUNTIF(I66:XFD66,"&gt;"&amp;0)),I$1:XFD66,A66+1,FALSE))</f>
        <v>10</v>
      </c>
      <c r="G66" s="8" t="e">
        <f>IF(COUNTIF(I66:XFD66,"&gt;"&amp;0)=0,,(E66/F66)^(1/MIN(COUNTIF(I66:XFD66,"&gt;"&amp;0)-1,$F$1)))</f>
        <v>#DIV/0!</v>
      </c>
      <c r="H66" s="13" t="s">
        <v>140</v>
      </c>
      <c r="I66" s="9">
        <v>10</v>
      </c>
    </row>
    <row r="67" spans="1:12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>Thailand</v>
      </c>
      <c r="D67" s="6">
        <f>MAX(I67:BD67)</f>
        <v>9</v>
      </c>
      <c r="E67" s="6">
        <f>IF(COUNTIF(I67:XFD67,"&gt;"&amp;0)=0,,HLOOKUP(COUNTIF(I67:XFD67,"&gt;"&amp;0)-1,I$1:XFD67,A67+1,FALSE))</f>
        <v>9</v>
      </c>
      <c r="F67" s="7">
        <f>IF(COUNTIF(I67:XFD67,"&gt;"&amp;0)=0,,HLOOKUP(COUNTIF(I67:XFD67,"&gt;"&amp;0)-MIN($F$1+1,COUNTIF(I67:XFD67,"&gt;"&amp;0)),I$1:XFD67,A67+1,FALSE))</f>
        <v>9</v>
      </c>
      <c r="G67" s="8" t="e">
        <f>IF(COUNTIF(I67:XFD67,"&gt;"&amp;0)=0,,(E67/F67)^(1/MIN(COUNTIF(I67:XFD67,"&gt;"&amp;0)-1,$F$1)))</f>
        <v>#DIV/0!</v>
      </c>
      <c r="H67" s="13" t="s">
        <v>35</v>
      </c>
      <c r="I67" s="9">
        <v>9</v>
      </c>
    </row>
    <row r="68" spans="1:12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>Russia</v>
      </c>
      <c r="D68" s="6">
        <f>MAX(I68:BD68)</f>
        <v>9</v>
      </c>
      <c r="E68" s="6">
        <f>IF(COUNTIF(I68:XFD68,"&gt;"&amp;0)=0,,HLOOKUP(COUNTIF(I68:XFD68,"&gt;"&amp;0)-1,I$1:XFD68,A68+1,FALSE))</f>
        <v>9</v>
      </c>
      <c r="F68" s="7">
        <f>IF(COUNTIF(I68:XFD68,"&gt;"&amp;0)=0,,HLOOKUP(COUNTIF(I68:XFD68,"&gt;"&amp;0)-MIN($F$1+1,COUNTIF(I68:XFD68,"&gt;"&amp;0)),I$1:XFD68,A68+1,FALSE))</f>
        <v>8</v>
      </c>
      <c r="G68" s="8">
        <f>IF(COUNTIF(I68:XFD68,"&gt;"&amp;0)=0,,(E68/F68)^(1/MIN(COUNTIF(I68:XFD68,"&gt;"&amp;0)-1,$F$1)))</f>
        <v>1.125</v>
      </c>
      <c r="H68" s="13" t="s">
        <v>344</v>
      </c>
      <c r="I68" s="9">
        <v>8</v>
      </c>
      <c r="J68" s="9">
        <v>9</v>
      </c>
    </row>
    <row r="69" spans="1:12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>Saudi Arabia</v>
      </c>
      <c r="D69" s="6">
        <f>MAX(I69:BD69)</f>
        <v>8</v>
      </c>
      <c r="E69" s="6">
        <f>IF(COUNTIF(I69:XFD69,"&gt;"&amp;0)=0,,HLOOKUP(COUNTIF(I69:XFD69,"&gt;"&amp;0)-1,I$1:XFD69,A69+1,FALSE))</f>
        <v>8</v>
      </c>
      <c r="F69" s="7">
        <f>IF(COUNTIF(I69:XFD69,"&gt;"&amp;0)=0,,HLOOKUP(COUNTIF(I69:XFD69,"&gt;"&amp;0)-MIN($F$1+1,COUNTIF(I69:XFD69,"&gt;"&amp;0)),I$1:XFD69,A69+1,FALSE))</f>
        <v>8</v>
      </c>
      <c r="G69" s="8">
        <f>IF(COUNTIF(I69:XFD69,"&gt;"&amp;0)=0,,(E69/F69)^(1/MIN(COUNTIF(I69:XFD69,"&gt;"&amp;0)-1,$F$1)))</f>
        <v>1</v>
      </c>
      <c r="H69" s="13" t="s">
        <v>113</v>
      </c>
      <c r="I69" s="9">
        <v>8</v>
      </c>
      <c r="J69" s="9">
        <v>8</v>
      </c>
    </row>
    <row r="70" spans="1:12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>Chile</v>
      </c>
      <c r="D70" s="6">
        <f>MAX(I70:BD70)</f>
        <v>8</v>
      </c>
      <c r="E70" s="6">
        <f>IF(COUNTIF(I70:XFD70,"&gt;"&amp;0)=0,,HLOOKUP(COUNTIF(I70:XFD70,"&gt;"&amp;0)-1,I$1:XFD70,A70+1,FALSE))</f>
        <v>8</v>
      </c>
      <c r="F70" s="7">
        <f>IF(COUNTIF(I70:XFD70,"&gt;"&amp;0)=0,,HLOOKUP(COUNTIF(I70:XFD70,"&gt;"&amp;0)-MIN($F$1+1,COUNTIF(I70:XFD70,"&gt;"&amp;0)),I$1:XFD70,A70+1,FALSE))</f>
        <v>8</v>
      </c>
      <c r="G70" s="8" t="e">
        <f>IF(COUNTIF(I70:XFD70,"&gt;"&amp;0)=0,,(E70/F70)^(1/MIN(COUNTIF(I70:XFD70,"&gt;"&amp;0)-1,$F$1)))</f>
        <v>#DIV/0!</v>
      </c>
      <c r="H70" s="13" t="s">
        <v>124</v>
      </c>
      <c r="I70" s="9">
        <v>8</v>
      </c>
    </row>
    <row r="71" spans="1:12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>Bulgaria</v>
      </c>
      <c r="D71" s="6">
        <f>MAX(I71:BD71)</f>
        <v>8</v>
      </c>
      <c r="E71" s="6">
        <f>IF(COUNTIF(I71:XFD71,"&gt;"&amp;0)=0,,HLOOKUP(COUNTIF(I71:XFD71,"&gt;"&amp;0)-1,I$1:XFD71,A71+1,FALSE))</f>
        <v>8</v>
      </c>
      <c r="F71" s="7">
        <f>IF(COUNTIF(I71:XFD71,"&gt;"&amp;0)=0,,HLOOKUP(COUNTIF(I71:XFD71,"&gt;"&amp;0)-MIN($F$1+1,COUNTIF(I71:XFD71,"&gt;"&amp;0)),I$1:XFD71,A71+1,FALSE))</f>
        <v>8</v>
      </c>
      <c r="G71" s="8">
        <f>IF(COUNTIF(I71:XFD71,"&gt;"&amp;0)=0,,(E71/F71)^(1/MIN(COUNTIF(I71:XFD71,"&gt;"&amp;0)-1,$F$1)))</f>
        <v>1</v>
      </c>
      <c r="H71" s="13" t="s">
        <v>199</v>
      </c>
      <c r="I71" s="9">
        <v>8</v>
      </c>
      <c r="J71" s="9">
        <v>8</v>
      </c>
    </row>
    <row r="72" spans="1:12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>Tunisia</v>
      </c>
      <c r="D72" s="6">
        <f>MAX(I72:BD72)</f>
        <v>8</v>
      </c>
      <c r="E72" s="6">
        <f>IF(COUNTIF(I72:XFD72,"&gt;"&amp;0)=0,,HLOOKUP(COUNTIF(I72:XFD72,"&gt;"&amp;0)-1,I$1:XFD72,A72+1,FALSE))</f>
        <v>8</v>
      </c>
      <c r="F72" s="7">
        <f>IF(COUNTIF(I72:XFD72,"&gt;"&amp;0)=0,,HLOOKUP(COUNTIF(I72:XFD72,"&gt;"&amp;0)-MIN($F$1+1,COUNTIF(I72:XFD72,"&gt;"&amp;0)),I$1:XFD72,A72+1,FALSE))</f>
        <v>8</v>
      </c>
      <c r="G72" s="8">
        <f>IF(COUNTIF(I72:XFD72,"&gt;"&amp;0)=0,,(E72/F72)^(1/MIN(COUNTIF(I72:XFD72,"&gt;"&amp;0)-1,$F$1)))</f>
        <v>1</v>
      </c>
      <c r="H72" s="13" t="s">
        <v>138</v>
      </c>
      <c r="I72" s="9">
        <v>8</v>
      </c>
      <c r="J72" s="9">
        <v>8</v>
      </c>
      <c r="K72" s="9">
        <v>8</v>
      </c>
    </row>
    <row r="73" spans="1:12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>Congo (Kinshasa)</v>
      </c>
      <c r="D73" s="6">
        <f>MAX(I73:BD73)</f>
        <v>8</v>
      </c>
      <c r="E73" s="6">
        <f>IF(COUNTIF(I73:XFD73,"&gt;"&amp;0)=0,,HLOOKUP(COUNTIF(I73:XFD73,"&gt;"&amp;0)-1,I$1:XFD73,A73+1,FALSE))</f>
        <v>8</v>
      </c>
      <c r="F73" s="7">
        <f>IF(COUNTIF(I73:XFD73,"&gt;"&amp;0)=0,,HLOOKUP(COUNTIF(I73:XFD73,"&gt;"&amp;0)-MIN($F$1+1,COUNTIF(I73:XFD73,"&gt;"&amp;0)),I$1:XFD73,A73+1,FALSE))</f>
        <v>8</v>
      </c>
      <c r="G73" s="8" t="e">
        <f>IF(COUNTIF(I73:XFD73,"&gt;"&amp;0)=0,,(E73/F73)^(1/MIN(COUNTIF(I73:XFD73,"&gt;"&amp;0)-1,$F$1)))</f>
        <v>#DIV/0!</v>
      </c>
      <c r="H73" s="13" t="s">
        <v>351</v>
      </c>
      <c r="I73" s="9">
        <v>8</v>
      </c>
    </row>
    <row r="74" spans="1:12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>Andorra</v>
      </c>
      <c r="D74" s="6">
        <f>MAX(I74:BD74)</f>
        <v>8</v>
      </c>
      <c r="E74" s="6">
        <f>IF(COUNTIF(I74:XFD74,"&gt;"&amp;0)=0,,HLOOKUP(COUNTIF(I74:XFD74,"&gt;"&amp;0)-1,I$1:XFD74,A74+1,FALSE))</f>
        <v>8</v>
      </c>
      <c r="F74" s="7">
        <f>IF(COUNTIF(I74:XFD74,"&gt;"&amp;0)=0,,HLOOKUP(COUNTIF(I74:XFD74,"&gt;"&amp;0)-MIN($F$1+1,COUNTIF(I74:XFD74,"&gt;"&amp;0)),I$1:XFD74,A74+1,FALSE))</f>
        <v>8</v>
      </c>
      <c r="G74" s="8" t="e">
        <f>IF(COUNTIF(I74:XFD74,"&gt;"&amp;0)=0,,(E74/F74)^(1/MIN(COUNTIF(I74:XFD74,"&gt;"&amp;0)-1,$F$1)))</f>
        <v>#DIV/0!</v>
      </c>
      <c r="H74" s="13" t="s">
        <v>109</v>
      </c>
      <c r="I74" s="9">
        <v>8</v>
      </c>
    </row>
    <row r="75" spans="1:12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12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12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12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2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2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570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571</v>
      </c>
      <c r="P1" s="52" t="s">
        <v>572</v>
      </c>
      <c r="Q1" s="52" t="s">
        <v>606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82198</v>
      </c>
      <c r="G2" s="41">
        <f>MAX(CumulativeDead!2:2)</f>
        <v>3308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4.0244288182194214E-2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607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101739</v>
      </c>
      <c r="G3" s="41">
        <f>MAX(CumulativeDead!3:3)</f>
        <v>11591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0.11392877854116908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608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41495</v>
      </c>
      <c r="G4" s="41">
        <f>MAX(CumulativeDead!4:4)</f>
        <v>2757</v>
      </c>
      <c r="J4" s="41">
        <v>83992949</v>
      </c>
      <c r="K4" s="52">
        <v>0</v>
      </c>
      <c r="L4" s="41">
        <v>0</v>
      </c>
      <c r="M4" s="69">
        <f t="shared" si="0"/>
        <v>6.6441739968670921E-2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609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9661</v>
      </c>
      <c r="G5" s="41">
        <f>MAX(CumulativeDead!5:5)</f>
        <v>158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1.6354414656867818E-2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607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87956</v>
      </c>
      <c r="G6" s="41">
        <f>MAX(CumulativeDead!6:6)</f>
        <v>7716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8.7725681022329347E-2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608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66885</v>
      </c>
      <c r="G7" s="41">
        <f>MAX(CumulativeDead!7:7)</f>
        <v>645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9.6434178066831123E-3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608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45170</v>
      </c>
      <c r="G8" s="41">
        <f>MAX(CumulativeDead!8:8)</f>
        <v>3030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6.7079920301084797E-2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608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161807</v>
      </c>
      <c r="G9" s="41">
        <f>MAX(CumulativeDead!9:9)</f>
        <v>2978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1.8404642567997676E-2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610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15922</v>
      </c>
      <c r="G10" s="41">
        <f>MAX(CumulativeDead!10:10)</f>
        <v>359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2.2547418665996733E-2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608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4445</v>
      </c>
      <c r="G11" s="41">
        <f>MAX(CumulativeDead!11:11)</f>
        <v>32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7.1991001124859389E-3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608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4028</v>
      </c>
      <c r="G12" s="41">
        <f>MAX(CumulativeDead!12:12)</f>
        <v>146</v>
      </c>
      <c r="J12" s="41">
        <v>10099265</v>
      </c>
      <c r="K12" s="52">
        <v>5.8</v>
      </c>
      <c r="L12" s="41">
        <v>585.75736999999992</v>
      </c>
      <c r="M12" s="69">
        <f t="shared" si="0"/>
        <v>3.6246276067527311E-2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608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2755</v>
      </c>
      <c r="G13" s="41">
        <f>MAX(CumulativeDead!13:13)</f>
        <v>77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2.7949183303085299E-2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608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11817</v>
      </c>
      <c r="G14" s="41">
        <f>MAX(CumulativeDead!14:14)</f>
        <v>865</v>
      </c>
      <c r="J14" s="41">
        <v>17134872</v>
      </c>
      <c r="K14" s="52">
        <v>0</v>
      </c>
      <c r="L14" s="41">
        <v>0</v>
      </c>
      <c r="M14" s="69">
        <f t="shared" si="0"/>
        <v>7.3199627655073193E-2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608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22453</v>
      </c>
      <c r="G15" s="41">
        <f>MAX(CumulativeDead!15:15)</f>
        <v>1411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6.2842381864338839E-2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608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1866</v>
      </c>
      <c r="G16" s="41">
        <f>MAX(CumulativeDead!16:16)</f>
        <v>54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2.8938906752411574E-2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607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11899</v>
      </c>
      <c r="G18" s="41">
        <f>MAX(CumulativeDead!18:18)</f>
        <v>513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4.3112866627447684E-2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608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9618</v>
      </c>
      <c r="G19" s="41">
        <f>MAX(CumulativeDead!19:19)</f>
        <v>108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1.1228945726762321E-2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608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693</v>
      </c>
      <c r="G20" s="41">
        <f>MAX(CumulativeDead!20:20)</f>
        <v>1</v>
      </c>
      <c r="J20" s="41">
        <v>2881053</v>
      </c>
      <c r="K20" s="52">
        <v>0</v>
      </c>
      <c r="L20" s="41">
        <v>0</v>
      </c>
      <c r="M20" s="69">
        <f t="shared" si="0"/>
        <v>1.443001443001443E-3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609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4361</v>
      </c>
      <c r="G21" s="41">
        <f>MAX(CumulativeDead!21:21)</f>
        <v>17</v>
      </c>
      <c r="J21" s="41">
        <v>25499884</v>
      </c>
      <c r="K21" s="52">
        <v>0</v>
      </c>
      <c r="L21" s="41">
        <v>0</v>
      </c>
      <c r="M21" s="69">
        <f t="shared" si="0"/>
        <v>3.8981884888786974E-3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613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879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3.4129692832764505E-3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607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2626</v>
      </c>
      <c r="G23" s="41">
        <f>MAX(CumulativeDead!23:23)</f>
        <v>37</v>
      </c>
      <c r="J23" s="41">
        <v>32365999</v>
      </c>
      <c r="K23" s="52">
        <v>0</v>
      </c>
      <c r="L23" s="41">
        <v>0</v>
      </c>
      <c r="M23" s="69">
        <f t="shared" si="0"/>
        <v>1.408987052551409E-2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607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7398</v>
      </c>
      <c r="G24" s="41">
        <f>MAX(CumulativeDead!24:24)</f>
        <v>80</v>
      </c>
      <c r="J24" s="41">
        <v>37742154</v>
      </c>
      <c r="K24" s="52">
        <v>0</v>
      </c>
      <c r="L24" s="41">
        <v>0</v>
      </c>
      <c r="M24" s="69">
        <f t="shared" si="0"/>
        <v>1.0813733441470668E-2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610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1212</v>
      </c>
      <c r="G25" s="41">
        <f>MAX(CumulativeDead!25:25)</f>
        <v>43</v>
      </c>
      <c r="J25" s="41">
        <v>10423054</v>
      </c>
      <c r="K25" s="52">
        <v>6</v>
      </c>
      <c r="L25" s="41">
        <v>625.38324</v>
      </c>
      <c r="M25" s="69">
        <f t="shared" si="0"/>
        <v>3.5478547854785478E-2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608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515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7.7669902912621356E-3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609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4695</v>
      </c>
      <c r="G27" s="41">
        <f>MAX(CumulativeDead!27:27)</f>
        <v>16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3.4078807241746537E-3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609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1352</v>
      </c>
      <c r="G28" s="41">
        <f>MAX(CumulativeDead!28:28)</f>
        <v>13</v>
      </c>
      <c r="J28" s="41">
        <v>5540720</v>
      </c>
      <c r="K28" s="52">
        <v>6.1</v>
      </c>
      <c r="L28" s="41">
        <v>337.98392000000001</v>
      </c>
      <c r="M28" s="69">
        <f t="shared" si="0"/>
        <v>9.6153846153846159E-3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608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4579</v>
      </c>
      <c r="G29" s="41">
        <f>MAX(CumulativeDead!29:29)</f>
        <v>159</v>
      </c>
      <c r="J29" s="41">
        <v>212559417</v>
      </c>
      <c r="K29" s="52">
        <v>0</v>
      </c>
      <c r="L29" s="41">
        <v>0</v>
      </c>
      <c r="M29" s="69">
        <f t="shared" si="0"/>
        <v>3.4723738807599915E-2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611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3001</v>
      </c>
      <c r="G30" s="41">
        <f>MAX(CumulativeDead!30:30)</f>
        <v>23</v>
      </c>
      <c r="J30" s="41">
        <v>10708981</v>
      </c>
      <c r="K30" s="52">
        <v>11.6</v>
      </c>
      <c r="L30" s="41">
        <v>1242.241796</v>
      </c>
      <c r="M30" s="69">
        <f t="shared" si="0"/>
        <v>7.6641119626791069E-3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608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756</v>
      </c>
      <c r="G31" s="41">
        <f>MAX(CumulativeDead!31:31)</f>
        <v>11</v>
      </c>
      <c r="J31" s="41">
        <v>2078938</v>
      </c>
      <c r="K31" s="52">
        <v>6.4</v>
      </c>
      <c r="L31" s="41">
        <v>133.05203200000003</v>
      </c>
      <c r="M31" s="69">
        <f t="shared" si="0"/>
        <v>1.4550264550264549E-2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608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1086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4.6040515653775326E-3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608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6408</v>
      </c>
      <c r="G33" s="41">
        <f>MAX(CumulativeDead!33:33)</f>
        <v>140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2.1847690387016231E-2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608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630</v>
      </c>
      <c r="G34" s="41">
        <f>MAX(CumulativeDead!34:34)</f>
        <v>46</v>
      </c>
      <c r="J34" s="41">
        <v>40222493</v>
      </c>
      <c r="K34" s="52">
        <v>0</v>
      </c>
      <c r="L34" s="41">
        <v>0</v>
      </c>
      <c r="M34" s="69">
        <f t="shared" ref="M34:M65" si="2">G34/F34</f>
        <v>7.301587301587302E-2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609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2910</v>
      </c>
      <c r="G35" s="41">
        <f>MAX(CumulativeDead!35:35)</f>
        <v>54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1.8556701030927835E-2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608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2109</v>
      </c>
      <c r="G36" s="41">
        <f>MAX(CumulativeDead!36:36)</f>
        <v>65</v>
      </c>
      <c r="J36" s="41">
        <v>19237691</v>
      </c>
      <c r="K36" s="52">
        <v>21.4</v>
      </c>
      <c r="L36" s="41">
        <v>4116.8658740000001</v>
      </c>
      <c r="M36" s="69">
        <f t="shared" si="2"/>
        <v>3.0820293978188716E-2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608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1453</v>
      </c>
      <c r="G37" s="41">
        <f>MAX(CumulativeDead!37:37)</f>
        <v>8</v>
      </c>
      <c r="J37" s="41">
        <v>34813871</v>
      </c>
      <c r="K37" s="52">
        <v>0</v>
      </c>
      <c r="L37" s="41">
        <v>0</v>
      </c>
      <c r="M37" s="69">
        <f t="shared" si="2"/>
        <v>5.5058499655884375E-3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609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611</v>
      </c>
      <c r="G38" s="41">
        <f>MAX(CumulativeDead!38:38)</f>
        <v>5</v>
      </c>
      <c r="J38" s="41">
        <v>9890402</v>
      </c>
      <c r="K38" s="52">
        <v>0</v>
      </c>
      <c r="L38" s="41">
        <v>0</v>
      </c>
      <c r="M38" s="69">
        <f t="shared" si="2"/>
        <v>8.1833060556464818E-3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609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1251</v>
      </c>
      <c r="G39" s="41">
        <f>MAX(CumulativeDead!39:39)</f>
        <v>32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2.5579536370903277E-2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607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656</v>
      </c>
      <c r="G40" s="41">
        <f>MAX(CumulativeDead!40:40)</f>
        <v>41</v>
      </c>
      <c r="J40" s="41">
        <v>102334404</v>
      </c>
      <c r="K40" s="52">
        <v>0</v>
      </c>
      <c r="L40" s="41">
        <v>0</v>
      </c>
      <c r="M40" s="69">
        <f t="shared" si="2"/>
        <v>6.25E-2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612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266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609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230</v>
      </c>
      <c r="G42" s="41">
        <f>MAX(CumulativeDead!42:42)</f>
        <v>25</v>
      </c>
      <c r="J42" s="41">
        <v>33931</v>
      </c>
      <c r="K42" s="52">
        <v>0</v>
      </c>
      <c r="L42" s="41">
        <v>0</v>
      </c>
      <c r="M42" s="69">
        <f t="shared" si="2"/>
        <v>0.10869565217391304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608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715</v>
      </c>
      <c r="G43" s="41">
        <f>MAX(CumulativeDead!43:43)</f>
        <v>3</v>
      </c>
      <c r="J43" s="41">
        <v>1326535</v>
      </c>
      <c r="K43" s="52">
        <v>14.6</v>
      </c>
      <c r="L43" s="41">
        <v>193.67410999999998</v>
      </c>
      <c r="M43" s="69">
        <f t="shared" si="2"/>
        <v>4.1958041958041958E-3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608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446</v>
      </c>
      <c r="G44" s="41">
        <f>MAX(CumulativeDead!44:44)</f>
        <v>11</v>
      </c>
      <c r="J44" s="41">
        <v>6825445</v>
      </c>
      <c r="K44" s="52">
        <v>0</v>
      </c>
      <c r="L44" s="41">
        <v>0</v>
      </c>
      <c r="M44" s="69">
        <f t="shared" si="2"/>
        <v>2.4663677130044841E-2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609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1524</v>
      </c>
      <c r="G45" s="41">
        <f>MAX(CumulativeDead!45:45)</f>
        <v>9</v>
      </c>
      <c r="J45" s="41">
        <v>69799978</v>
      </c>
      <c r="K45" s="52">
        <v>0</v>
      </c>
      <c r="L45" s="41">
        <v>0</v>
      </c>
      <c r="M45" s="69">
        <f t="shared" si="2"/>
        <v>5.905511811023622E-3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607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1414</v>
      </c>
      <c r="G46" s="41">
        <f>MAX(CumulativeDead!46:46)</f>
        <v>122</v>
      </c>
      <c r="J46" s="41">
        <v>273523615</v>
      </c>
      <c r="K46" s="52">
        <v>0</v>
      </c>
      <c r="L46" s="41">
        <v>0</v>
      </c>
      <c r="M46" s="69">
        <f t="shared" si="2"/>
        <v>8.6280056577086275E-2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607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2055</v>
      </c>
      <c r="G47" s="41">
        <f>MAX(CumulativeDead!47:47)</f>
        <v>31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1.5085158150851581E-2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608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1546</v>
      </c>
      <c r="G48" s="41">
        <f>MAX(CumulativeDead!48:48)</f>
        <v>78</v>
      </c>
      <c r="J48" s="41">
        <v>109581078</v>
      </c>
      <c r="K48" s="52">
        <v>0</v>
      </c>
      <c r="L48" s="41">
        <v>0</v>
      </c>
      <c r="M48" s="69">
        <f t="shared" si="2"/>
        <v>5.0452781371280724E-2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607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306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1.6339869281045753E-2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607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203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607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1836</v>
      </c>
      <c r="G51" s="41">
        <f>MAX(CumulativeDead!51:51)</f>
        <v>9</v>
      </c>
      <c r="J51" s="41">
        <v>145934462</v>
      </c>
      <c r="K51" s="52">
        <v>0</v>
      </c>
      <c r="L51" s="41">
        <v>0</v>
      </c>
      <c r="M51" s="69">
        <f t="shared" si="2"/>
        <v>4.9019607843137254E-3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607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2449</v>
      </c>
      <c r="G52" s="41">
        <f>MAX(CumulativeDead!52:52)</f>
        <v>8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3.2666394446712946E-3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611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127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7.874015748031496E-3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607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785</v>
      </c>
      <c r="G54" s="41">
        <f>MAX(CumulativeDead!54:54)</f>
        <v>16</v>
      </c>
      <c r="J54" s="41">
        <v>8737371</v>
      </c>
      <c r="K54" s="52" t="s">
        <v>511</v>
      </c>
      <c r="L54" s="41" t="e">
        <v>#VALUE!</v>
      </c>
      <c r="M54" s="69">
        <f t="shared" si="2"/>
        <v>2.038216560509554E-2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608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1988</v>
      </c>
      <c r="G55" s="41">
        <f>MAX(CumulativeDead!55:55)</f>
        <v>22</v>
      </c>
      <c r="J55" s="41">
        <v>625978</v>
      </c>
      <c r="K55" s="52">
        <v>24.8</v>
      </c>
      <c r="L55" s="41">
        <v>155.24254400000001</v>
      </c>
      <c r="M55" s="69">
        <f t="shared" si="2"/>
        <v>1.1066398390342052E-2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608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223</v>
      </c>
      <c r="G56" s="41">
        <f>MAX(CumulativeDead!56:56)</f>
        <v>11</v>
      </c>
      <c r="J56" s="41">
        <v>2877797</v>
      </c>
      <c r="K56" s="52" t="s">
        <v>511</v>
      </c>
      <c r="L56" s="41" t="e">
        <v>#VALUE!</v>
      </c>
      <c r="M56" s="69">
        <f t="shared" si="2"/>
        <v>4.9327354260089683E-2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608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790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7.5949367088607592E-3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608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336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2.976190476190476E-3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608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820</v>
      </c>
      <c r="G59" s="41">
        <f>MAX(CumulativeDead!59:59)</f>
        <v>23</v>
      </c>
      <c r="J59" s="41">
        <v>45195774</v>
      </c>
      <c r="K59" s="52" t="s">
        <v>511</v>
      </c>
      <c r="L59" s="41" t="e">
        <v>#VALUE!</v>
      </c>
      <c r="M59" s="69">
        <f t="shared" si="2"/>
        <v>2.8048780487804879E-2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611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1717</v>
      </c>
      <c r="G60" s="41">
        <f>MAX(CumulativeDead!60:60)</f>
        <v>21</v>
      </c>
      <c r="J60" s="41">
        <v>220892340</v>
      </c>
      <c r="K60" s="52">
        <v>0</v>
      </c>
      <c r="L60" s="41">
        <v>0</v>
      </c>
      <c r="M60" s="69">
        <f t="shared" si="2"/>
        <v>1.2230634828188701E-2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607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950</v>
      </c>
      <c r="G61" s="41">
        <f>MAX(CumulativeDead!61:61)</f>
        <v>24</v>
      </c>
      <c r="J61" s="41">
        <v>32971854</v>
      </c>
      <c r="K61" s="52">
        <v>0</v>
      </c>
      <c r="L61" s="41">
        <v>0</v>
      </c>
      <c r="M61" s="69">
        <f t="shared" si="2"/>
        <v>2.5263157894736842E-2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611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152</v>
      </c>
      <c r="G62" s="41">
        <f>MAX(CumulativeDead!62:62)</f>
        <v>0</v>
      </c>
      <c r="J62" s="41">
        <v>9449323</v>
      </c>
      <c r="K62" s="52" t="s">
        <v>511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608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989</v>
      </c>
      <c r="G63" s="41">
        <f>MAX(CumulativeDead!63:63)</f>
        <v>24</v>
      </c>
      <c r="J63" s="41">
        <v>4314767</v>
      </c>
      <c r="K63" s="52" t="s">
        <v>511</v>
      </c>
      <c r="L63" s="41" t="e">
        <v>#VALUE!</v>
      </c>
      <c r="M63" s="69">
        <f t="shared" si="2"/>
        <v>2.4266936299292215E-2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610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584</v>
      </c>
      <c r="G64" s="41">
        <f>MAX(CumulativeDead!64:64)</f>
        <v>35</v>
      </c>
      <c r="J64" s="41">
        <v>43851044</v>
      </c>
      <c r="K64" s="52" t="s">
        <v>511</v>
      </c>
      <c r="L64" s="41" t="e">
        <v>#VALUE!</v>
      </c>
      <c r="M64" s="69">
        <f t="shared" si="2"/>
        <v>5.9931506849315065E-2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612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103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608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1326</v>
      </c>
      <c r="G66" s="41">
        <f>MAX(CumulativeDead!66:66)</f>
        <v>3</v>
      </c>
      <c r="J66" s="41">
        <v>59308690</v>
      </c>
      <c r="K66" s="52">
        <v>0</v>
      </c>
      <c r="L66" s="41">
        <v>0</v>
      </c>
      <c r="M66" s="69">
        <f t="shared" ref="M66:M97" si="4">G66/F66</f>
        <v>2.2624434389140274E-3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612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359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2.2284122562674095E-2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608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330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6.0606060606060606E-3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610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447</v>
      </c>
      <c r="G69" s="41">
        <f>MAX(CumulativeDead!69:69)</f>
        <v>15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3.3557046979865772E-2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608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179</v>
      </c>
      <c r="G70" s="41">
        <f>MAX(CumulativeDead!70:70)</f>
        <v>0</v>
      </c>
      <c r="J70" s="41">
        <v>5106626</v>
      </c>
      <c r="K70" s="52" t="s">
        <v>511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609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1962</v>
      </c>
      <c r="G71" s="41">
        <f>MAX(CumulativeDead!71:71)</f>
        <v>60</v>
      </c>
      <c r="J71" s="41">
        <v>17643054</v>
      </c>
      <c r="K71" s="52">
        <v>0</v>
      </c>
      <c r="L71" s="41">
        <v>0</v>
      </c>
      <c r="M71" s="69">
        <f t="shared" si="4"/>
        <v>3.0581039755351681E-2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611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376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608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312</v>
      </c>
      <c r="G73" s="41">
        <f>MAX(CumulativeDead!73:73)</f>
        <v>8</v>
      </c>
      <c r="J73" s="41">
        <v>11818619</v>
      </c>
      <c r="K73" s="52" t="s">
        <v>511</v>
      </c>
      <c r="L73" s="41" t="e">
        <v>#VALUE!</v>
      </c>
      <c r="M73" s="69">
        <f t="shared" si="4"/>
        <v>2.564102564102564E-2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612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273</v>
      </c>
      <c r="G74" s="41">
        <f>MAX(CumulativeDead!74:74)</f>
        <v>4</v>
      </c>
      <c r="J74" s="41">
        <v>10139177</v>
      </c>
      <c r="K74" s="52" t="s">
        <v>511</v>
      </c>
      <c r="L74" s="41" t="e">
        <v>#VALUE!</v>
      </c>
      <c r="M74" s="69">
        <f t="shared" si="4"/>
        <v>1.4652014652014652E-2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607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230</v>
      </c>
      <c r="G75" s="41">
        <f>MAX(CumulativeDead!75:75)</f>
        <v>7</v>
      </c>
      <c r="J75" s="41">
        <v>1207359</v>
      </c>
      <c r="K75" s="52">
        <v>11.4</v>
      </c>
      <c r="L75" s="41">
        <v>137.638926</v>
      </c>
      <c r="M75" s="69">
        <f t="shared" si="4"/>
        <v>3.0434782608695653E-2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608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285</v>
      </c>
      <c r="G76" s="41">
        <f>MAX(CumulativeDead!76:76)</f>
        <v>7</v>
      </c>
      <c r="J76" s="41">
        <v>2083374</v>
      </c>
      <c r="K76" s="52" t="s">
        <v>511</v>
      </c>
      <c r="L76" s="41" t="e">
        <v>#VALUE!</v>
      </c>
      <c r="M76" s="69">
        <f t="shared" si="4"/>
        <v>2.456140350877193E-2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608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368</v>
      </c>
      <c r="G77" s="41">
        <f>MAX(CumulativeDead!77:77)</f>
        <v>10</v>
      </c>
      <c r="J77" s="41">
        <v>3280819</v>
      </c>
      <c r="K77" s="52" t="s">
        <v>511</v>
      </c>
      <c r="L77" s="41" t="e">
        <v>#VALUE!</v>
      </c>
      <c r="M77" s="69">
        <f t="shared" si="4"/>
        <v>2.717391304347826E-2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608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798</v>
      </c>
      <c r="G78" s="41">
        <f>MAX(CumulativeDead!78:78)</f>
        <v>12</v>
      </c>
      <c r="J78" s="41">
        <v>50882891</v>
      </c>
      <c r="K78" s="52" t="s">
        <v>511</v>
      </c>
      <c r="L78" s="41" t="e">
        <v>#VALUE!</v>
      </c>
      <c r="M78" s="69">
        <f t="shared" si="4"/>
        <v>1.5037593984962405E-2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611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156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608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993</v>
      </c>
      <c r="G80" s="41">
        <f>MAX(CumulativeDead!80:80)</f>
        <v>20</v>
      </c>
      <c r="J80" s="41">
        <v>128932753</v>
      </c>
      <c r="K80" s="52" t="s">
        <v>511</v>
      </c>
      <c r="L80" s="41" t="e">
        <v>#VALUE!</v>
      </c>
      <c r="M80" s="69">
        <f t="shared" si="4"/>
        <v>2.014098690835851E-2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610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162</v>
      </c>
      <c r="G81" s="41">
        <f>MAX(CumulativeDead!81:81)</f>
        <v>0</v>
      </c>
      <c r="J81" s="41">
        <v>16743927</v>
      </c>
      <c r="K81" s="52" t="s">
        <v>511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612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17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607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482</v>
      </c>
      <c r="G83" s="41">
        <f>MAX(CumulativeDead!83:83)</f>
        <v>3</v>
      </c>
      <c r="J83" s="41">
        <v>2963243</v>
      </c>
      <c r="K83" s="52" t="s">
        <v>511</v>
      </c>
      <c r="L83" s="41" t="e">
        <v>#VALUE!</v>
      </c>
      <c r="M83" s="69">
        <f t="shared" si="4"/>
        <v>6.2240663900414933E-3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608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36</v>
      </c>
      <c r="G84" s="41">
        <f>MAX(CumulativeDead!84:84)</f>
        <v>1</v>
      </c>
      <c r="J84" s="41">
        <v>2961167</v>
      </c>
      <c r="K84" s="52" t="s">
        <v>511</v>
      </c>
      <c r="L84" s="41" t="e">
        <v>#VALUE!</v>
      </c>
      <c r="M84" s="69">
        <f t="shared" si="4"/>
        <v>2.7777777777777776E-2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610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170</v>
      </c>
      <c r="G85" s="41">
        <f>MAX(CumulativeDead!85:85)</f>
        <v>4</v>
      </c>
      <c r="J85" s="41">
        <v>38928346</v>
      </c>
      <c r="K85" s="52" t="s">
        <v>511</v>
      </c>
      <c r="L85" s="41" t="e">
        <v>#VALUE!</v>
      </c>
      <c r="M85" s="69">
        <f t="shared" si="4"/>
        <v>2.3529411764705882E-2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609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556</v>
      </c>
      <c r="G86" s="41">
        <f>MAX(CumulativeDead!86:86)</f>
        <v>33</v>
      </c>
      <c r="J86" s="41">
        <v>36910560</v>
      </c>
      <c r="K86" s="52" t="s">
        <v>511</v>
      </c>
      <c r="L86" s="41" t="e">
        <v>#VALUE!</v>
      </c>
      <c r="M86" s="69">
        <f t="shared" si="4"/>
        <v>5.935251798561151E-2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612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491</v>
      </c>
      <c r="G87" s="41">
        <f>MAX(CumulativeDead!87:87)</f>
        <v>7</v>
      </c>
      <c r="J87" s="41">
        <v>2722289</v>
      </c>
      <c r="K87" s="52">
        <v>15.5</v>
      </c>
      <c r="L87" s="41">
        <v>421.95479499999999</v>
      </c>
      <c r="M87" s="69">
        <f t="shared" si="4"/>
        <v>1.4256619144602852E-2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608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298</v>
      </c>
      <c r="G88" s="41">
        <f>MAX(CumulativeDead!88:88)</f>
        <v>2</v>
      </c>
      <c r="J88" s="41">
        <v>4033963</v>
      </c>
      <c r="K88" s="52" t="s">
        <v>511</v>
      </c>
      <c r="L88" s="41" t="e">
        <v>#VALUE!</v>
      </c>
      <c r="M88" s="69">
        <f t="shared" si="4"/>
        <v>6.7114093959731542E-3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608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64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4.6875E-2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611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122</v>
      </c>
      <c r="G90" s="41">
        <f>MAX(CumulativeDead!90:90)</f>
        <v>2</v>
      </c>
      <c r="J90" s="41">
        <v>21413249</v>
      </c>
      <c r="K90" s="52" t="s">
        <v>511</v>
      </c>
      <c r="L90" s="41" t="e">
        <v>#VALUE!</v>
      </c>
      <c r="M90" s="69">
        <f t="shared" si="4"/>
        <v>1.6393442622950821E-2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607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107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611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901</v>
      </c>
      <c r="G92" s="41">
        <f>MAX(CumulativeDead!92:92)</f>
        <v>42</v>
      </c>
      <c r="J92" s="41">
        <v>10847910</v>
      </c>
      <c r="K92" s="52" t="s">
        <v>511</v>
      </c>
      <c r="L92" s="41" t="e">
        <v>#VALUE!</v>
      </c>
      <c r="M92" s="69">
        <f t="shared" si="4"/>
        <v>4.6614872364039953E-2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611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612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589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1.697792869269949E-3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613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612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10827</v>
      </c>
      <c r="G96" s="41">
        <f>MAX(CumulativeDead!96:96)</f>
        <v>168</v>
      </c>
      <c r="J96" s="41">
        <v>84339067</v>
      </c>
      <c r="K96" s="52" t="s">
        <v>511</v>
      </c>
      <c r="L96" s="41" t="e">
        <v>#VALUE!</v>
      </c>
      <c r="M96" s="69">
        <f t="shared" si="4"/>
        <v>1.5516763646439457E-2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608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170</v>
      </c>
      <c r="G97" s="41">
        <f>MAX(CumulativeDead!97:97)</f>
        <v>4</v>
      </c>
      <c r="J97" s="41">
        <v>11326616</v>
      </c>
      <c r="K97" s="52" t="s">
        <v>511</v>
      </c>
      <c r="L97" s="41" t="e">
        <v>#VALUE!</v>
      </c>
      <c r="M97" s="69">
        <f t="shared" si="4"/>
        <v>2.3529411764705882E-2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610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302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9.9337748344370865E-3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607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49</v>
      </c>
      <c r="G99" s="41">
        <f>MAX(CumulativeDead!99:99)</f>
        <v>5</v>
      </c>
      <c r="J99" s="41">
        <v>164689383</v>
      </c>
      <c r="K99" s="52" t="s">
        <v>511</v>
      </c>
      <c r="L99" s="41" t="e">
        <v>#VALUE!</v>
      </c>
      <c r="M99" s="69">
        <f t="shared" si="6"/>
        <v>0.10204081632653061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607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97</v>
      </c>
      <c r="G100" s="41">
        <f>MAX(CumulativeDead!100:100)</f>
        <v>4</v>
      </c>
      <c r="J100" s="41">
        <v>11673021</v>
      </c>
      <c r="K100" s="52" t="s">
        <v>511</v>
      </c>
      <c r="L100" s="41" t="e">
        <v>#VALUE!</v>
      </c>
      <c r="M100" s="69">
        <f t="shared" si="6"/>
        <v>4.1237113402061855E-2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611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612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548</v>
      </c>
      <c r="G102" s="41">
        <f>MAX(CumulativeDead!102:102)</f>
        <v>13</v>
      </c>
      <c r="J102" s="41">
        <v>43733762</v>
      </c>
      <c r="K102" s="52" t="s">
        <v>511</v>
      </c>
      <c r="L102" s="41" t="e">
        <v>#VALUE!</v>
      </c>
      <c r="M102" s="69">
        <f t="shared" si="6"/>
        <v>2.3722627737226276E-2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608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612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246</v>
      </c>
      <c r="G104" s="41">
        <f>MAX(CumulativeDead!104:104)</f>
        <v>12</v>
      </c>
      <c r="J104" s="41">
        <v>20903273</v>
      </c>
      <c r="K104" s="52" t="s">
        <v>511</v>
      </c>
      <c r="L104" s="41" t="e">
        <v>#VALUE!</v>
      </c>
      <c r="M104" s="69">
        <f t="shared" si="6"/>
        <v>4.878048780487805E-2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612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139</v>
      </c>
      <c r="G105" s="41">
        <f>MAX(CumulativeDead!105:105)</f>
        <v>6</v>
      </c>
      <c r="J105" s="41">
        <v>26545863</v>
      </c>
      <c r="K105" s="52" t="s">
        <v>511</v>
      </c>
      <c r="L105" s="41" t="e">
        <v>#VALUE!</v>
      </c>
      <c r="M105" s="69">
        <f t="shared" si="6"/>
        <v>4.3165467625899283E-2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612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81</v>
      </c>
      <c r="G106" s="41">
        <f>MAX(CumulativeDead!106:106)</f>
        <v>8</v>
      </c>
      <c r="K106" s="52" t="s">
        <v>511</v>
      </c>
      <c r="L106" s="41" t="e">
        <v>#N/A</v>
      </c>
      <c r="M106" s="69">
        <f t="shared" si="6"/>
        <v>9.8765432098765427E-2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 t="e">
        <f t="shared" ca="1" si="7"/>
        <v>#N/A</v>
      </c>
      <c r="Q106" s="52" t="s">
        <v>612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139</v>
      </c>
      <c r="G107" s="41">
        <f>MAX(CumulativeDead!107:107)</f>
        <v>7</v>
      </c>
      <c r="J107" s="41">
        <v>9904607</v>
      </c>
      <c r="K107" s="52" t="s">
        <v>511</v>
      </c>
      <c r="L107" s="41" t="e">
        <v>#VALUE!</v>
      </c>
      <c r="M107" s="69">
        <f t="shared" si="6"/>
        <v>5.0359712230215826E-2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611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49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2.0408163265306121E-2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608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131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1.5267175572519083E-2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612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370</v>
      </c>
      <c r="G110" s="41">
        <f>MAX(CumulativeDead!110:110)</f>
        <v>8</v>
      </c>
      <c r="J110" s="41">
        <v>77265</v>
      </c>
      <c r="K110" s="52" t="s">
        <v>511</v>
      </c>
      <c r="L110" s="41" t="e">
        <v>#VALUE!</v>
      </c>
      <c r="M110" s="69">
        <f t="shared" si="6"/>
        <v>2.1621621621621623E-2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608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610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607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610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168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5.9523809523809521E-3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612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23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612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611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22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612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511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611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608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268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1.8656716417910446E-2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609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50</v>
      </c>
      <c r="G121" s="41">
        <f>MAX(CumulativeDead!121:121)</f>
        <v>1</v>
      </c>
      <c r="J121" s="41">
        <v>53771296</v>
      </c>
      <c r="K121" s="52" t="s">
        <v>511</v>
      </c>
      <c r="L121" s="41" t="e">
        <v>#VALUE!</v>
      </c>
      <c r="M121" s="69">
        <f t="shared" si="6"/>
        <v>0.02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612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62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608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607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607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6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612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612</v>
      </c>
    </row>
    <row r="127" spans="1:17" x14ac:dyDescent="0.3">
      <c r="A127" s="52">
        <v>126</v>
      </c>
      <c r="B127" s="2" t="s">
        <v>605</v>
      </c>
      <c r="C127" s="2" t="s">
        <v>605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37536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607</v>
      </c>
      <c r="C128" s="2" t="s">
        <v>607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3849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608</v>
      </c>
      <c r="C129" s="2" t="s">
        <v>608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27207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610</v>
      </c>
      <c r="C130" s="2" t="s">
        <v>610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3109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611</v>
      </c>
      <c r="C131" s="2" t="s">
        <v>611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343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612</v>
      </c>
      <c r="C132" s="2" t="s">
        <v>612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153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609</v>
      </c>
      <c r="C133" s="2" t="s">
        <v>609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2857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37536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606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107938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426252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171730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12874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4492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51421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3849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27207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3109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343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153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2857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529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530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531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532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533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534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535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536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537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559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560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561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562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563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574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575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576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577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578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579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U255"/>
  <sheetViews>
    <sheetView workbookViewId="0">
      <selection sqref="A1:CA1000"/>
    </sheetView>
  </sheetViews>
  <sheetFormatPr defaultRowHeight="14.4" x14ac:dyDescent="0.3"/>
  <sheetData>
    <row r="1" spans="1:73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</row>
    <row r="2" spans="1:73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</row>
    <row r="3" spans="1:73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</row>
    <row r="4" spans="1:73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</row>
    <row r="5" spans="1:73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</row>
    <row r="6" spans="1:73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</row>
    <row r="7" spans="1:73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</row>
    <row r="8" spans="1:73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</row>
    <row r="9" spans="1:73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</row>
    <row r="10" spans="1:73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</row>
    <row r="11" spans="1:73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</row>
    <row r="12" spans="1:73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</row>
    <row r="13" spans="1:73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</row>
    <row r="14" spans="1:73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</row>
    <row r="15" spans="1:73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</row>
    <row r="16" spans="1:73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</row>
    <row r="17" spans="1:73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</row>
    <row r="18" spans="1:73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</row>
    <row r="19" spans="1:73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</row>
    <row r="20" spans="1:73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</row>
    <row r="21" spans="1:73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</row>
    <row r="22" spans="1:73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</row>
    <row r="23" spans="1:73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</row>
    <row r="24" spans="1:73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</row>
    <row r="25" spans="1:73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</row>
    <row r="26" spans="1:73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</row>
    <row r="27" spans="1:73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</row>
    <row r="28" spans="1:73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</row>
    <row r="29" spans="1:73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</row>
    <row r="30" spans="1:73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</row>
    <row r="31" spans="1:73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</row>
    <row r="32" spans="1:73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</row>
    <row r="33" spans="1:73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</row>
    <row r="34" spans="1:73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</row>
    <row r="35" spans="1:73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</row>
    <row r="36" spans="1:73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</row>
    <row r="37" spans="1:73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</row>
    <row r="38" spans="1:73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</row>
    <row r="39" spans="1:73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</row>
    <row r="40" spans="1:73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</row>
    <row r="41" spans="1:73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</row>
    <row r="42" spans="1:73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</row>
    <row r="43" spans="1:73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</row>
    <row r="44" spans="1:73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</row>
    <row r="45" spans="1:73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</row>
    <row r="46" spans="1:73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</row>
    <row r="47" spans="1:73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</row>
    <row r="48" spans="1:73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</row>
    <row r="49" spans="1:73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</row>
    <row r="50" spans="1:73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</row>
    <row r="51" spans="1:73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</row>
    <row r="52" spans="1:73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</row>
    <row r="53" spans="1:73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</row>
    <row r="54" spans="1:73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</row>
    <row r="55" spans="1:73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</row>
    <row r="56" spans="1:73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</row>
    <row r="57" spans="1:73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</row>
    <row r="58" spans="1:73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</row>
    <row r="59" spans="1:73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</row>
    <row r="60" spans="1:73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</row>
    <row r="61" spans="1:73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</row>
    <row r="62" spans="1:73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</row>
    <row r="63" spans="1:73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</row>
    <row r="64" spans="1:73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</row>
    <row r="65" spans="1:73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</row>
    <row r="66" spans="1:73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</row>
    <row r="67" spans="1:73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</row>
    <row r="68" spans="1:73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</row>
    <row r="69" spans="1:73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</row>
    <row r="70" spans="1:73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</row>
    <row r="71" spans="1:73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</row>
    <row r="72" spans="1:73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</row>
    <row r="73" spans="1:73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</row>
    <row r="74" spans="1:73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</row>
    <row r="75" spans="1:73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</row>
    <row r="76" spans="1:73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</row>
    <row r="77" spans="1:73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</row>
    <row r="78" spans="1:73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</row>
    <row r="79" spans="1:73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</row>
    <row r="80" spans="1:73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</row>
    <row r="81" spans="1:73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</row>
    <row r="82" spans="1:73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</row>
    <row r="83" spans="1:73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</row>
    <row r="84" spans="1:73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</row>
    <row r="85" spans="1:73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</row>
    <row r="86" spans="1:73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</row>
    <row r="87" spans="1:73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</row>
    <row r="88" spans="1:73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</row>
    <row r="89" spans="1:73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</row>
    <row r="90" spans="1:73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</row>
    <row r="91" spans="1:73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</row>
    <row r="92" spans="1:73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</row>
    <row r="93" spans="1:73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</row>
    <row r="94" spans="1:73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</row>
    <row r="95" spans="1:73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</row>
    <row r="96" spans="1:73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</row>
    <row r="97" spans="1:73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</row>
    <row r="98" spans="1:73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</row>
    <row r="99" spans="1:73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</row>
    <row r="100" spans="1:73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</row>
    <row r="101" spans="1:73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</row>
    <row r="102" spans="1:73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</row>
    <row r="103" spans="1:73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</row>
    <row r="104" spans="1:73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</row>
    <row r="105" spans="1:73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</row>
    <row r="106" spans="1:73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</row>
    <row r="107" spans="1:73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</row>
    <row r="108" spans="1:73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</row>
    <row r="109" spans="1:73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</row>
    <row r="110" spans="1:73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</row>
    <row r="111" spans="1:73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</row>
    <row r="112" spans="1:73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</row>
    <row r="113" spans="1:73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</row>
    <row r="114" spans="1:73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</row>
    <row r="115" spans="1:73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</row>
    <row r="116" spans="1:73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</row>
    <row r="117" spans="1:73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</row>
    <row r="118" spans="1:73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</row>
    <row r="119" spans="1:73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</row>
    <row r="120" spans="1:73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</row>
    <row r="121" spans="1:73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</row>
    <row r="122" spans="1:73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</row>
    <row r="123" spans="1:73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</row>
    <row r="124" spans="1:73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</row>
    <row r="125" spans="1:73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</row>
    <row r="126" spans="1:73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</row>
    <row r="127" spans="1:73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</row>
    <row r="128" spans="1:73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</row>
    <row r="129" spans="2:73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</row>
    <row r="130" spans="2:73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</row>
    <row r="131" spans="2:73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</row>
    <row r="132" spans="2:73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</row>
    <row r="133" spans="2:73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</row>
    <row r="134" spans="2:73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</row>
    <row r="135" spans="2:73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</row>
    <row r="136" spans="2:73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</row>
    <row r="137" spans="2:73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</row>
    <row r="138" spans="2:73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</row>
    <row r="139" spans="2:73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</row>
    <row r="140" spans="2:73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</row>
    <row r="141" spans="2:73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</row>
    <row r="142" spans="2:73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</row>
    <row r="143" spans="2:73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</row>
    <row r="144" spans="2:73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</row>
    <row r="145" spans="2:73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</row>
    <row r="146" spans="2:73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</row>
    <row r="147" spans="2:73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</row>
    <row r="148" spans="2:73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</row>
    <row r="149" spans="2:73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</row>
    <row r="150" spans="2:73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</row>
    <row r="151" spans="2:73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</row>
    <row r="152" spans="2:73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</row>
    <row r="153" spans="2:73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</row>
    <row r="154" spans="2:73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</row>
    <row r="155" spans="2:73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</row>
    <row r="156" spans="2:73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</row>
    <row r="157" spans="2:73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</row>
    <row r="158" spans="2:73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</row>
    <row r="159" spans="2:73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</row>
    <row r="160" spans="2:73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</row>
    <row r="161" spans="1:73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</row>
    <row r="162" spans="1:73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</row>
    <row r="163" spans="1:73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</row>
    <row r="164" spans="1:73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</row>
    <row r="165" spans="1:73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</row>
    <row r="166" spans="1:73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</row>
    <row r="167" spans="1:73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</row>
    <row r="168" spans="1:73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</row>
    <row r="169" spans="1:73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</row>
    <row r="170" spans="1:73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</row>
    <row r="171" spans="1:73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</row>
    <row r="172" spans="1:73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</row>
    <row r="173" spans="1:73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</row>
    <row r="174" spans="1:73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</row>
    <row r="175" spans="1:73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</row>
    <row r="176" spans="1:73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</row>
    <row r="177" spans="2:73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</row>
    <row r="178" spans="2:73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</row>
    <row r="179" spans="2:73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</row>
    <row r="180" spans="2:73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</row>
    <row r="181" spans="2:73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</row>
    <row r="182" spans="2:73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</row>
    <row r="183" spans="2:73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</row>
    <row r="184" spans="2:73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</row>
    <row r="185" spans="2:73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</row>
    <row r="186" spans="2:73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</row>
    <row r="187" spans="2:73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</row>
    <row r="188" spans="2:73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</row>
    <row r="189" spans="2:73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</row>
    <row r="190" spans="2:73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</row>
    <row r="191" spans="2:73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</row>
    <row r="192" spans="2:73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</row>
    <row r="193" spans="2:73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</row>
    <row r="194" spans="2:73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</row>
    <row r="195" spans="2:73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</row>
    <row r="196" spans="2:73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</row>
    <row r="197" spans="2:73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</row>
    <row r="198" spans="2:73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</row>
    <row r="199" spans="2:73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</row>
    <row r="200" spans="2:73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</row>
    <row r="201" spans="2:73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</row>
    <row r="202" spans="2:73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</row>
    <row r="203" spans="2:73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</row>
    <row r="204" spans="2:73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</row>
    <row r="205" spans="2:73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</row>
    <row r="206" spans="2:73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</row>
    <row r="207" spans="2:73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</row>
    <row r="208" spans="2:73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</row>
    <row r="209" spans="1:73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</row>
    <row r="210" spans="1:73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</row>
    <row r="211" spans="1:73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</row>
    <row r="212" spans="1:73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</row>
    <row r="213" spans="1:73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</row>
    <row r="214" spans="1:73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</row>
    <row r="215" spans="1:73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</row>
    <row r="216" spans="1:73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</row>
    <row r="217" spans="1:73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</row>
    <row r="218" spans="1:73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</row>
    <row r="219" spans="1:73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</row>
    <row r="220" spans="1:73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</row>
    <row r="221" spans="1:73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</row>
    <row r="222" spans="1:73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</row>
    <row r="223" spans="1:73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</row>
    <row r="224" spans="1:73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</row>
    <row r="225" spans="1:73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</row>
    <row r="226" spans="1:73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</row>
    <row r="227" spans="1:73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</row>
    <row r="228" spans="1:73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</row>
    <row r="229" spans="1:73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</row>
    <row r="230" spans="1:73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</row>
    <row r="231" spans="1:73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</row>
    <row r="232" spans="1:73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</row>
    <row r="233" spans="1:73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</row>
    <row r="234" spans="1:73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</row>
    <row r="235" spans="1:73" x14ac:dyDescent="0.3">
      <c r="B235" t="s">
        <v>560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</row>
    <row r="236" spans="1:73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</row>
    <row r="237" spans="1:73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</row>
    <row r="238" spans="1:73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</row>
    <row r="239" spans="1:73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</row>
    <row r="240" spans="1:73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</row>
    <row r="241" spans="1:73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</row>
    <row r="242" spans="1:73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</row>
    <row r="243" spans="1:73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</row>
    <row r="244" spans="1:73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</row>
    <row r="245" spans="1:73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</row>
    <row r="246" spans="1:73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</row>
    <row r="247" spans="1:73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</row>
    <row r="248" spans="1:73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</row>
    <row r="249" spans="1:73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</row>
    <row r="250" spans="1:73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</row>
    <row r="251" spans="1:73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</row>
    <row r="252" spans="1:73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</row>
    <row r="253" spans="1:73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</row>
    <row r="254" spans="1:73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</row>
    <row r="255" spans="1:73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U255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3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</row>
    <row r="2" spans="1:73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</row>
    <row r="3" spans="1:73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</row>
    <row r="4" spans="1:73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</row>
    <row r="5" spans="1:73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</row>
    <row r="6" spans="1:73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</row>
    <row r="7" spans="1:73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</row>
    <row r="8" spans="1:73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</row>
    <row r="9" spans="1:73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</row>
    <row r="10" spans="1:73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</row>
    <row r="11" spans="1:73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</row>
    <row r="12" spans="1:73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</row>
    <row r="13" spans="1:73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</row>
    <row r="14" spans="1:73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</row>
    <row r="15" spans="1:73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</row>
    <row r="16" spans="1:73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</row>
    <row r="17" spans="1:73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</row>
    <row r="18" spans="1:73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</row>
    <row r="19" spans="1:73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</row>
    <row r="20" spans="1:73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</row>
    <row r="21" spans="1:73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</row>
    <row r="22" spans="1:73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</row>
    <row r="23" spans="1:73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</row>
    <row r="24" spans="1:73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</row>
    <row r="25" spans="1:73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</row>
    <row r="26" spans="1:73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</row>
    <row r="27" spans="1:73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</row>
    <row r="28" spans="1:73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</row>
    <row r="29" spans="1:73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</row>
    <row r="30" spans="1:73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</row>
    <row r="31" spans="1:73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</row>
    <row r="32" spans="1:73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</row>
    <row r="33" spans="1:73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</row>
    <row r="34" spans="1:73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</row>
    <row r="35" spans="1:73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</row>
    <row r="36" spans="1:73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</row>
    <row r="37" spans="1:73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</row>
    <row r="38" spans="1:73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</row>
    <row r="39" spans="1:73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</row>
    <row r="40" spans="1:73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</row>
    <row r="41" spans="1:73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</row>
    <row r="42" spans="1:73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</row>
    <row r="43" spans="1:73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</row>
    <row r="44" spans="1:73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</row>
    <row r="45" spans="1:73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</row>
    <row r="46" spans="1:73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</row>
    <row r="47" spans="1:73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</row>
    <row r="48" spans="1:73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</row>
    <row r="49" spans="1:73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</row>
    <row r="50" spans="1:73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</row>
    <row r="51" spans="1:73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</row>
    <row r="52" spans="1:73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</row>
    <row r="53" spans="1:73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</row>
    <row r="54" spans="1:73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</row>
    <row r="55" spans="1:73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</row>
    <row r="56" spans="1:73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</row>
    <row r="57" spans="1:73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</row>
    <row r="58" spans="1:73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</row>
    <row r="59" spans="1:73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</row>
    <row r="60" spans="1:73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</row>
    <row r="61" spans="1:73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</row>
    <row r="62" spans="1:73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</row>
    <row r="63" spans="1:73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</row>
    <row r="64" spans="1:73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</row>
    <row r="65" spans="1:73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</row>
    <row r="66" spans="1:73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</row>
    <row r="67" spans="1:73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</row>
    <row r="68" spans="1:73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</row>
    <row r="69" spans="1:73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</row>
    <row r="70" spans="1:73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</row>
    <row r="71" spans="1:73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</row>
    <row r="72" spans="1:73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</row>
    <row r="73" spans="1:73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</row>
    <row r="74" spans="1:73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</row>
    <row r="75" spans="1:73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</row>
    <row r="76" spans="1:73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</row>
    <row r="77" spans="1:73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</row>
    <row r="78" spans="1:73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</row>
    <row r="79" spans="1:73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</row>
    <row r="80" spans="1:73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</row>
    <row r="81" spans="1:73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</row>
    <row r="82" spans="1:73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</row>
    <row r="83" spans="1:73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</row>
    <row r="84" spans="1:73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</row>
    <row r="85" spans="1:73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</row>
    <row r="86" spans="1:73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</row>
    <row r="87" spans="1:73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</row>
    <row r="88" spans="1:73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</row>
    <row r="89" spans="1:73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</row>
    <row r="90" spans="1:73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</row>
    <row r="91" spans="1:73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</row>
    <row r="92" spans="1:73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</row>
    <row r="93" spans="1:73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</row>
    <row r="94" spans="1:73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</row>
    <row r="95" spans="1:73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</row>
    <row r="96" spans="1:73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</row>
    <row r="97" spans="1:73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</row>
    <row r="98" spans="1:73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</row>
    <row r="99" spans="1:73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</row>
    <row r="100" spans="1:73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</row>
    <row r="101" spans="1:73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</row>
    <row r="102" spans="1:73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</row>
    <row r="103" spans="1:73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</row>
    <row r="104" spans="1:73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</row>
    <row r="105" spans="1:73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</row>
    <row r="106" spans="1:73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</row>
    <row r="107" spans="1:73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</row>
    <row r="108" spans="1:73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</row>
    <row r="109" spans="1:73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</row>
    <row r="110" spans="1:73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</row>
    <row r="111" spans="1:73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</row>
    <row r="112" spans="1:73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</row>
    <row r="113" spans="1:73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</row>
    <row r="114" spans="1:73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</row>
    <row r="115" spans="1:73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</row>
    <row r="116" spans="1:73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</row>
    <row r="117" spans="1:73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</row>
    <row r="118" spans="1:73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</row>
    <row r="119" spans="1:73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</row>
    <row r="120" spans="1:73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</row>
    <row r="121" spans="1:73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</row>
    <row r="122" spans="1:73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</row>
    <row r="123" spans="1:73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</row>
    <row r="124" spans="1:73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</row>
    <row r="125" spans="1:73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</row>
    <row r="126" spans="1:73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</row>
    <row r="127" spans="1:73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</row>
    <row r="128" spans="1:73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</row>
    <row r="129" spans="2:73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</row>
    <row r="130" spans="2:73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</row>
    <row r="131" spans="2:73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</row>
    <row r="132" spans="2:73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</row>
    <row r="133" spans="2:73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</row>
    <row r="134" spans="2:73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</row>
    <row r="135" spans="2:73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</row>
    <row r="136" spans="2:73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</row>
    <row r="137" spans="2:73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</row>
    <row r="138" spans="2:73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</row>
    <row r="139" spans="2:73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</row>
    <row r="140" spans="2:73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</row>
    <row r="141" spans="2:73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</row>
    <row r="142" spans="2:73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</row>
    <row r="143" spans="2:73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</row>
    <row r="144" spans="2:73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</row>
    <row r="145" spans="2:73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</row>
    <row r="146" spans="2:73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</row>
    <row r="147" spans="2:73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</row>
    <row r="148" spans="2:73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</row>
    <row r="149" spans="2:73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</row>
    <row r="150" spans="2:73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</row>
    <row r="151" spans="2:73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</row>
    <row r="152" spans="2:73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</row>
    <row r="153" spans="2:73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</row>
    <row r="154" spans="2:73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</row>
    <row r="155" spans="2:73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</row>
    <row r="156" spans="2:73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</row>
    <row r="157" spans="2:73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</row>
    <row r="158" spans="2:73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</row>
    <row r="159" spans="2:73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</row>
    <row r="160" spans="2:73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</row>
    <row r="161" spans="1:73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</row>
    <row r="162" spans="1:73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</row>
    <row r="163" spans="1:73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</row>
    <row r="164" spans="1:73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</row>
    <row r="165" spans="1:73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</row>
    <row r="166" spans="1:73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</row>
    <row r="167" spans="1:73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</row>
    <row r="168" spans="1:73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</row>
    <row r="169" spans="1:73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</row>
    <row r="170" spans="1:73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</row>
    <row r="171" spans="1:73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</row>
    <row r="172" spans="1:73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</row>
    <row r="173" spans="1:73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</row>
    <row r="174" spans="1:73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</row>
    <row r="175" spans="1:73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</row>
    <row r="176" spans="1:73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</row>
    <row r="177" spans="2:73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</row>
    <row r="178" spans="2:73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</row>
    <row r="179" spans="2:73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</row>
    <row r="180" spans="2:73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</row>
    <row r="181" spans="2:73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</row>
    <row r="182" spans="2:73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</row>
    <row r="183" spans="2:73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</row>
    <row r="184" spans="2:73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</row>
    <row r="185" spans="2:73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</row>
    <row r="186" spans="2:73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</row>
    <row r="187" spans="2:73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</row>
    <row r="188" spans="2:73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</row>
    <row r="189" spans="2:73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</row>
    <row r="190" spans="2:73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</row>
    <row r="191" spans="2:73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</row>
    <row r="192" spans="2:73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</row>
    <row r="193" spans="2:73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</row>
    <row r="194" spans="2:73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</row>
    <row r="195" spans="2:73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</row>
    <row r="196" spans="2:73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</row>
    <row r="197" spans="2:73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</row>
    <row r="198" spans="2:73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</row>
    <row r="199" spans="2:73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</row>
    <row r="200" spans="2:73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</row>
    <row r="201" spans="2:73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</row>
    <row r="202" spans="2:73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</row>
    <row r="203" spans="2:73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</row>
    <row r="204" spans="2:73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</row>
    <row r="205" spans="2:73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</row>
    <row r="206" spans="2:73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</row>
    <row r="207" spans="2:73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</row>
    <row r="208" spans="2:73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</row>
    <row r="209" spans="1:73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</row>
    <row r="210" spans="1:73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</row>
    <row r="211" spans="1:73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</row>
    <row r="212" spans="1:73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</row>
    <row r="213" spans="1:73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</row>
    <row r="214" spans="1:73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</row>
    <row r="215" spans="1:73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</row>
    <row r="216" spans="1:73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</row>
    <row r="217" spans="1:73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</row>
    <row r="218" spans="1:73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</row>
    <row r="219" spans="1:73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</row>
    <row r="220" spans="1:73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</row>
    <row r="221" spans="1:73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</row>
    <row r="222" spans="1:73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</row>
    <row r="223" spans="1:73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</row>
    <row r="224" spans="1:73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</row>
    <row r="225" spans="1:73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</row>
    <row r="226" spans="1:73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</row>
    <row r="227" spans="1:73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</row>
    <row r="228" spans="1:73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</row>
    <row r="229" spans="1:73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</row>
    <row r="230" spans="1:73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</row>
    <row r="231" spans="1:73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</row>
    <row r="232" spans="1:73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</row>
    <row r="233" spans="1:73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</row>
    <row r="234" spans="1:73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</row>
    <row r="235" spans="1:73" x14ac:dyDescent="0.3">
      <c r="B235" t="s">
        <v>560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</row>
    <row r="236" spans="1:73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</row>
    <row r="237" spans="1:73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</row>
    <row r="238" spans="1:73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</row>
    <row r="239" spans="1:73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</row>
    <row r="240" spans="1:73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</row>
    <row r="241" spans="1:73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</row>
    <row r="242" spans="1:73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</row>
    <row r="243" spans="1:73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</row>
    <row r="244" spans="1:73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</row>
    <row r="245" spans="1:73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</row>
    <row r="246" spans="1:73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</row>
    <row r="247" spans="1:73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</row>
    <row r="248" spans="1:73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</row>
    <row r="249" spans="1:73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</row>
    <row r="250" spans="1:73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</row>
    <row r="251" spans="1:73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</row>
    <row r="252" spans="1:73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</row>
    <row r="253" spans="1:73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</row>
    <row r="254" spans="1:73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</row>
    <row r="255" spans="1:73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2020-03-31T10:03:25Z</dcterms:modified>
</cp:coreProperties>
</file>